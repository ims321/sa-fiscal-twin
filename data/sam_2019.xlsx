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ThisWorkbook" defaultThemeVersion="166925"/>
  <mc:AlternateContent xmlns:mc="http://schemas.openxmlformats.org/markup-compatibility/2006">
    <mc:Choice Requires="x15">
      <x15ac:absPath xmlns:x15ac="http://schemas.microsoft.com/office/spreadsheetml/2010/11/ac" url="C:\Users\Rob Davies\Dropbox\Dirk Miscellaneous\SATIED2 2019 SAM with Occ\2019 SUTSAM Construction\Documentation\"/>
    </mc:Choice>
  </mc:AlternateContent>
  <xr:revisionPtr revIDLastSave="0" documentId="13_ncr:1_{AEDD3C92-33DA-4909-8068-915D3CB01128}" xr6:coauthVersionLast="47" xr6:coauthVersionMax="47" xr10:uidLastSave="{00000000-0000-0000-0000-000000000000}"/>
  <bookViews>
    <workbookView xWindow="-120" yWindow="-120" windowWidth="20730" windowHeight="11040" xr2:uid="{3B39C9CF-0B4E-4DA6-B0A8-64D7A22D4026}"/>
  </bookViews>
  <sheets>
    <sheet name="Contents" sheetId="43" r:id="rId1"/>
    <sheet name="SASAM 2019 61Ind 10Occ" sheetId="34" r:id="rId2"/>
    <sheet name="Employment 61Indx10Occ" sheetId="29" r:id="rId3"/>
    <sheet name="SASAM 2019 61Ind 4Educ" sheetId="41" r:id="rId4"/>
    <sheet name="Employment 61Indx4Educ" sheetId="42" r:id="rId5"/>
    <sheet name="Industry_List" sheetId="5" r:id="rId6"/>
    <sheet name="Product_List" sheetId="6" r:id="rId7"/>
    <sheet name="Other Accounts 10Occ 2019 SAM" sheetId="39" r:id="rId8"/>
    <sheet name="Other Accounts 4Educ 2019 SAM" sheetId="40" r:id="rId9"/>
  </sheets>
  <externalReferences>
    <externalReference r:id="rId10"/>
  </externalReferences>
  <definedNames>
    <definedName name="_AMO_ContentDefinition_104386094" hidden="1">"'Partitions:9'"</definedName>
    <definedName name="_AMO_ContentDefinition_104386094.0" hidden="1">"'&lt;ContentDefinition name=""Summary Tables"" rsid=""104386094"" type=""Task"" format=""ReportXml"" imgfmt=""ActiveX"" created=""10/17/2013 08:49:12"" modifed=""02/28/2014 13:17:15"" user=""ndivhuwog"" apply=""False"" css=""C:\Program Files\SASHome\SASAd'"</definedName>
    <definedName name="_AMO_ContentDefinition_104386094.1" hidden="1">"'dinforMicrosoftOffice\5.1\Styles\AMODefault.css"" range=""Summary_Tables_51"" auto=""False"" xTime=""00:00:00.3870000"" rTime=""00:00:00.6690000"" bgnew=""False"" nFmt=""False"" grphSet=""False"" imgY=""0"" imgX=""0""&gt;_x000D_
  &lt;files&gt;C:\Users\ndivhuwog\Doc'"</definedName>
    <definedName name="_AMO_ContentDefinition_104386094.2" hidden="1">"'uments\My SAS Files\Add-In for Microsoft Office\_SOA_Summary_Tables_142718989\main.srx&lt;/files&gt;_x000D_
  &lt;parents /&gt;_x000D_
  &lt;children /&gt;_x000D_
  &lt;param n=""TaskID"" v=""D3932E3A-4FEE-43DF-956C-A605AC9AF3E7"" /&gt;_x000D_
  &lt;param n=""DisplayName"" v=""Summary Tables"" /&gt;_x000D_
  &lt;'"</definedName>
    <definedName name="_AMO_ContentDefinition_104386094.3" hidden="1">"'param n=""DisplayType"" v=""Task"" /&gt;_x000D_
  &lt;param n=""RawValues"" v=""True"" /&gt;_x000D_
  &lt;param n=""AMO_Version"" v=""5.1"" /&gt;_x000D_
  &lt;param n=""ServerName"" v=""SASApp"" /&gt;_x000D_
  &lt;param n=""AMO_Template"" v="""" /&gt;_x000D_
  &lt;param n=""UseDataConstraints"" v=""False"" /&gt;'"</definedName>
    <definedName name="_AMO_ContentDefinition_104386094.4" hidden="1">"'_x000D_
  &lt;param n=""SizeDataConstraints"" v=""0"" /&gt;_x000D_
  &lt;param n=""AMO_InputDataSource"" v=""&amp;lt;SasDataSource Version=&amp;quot;4.2&amp;quot; Type=&amp;quot;SAS.Servers.Dataset&amp;quot; Svr=&amp;quot;SASApp&amp;quot; Lib=&amp;quot;LFSTDATA&amp;quot; FilterDS=&amp;quot;&amp;amp;lt;?xml version='"</definedName>
    <definedName name="_AMO_ContentDefinition_104386094.5" hidden="1">"'&amp;amp;quot;1.0&amp;amp;quot; encoding=&amp;amp;quot;utf-16&amp;amp;quot;?&amp;amp;gt;&amp;amp;lt;FilterTree&amp;amp;gt;&amp;amp;lt;TreeRoot /&amp;amp;gt;&amp;amp;lt;/FilterTree&amp;amp;gt;&amp;quot; ColSelFlg=&amp;quot;0&amp;quot; Name=&amp;quot;TABLE2_5&amp;quot; /&amp;gt;"" /&gt;_x000D_
  &lt;param n=""CredKey"" v=""TABLE2_5'"</definedName>
    <definedName name="_AMO_ContentDefinition_104386094.6" hidden="1">"'&amp;#x1;SASApp&amp;#x1;LFSR Tabulation Datasets"" /&gt;_x000D_
  &lt;param n=""ClassName"" v=""SAS.OfficeAddin.Task"" /&gt;_x000D_
  &lt;param n=""XlNative"" v=""False"" /&gt;_x000D_
  &lt;param n=""UnselectedIds"" v="""" /&gt;_x000D_
  &lt;param n=""_ROM_Version_"" v=""1.2"" /&gt;_x000D_
  &lt;param n=""_ROM_Appl'"</definedName>
    <definedName name="_AMO_ContentDefinition_104386094.7" hidden="1">"'ication_"" v=""ODS"" /&gt;_x000D_
  &lt;param n=""_ROM_AppVersion_"" v=""9.2"" /&gt;_x000D_
  &lt;param n=""maxReportCols"" v=""13"" /&gt;_x000D_
  &lt;fids n=""main.srx"" v=""0"" /&gt;_x000D_
  &lt;ExcelXMLOptions AdjColWidths=""True"" RowOpt=""InsertEntire"" ColOpt=""InsertCells"" /&gt;_x000D_'"</definedName>
    <definedName name="_AMO_ContentDefinition_104386094.8" hidden="1">"'
&lt;/ContentDefinition&gt;'"</definedName>
    <definedName name="_AMO_ContentDefinition_112461039" hidden="1">"'Partitions:9'"</definedName>
    <definedName name="_AMO_ContentDefinition_112461039.0" hidden="1">"'&lt;ContentDefinition name=""Summary Tables"" rsid=""112461039"" type=""Task"" format=""ReportXml"" imgfmt=""ActiveX"" created=""02/14/2014 14:59:53"" modifed=""02/28/2014 13:11:57"" user=""ndivhuwog"" apply=""False"" css=""C:\Program Files\SASHome\SASAd'"</definedName>
    <definedName name="_AMO_ContentDefinition_112461039.1" hidden="1">"'dinforMicrosoftOffice\5.1\Styles\AMODefault.css"" range=""Summary_Tables_58"" auto=""False"" xTime=""00:00:00.4430000"" rTime=""00:00:00.6030000"" bgnew=""False"" nFmt=""False"" grphSet=""False"" imgY=""0"" imgX=""0""&gt;_x000D_
  &lt;files&gt;C:\Users\ndivhuwog\Doc'"</definedName>
    <definedName name="_AMO_ContentDefinition_112461039.2" hidden="1">"'uments\My SAS Files\Add-In for Microsoft Office\_SOA_Summary_Tables_224128394\main.srx&lt;/files&gt;_x000D_
  &lt;parents /&gt;_x000D_
  &lt;children /&gt;_x000D_
  &lt;param n=""TaskID"" v=""D3932E3A-4FEE-43DF-956C-A605AC9AF3E7"" /&gt;_x000D_
  &lt;param n=""DisplayName"" v=""Summary Tables"" /&gt;_x000D_
  &lt;'"</definedName>
    <definedName name="_AMO_ContentDefinition_112461039.3" hidden="1">"'param n=""DisplayType"" v=""Task"" /&gt;_x000D_
  &lt;param n=""RawValues"" v=""True"" /&gt;_x000D_
  &lt;param n=""AMO_Version"" v=""5.1"" /&gt;_x000D_
  &lt;param n=""ServerName"" v=""SASApp"" /&gt;_x000D_
  &lt;param n=""AMO_Template"" v="""" /&gt;_x000D_
  &lt;param n=""UseDataConstraints"" v=""False"" /&gt;'"</definedName>
    <definedName name="_AMO_ContentDefinition_112461039.4" hidden="1">"'_x000D_
  &lt;param n=""SizeDataConstraints"" v=""0"" /&gt;_x000D_
  &lt;param n=""AMO_InputDataSource"" v=""&amp;lt;SasDataSource Version=&amp;quot;4.2&amp;quot; Type=&amp;quot;SAS.Servers.Dataset&amp;quot; Svr=&amp;quot;SASApp&amp;quot; Lib=&amp;quot;LFSTDATA&amp;quot; FilterDS=&amp;quot;&amp;amp;lt;?xml version='"</definedName>
    <definedName name="_AMO_ContentDefinition_112461039.5" hidden="1">"'&amp;amp;quot;1.0&amp;amp;quot; encoding=&amp;amp;quot;utf-16&amp;amp;quot;?&amp;amp;gt;&amp;amp;lt;FilterTree&amp;amp;gt;&amp;amp;lt;TreeRoot /&amp;amp;gt;&amp;amp;lt;/FilterTree&amp;amp;gt;&amp;quot; ColSelFlg=&amp;quot;0&amp;quot; Name=&amp;quot;TABLE2_1&amp;quot; /&amp;gt;"" /&gt;_x000D_
  &lt;param n=""CredKey"" v=""TABLE2_1'"</definedName>
    <definedName name="_AMO_ContentDefinition_112461039.6" hidden="1">"'&amp;#x1;SASApp&amp;#x1;LFSR Tabulation Datasets"" /&gt;_x000D_
  &lt;param n=""ClassName"" v=""SAS.OfficeAddin.Task"" /&gt;_x000D_
  &lt;param n=""XlNative"" v=""False"" /&gt;_x000D_
  &lt;param n=""UnselectedIds"" v="""" /&gt;_x000D_
  &lt;param n=""_ROM_Version_"" v=""1.2"" /&gt;_x000D_
  &lt;param n=""_ROM_Appl'"</definedName>
    <definedName name="_AMO_ContentDefinition_112461039.7" hidden="1">"'ication_"" v=""ODS"" /&gt;_x000D_
  &lt;param n=""_ROM_AppVersion_"" v=""9.2"" /&gt;_x000D_
  &lt;param n=""maxReportCols"" v=""13"" /&gt;_x000D_
  &lt;fids n=""main.srx"" v=""0"" /&gt;_x000D_
  &lt;ExcelXMLOptions AdjColWidths=""True"" RowOpt=""InsertEntire"" ColOpt=""InsertCells"" /&gt;_x000D_'"</definedName>
    <definedName name="_AMO_ContentDefinition_112461039.8" hidden="1">"'
&lt;/ContentDefinition&gt;'"</definedName>
    <definedName name="_AMO_ContentDefinition_15410102" hidden="1">"'Partitions:9'"</definedName>
    <definedName name="_AMO_ContentDefinition_15410102.0" hidden="1">"'&lt;ContentDefinition name=""Summary Tables"" rsid=""15410102"" type=""Task"" format=""ReportXml"" imgfmt=""ACTXIMG"" created=""04/30/2009 09:29:34"" modifed=""01/24/2014 16:09:26"" user=""ndivhuwog"" apply=""False"" css=""C:\Documents and Settings\ndivh'"</definedName>
    <definedName name="_AMO_ContentDefinition_15410102.1" hidden="1">"'uwog.000\Application Data\SAS\BI Clients\Styles\Copy  of cpi (Ndivhu).css"" range=""Summary_Tables_23"" auto=""False"" xTime=""00:00:00.4200000"" rTime=""00:00:00.4890000"" bgnew=""False"" nFmt=""False"" grphSet=""False"" imgY=""0"" imgX=""0""&gt;_x000D_
  &lt;fi'"</definedName>
    <definedName name="_AMO_ContentDefinition_15410102.2" hidden="1">"'les&gt;C:\Users\ndivhuwog\Documents\My SAS Files\Add-In for Microsoft Office\_SOA_Summary_Tables_415479318\main.srx&lt;/files&gt;_x000D_
  &lt;parents /&gt;_x000D_
  &lt;children /&gt;_x000D_
  &lt;param n=""TaskID"" v=""D3932E3A-4FEE-43DF-956C-A605AC9AF3E7"" /&gt;_x000D_
  &lt;param n=""DisplayName"" v'"</definedName>
    <definedName name="_AMO_ContentDefinition_15410102.3" hidden="1">"'=""Summary Tables"" /&gt;_x000D_
  &lt;param n=""DisplayType"" v=""Task"" /&gt;_x000D_
  &lt;param n=""RawValues"" v=""True"" /&gt;_x000D_
  &lt;param n=""AMO_Version"" v=""5.1"" /&gt;_x000D_
  &lt;param n=""ServerName"" v=""SASApp"" /&gt;_x000D_
  &lt;param n=""AMO_Template"" v="""" /&gt;_x000D_
  &lt;param n=""UseDat'"</definedName>
    <definedName name="_AMO_ContentDefinition_15410102.4" hidden="1">"'aConstraints"" v=""False"" /&gt;_x000D_
  &lt;param n=""SizeDataConstraints"" v=""0"" /&gt;_x000D_
  &lt;param n=""AMO_InputDataSource"" v=""&amp;lt;SasDataSource Version=&amp;quot;4.2&amp;quot; Type=&amp;quot;SAS.Servers.Dataset&amp;quot; Svr=&amp;quot;SASApp&amp;quot; Lib=&amp;quot;LFSTDATA&amp;quot; FilterD'"</definedName>
    <definedName name="_AMO_ContentDefinition_15410102.5" hidden="1">"'S=&amp;quot;&amp;amp;lt;?xml version=&amp;amp;quot;1.0&amp;amp;quot; encoding=&amp;amp;quot;utf-16&amp;amp;quot;?&amp;amp;gt;&amp;amp;lt;FilterTree&amp;amp;gt;&amp;amp;lt;TreeRoot /&amp;amp;gt;&amp;amp;lt;/FilterTree&amp;amp;gt;&amp;quot; UseLbls=&amp;quot;true&amp;quot; ColSelFlg=&amp;quot;0&amp;quot; Name=&amp;quot;TABLE7A&amp;'"</definedName>
    <definedName name="_AMO_ContentDefinition_15410102.6" hidden="1">"'quot; /&amp;gt;"" /&gt;_x000D_
  &lt;param n=""CredKey"" v=""TABLE7A&amp;#x1;SASApp&amp;#x1;LFSR Tabulation Datasets"" /&gt;_x000D_
  &lt;param n=""ClassName"" v=""SAS.OfficeAddin.Task"" /&gt;_x000D_
  &lt;param n=""XlNative"" v=""False"" /&gt;_x000D_
  &lt;param n=""UnselectedIds"" v="""" /&gt;_x000D_
  &lt;param n=""_'"</definedName>
    <definedName name="_AMO_ContentDefinition_15410102.7" hidden="1">"'ROM_Version_"" v=""1.2"" /&gt;_x000D_
  &lt;param n=""_ROM_Application_"" v=""ODS"" /&gt;_x000D_
  &lt;param n=""_ROM_AppVersion_"" v=""9.2"" /&gt;_x000D_
  &lt;param n=""maxReportCols"" v=""10"" /&gt;_x000D_
  &lt;fids n=""main.srx"" v=""0"" /&gt;_x000D_
  &lt;ExcelXMLOptions AdjColWidths=""True"" RowOpt=""'"</definedName>
    <definedName name="_AMO_ContentDefinition_15410102.8" hidden="1">"'InsertEntire"" ColOpt=""InsertCells"" /&gt;_x000D_
&lt;/ContentDefinition&gt;'"</definedName>
    <definedName name="_AMO_ContentDefinition_205779628" hidden="1">"'Partitions:9'"</definedName>
    <definedName name="_AMO_ContentDefinition_205779628.0" hidden="1">"'&lt;ContentDefinition name=""Summary Tables"" rsid=""205779628"" type=""Task"" format=""ReportXml"" imgfmt=""ACTIVEX"" created=""04/19/2012 11:07:06"" modifed=""02/28/2014 13:42:20"" user=""ndivhuwog"" apply=""False"" css=""C:\Program Files\SAS\Shared Fi'"</definedName>
    <definedName name="_AMO_ContentDefinition_205779628.1" hidden="1">"'les\BIClientStyles\AMODefault.css"" range=""Summary_Tables_43"" auto=""False"" xTime=""00:00:00.4330000"" rTime=""00:00:00.8980000"" bgnew=""False"" nFmt=""False"" grphSet=""False"" imgY=""0"" imgX=""0""&gt;_x000D_
  &lt;files&gt;C:\Users\ndivhuwog\Documents\My SAS '"</definedName>
    <definedName name="_AMO_ContentDefinition_205779628.2" hidden="1">"'Files\Add-In for Microsoft Office\_SOA_Summary_Tables_137374932\main.srx&lt;/files&gt;_x000D_
  &lt;parents /&gt;_x000D_
  &lt;children /&gt;_x000D_
  &lt;param n=""TaskID"" v=""D3932E3A-4FEE-43DF-956C-A605AC9AF3E7"" /&gt;_x000D_
  &lt;param n=""DisplayName"" v=""Summary Tables"" /&gt;_x000D_
  &lt;param n=""Dis'"</definedName>
    <definedName name="_AMO_ContentDefinition_205779628.3" hidden="1">"'playType"" v=""Task"" /&gt;_x000D_
  &lt;param n=""RawValues"" v=""True"" /&gt;_x000D_
  &lt;param n=""AMO_Version"" v=""5.1"" /&gt;_x000D_
  &lt;param n=""ServerName"" v=""SASApp"" /&gt;_x000D_
  &lt;param n=""AMO_Template"" v="""" /&gt;_x000D_
  &lt;param n=""UseDataConstraints"" v=""False"" /&gt;_x000D_
  &lt;param n'"</definedName>
    <definedName name="_AMO_ContentDefinition_205779628.4" hidden="1">"'=""SizeDataConstraints"" v=""0"" /&gt;_x000D_
  &lt;param n=""AMO_InputDataSource"" v=""&amp;lt;SasDataSource Version=&amp;quot;4.2&amp;quot; Type=&amp;quot;SAS.Servers.Dataset&amp;quot; Svr=&amp;quot;SASApp&amp;quot; Lib=&amp;quot;LFSTDATA&amp;quot; FilterDS=&amp;quot;&amp;amp;lt;?xml version=&amp;amp;quot;1.'"</definedName>
    <definedName name="_AMO_ContentDefinition_205779628.5" hidden="1">"'0&amp;amp;quot; encoding=&amp;amp;quot;utf-16&amp;amp;quot;?&amp;amp;gt;&amp;amp;lt;FilterTree&amp;amp;gt;&amp;amp;lt;TreeRoot /&amp;amp;gt;&amp;amp;lt;/FilterTree&amp;amp;gt;&amp;quot; UseLbls=&amp;quot;true&amp;quot; ColSelFlg=&amp;quot;0&amp;quot; Name=&amp;quot;TABLE3_8B&amp;quot; /&amp;gt;"" /&gt;_x000D_
  &lt;param n=""CredKey'"</definedName>
    <definedName name="_AMO_ContentDefinition_205779628.6" hidden="1">"'"" v=""TABLE3_8B&amp;#x1;SASApp&amp;#x1;LFSR Tabulation Datasets"" /&gt;_x000D_
  &lt;param n=""ClassName"" v=""SAS.OfficeAddin.Task"" /&gt;_x000D_
  &lt;param n=""XlNative"" v=""False"" /&gt;_x000D_
  &lt;param n=""UnselectedIds"" v="""" /&gt;_x000D_
  &lt;param n=""_ROM_Version_"" v=""1.2"" /&gt;_x000D_
  &lt;param'"</definedName>
    <definedName name="_AMO_ContentDefinition_205779628.7" hidden="1">"' n=""_ROM_Application_"" v=""ODS"" /&gt;_x000D_
  &lt;param n=""_ROM_AppVersion_"" v=""9.2"" /&gt;_x000D_
  &lt;param n=""maxReportCols"" v=""14"" /&gt;_x000D_
  &lt;fids n=""main.srx"" v=""0"" /&gt;_x000D_
  &lt;ExcelXMLOptions AdjColWidths=""True"" RowOpt=""InsertEntire"" ColOpt=""InsertCells"" /'"</definedName>
    <definedName name="_AMO_ContentDefinition_205779628.8" hidden="1">"'&gt;_x000D_
&lt;/ContentDefinition&gt;'"</definedName>
    <definedName name="_AMO_ContentDefinition_222545728" hidden="1">"'Partitions:9'"</definedName>
    <definedName name="_AMO_ContentDefinition_222545728.0" hidden="1">"'&lt;ContentDefinition name=""Summary Tables"" rsid=""222545728"" type=""Task"" format=""ReportXml"" imgfmt=""ActiveX"" created=""02/14/2014 15:20:38"" modifed=""02/28/2014 13:12:35"" user=""ndivhuwog"" apply=""False"" css=""C:\Program Files\SASHome\SASAd'"</definedName>
    <definedName name="_AMO_ContentDefinition_222545728.1" hidden="1">"'dinforMicrosoftOffice\5.1\Styles\AMODefault.css"" range=""Summary_Tables_60"" auto=""False"" xTime=""00:00:00.4180000"" rTime=""00:00:00.6970000"" bgnew=""False"" nFmt=""False"" grphSet=""False"" imgY=""0"" imgX=""0""&gt;_x000D_
  &lt;files&gt;C:\Users\ndivhuwog\Doc'"</definedName>
    <definedName name="_AMO_ContentDefinition_222545728.2" hidden="1">"'uments\My SAS Files\Add-In for Microsoft Office\_SOA_Summary_Tables_887691185\main.srx&lt;/files&gt;_x000D_
  &lt;parents /&gt;_x000D_
  &lt;children /&gt;_x000D_
  &lt;param n=""TaskID"" v=""D3932E3A-4FEE-43DF-956C-A605AC9AF3E7"" /&gt;_x000D_
  &lt;param n=""DisplayName"" v=""Summary Tables"" /&gt;_x000D_
  &lt;'"</definedName>
    <definedName name="_AMO_ContentDefinition_222545728.3" hidden="1">"'param n=""DisplayType"" v=""Task"" /&gt;_x000D_
  &lt;param n=""RawValues"" v=""True"" /&gt;_x000D_
  &lt;param n=""AMO_Version"" v=""5.1"" /&gt;_x000D_
  &lt;param n=""ServerName"" v=""SASApp"" /&gt;_x000D_
  &lt;param n=""AMO_Template"" v="""" /&gt;_x000D_
  &lt;param n=""UseDataConstraints"" v=""False"" /&gt;'"</definedName>
    <definedName name="_AMO_ContentDefinition_222545728.4" hidden="1">"'_x000D_
  &lt;param n=""SizeDataConstraints"" v=""0"" /&gt;_x000D_
  &lt;param n=""AMO_InputDataSource"" v=""&amp;lt;SasDataSource Version=&amp;quot;4.2&amp;quot; Type=&amp;quot;SAS.Servers.Dataset&amp;quot; Svr=&amp;quot;SASApp&amp;quot; Lib=&amp;quot;LFSTDATA&amp;quot; FilterDS=&amp;quot;&amp;amp;lt;?xml version='"</definedName>
    <definedName name="_AMO_ContentDefinition_222545728.5" hidden="1">"'&amp;amp;quot;1.0&amp;amp;quot; encoding=&amp;amp;quot;utf-16&amp;amp;quot;?&amp;amp;gt;&amp;amp;lt;FilterTree&amp;amp;gt;&amp;amp;lt;TreeRoot /&amp;amp;gt;&amp;amp;lt;/FilterTree&amp;amp;gt;&amp;quot; ColSelFlg=&amp;quot;0&amp;quot; Name=&amp;quot;TABLE2_3B&amp;quot; /&amp;gt;"" /&gt;_x000D_
  &lt;param n=""CredKey"" v=""TABLE2_'"</definedName>
    <definedName name="_AMO_ContentDefinition_222545728.6" hidden="1">"'3B&amp;#x1;SASApp&amp;#x1;LFSR Tabulation Datasets"" /&gt;_x000D_
  &lt;param n=""ClassName"" v=""SAS.OfficeAddin.Task"" /&gt;_x000D_
  &lt;param n=""XlNative"" v=""False"" /&gt;_x000D_
  &lt;param n=""UnselectedIds"" v="""" /&gt;_x000D_
  &lt;param n=""_ROM_Version_"" v=""1.2"" /&gt;_x000D_
  &lt;param n=""_ROM_Ap'"</definedName>
    <definedName name="_AMO_ContentDefinition_222545728.7" hidden="1">"'plication_"" v=""ODS"" /&gt;_x000D_
  &lt;param n=""_ROM_AppVersion_"" v=""9.2"" /&gt;_x000D_
  &lt;param n=""maxReportCols"" v=""13"" /&gt;_x000D_
  &lt;fids n=""main.srx"" v=""0"" /&gt;_x000D_
  &lt;ExcelXMLOptions AdjColWidths=""True"" RowOpt=""InsertEntire"" ColOpt=""InsertCells"" /&gt;_x000D_'"</definedName>
    <definedName name="_AMO_ContentDefinition_222545728.8" hidden="1">"'
&lt;/ContentDefinition&gt;'"</definedName>
    <definedName name="_AMO_ContentDefinition_225272241" hidden="1">"'Partitions:9'"</definedName>
    <definedName name="_AMO_ContentDefinition_225272241.0" hidden="1">"'&lt;ContentDefinition name=""Summary Tables"" rsid=""225272241"" type=""Task"" format=""ReportXml"" imgfmt=""ACTXIMG"" created=""04/29/2009 15:30:49"" modifed=""02/28/2014 13:38:21"" user=""ndivhuwog"" apply=""False"" css=""C:\Documents and Settings\ndiv'"</definedName>
    <definedName name="_AMO_ContentDefinition_225272241.1" hidden="1">"'huwog.000\Application Data\SAS\BI Clients\Styles\Copy  of cpi (Ndivhu).css"" range=""Summary_Tables_13"" auto=""False"" xTime=""00:00:00.4090000"" rTime=""00:00:00.5530000"" bgnew=""False"" nFmt=""False"" grphSet=""False"" imgY=""0"" imgX=""0""&gt;_x000D_
  &lt;f'"</definedName>
    <definedName name="_AMO_ContentDefinition_225272241.2" hidden="1">"'iles&gt;C:\Users\ndivhuwog\Documents\My SAS Files\Add-In for Microsoft Office\_SOA_Summary_Tables_974195893\main.srx&lt;/files&gt;_x000D_
  &lt;parents /&gt;_x000D_
  &lt;children /&gt;_x000D_
  &lt;param n=""TaskID"" v=""D3932E3A-4FEE-43DF-956C-A605AC9AF3E7"" /&gt;_x000D_
  &lt;param n=""DisplayName"" '"</definedName>
    <definedName name="_AMO_ContentDefinition_225272241.3" hidden="1">"'v=""Summary Tables"" /&gt;_x000D_
  &lt;param n=""DisplayType"" v=""Task"" /&gt;_x000D_
  &lt;param n=""RawValues"" v=""True"" /&gt;_x000D_
  &lt;param n=""AMO_Version"" v=""5.1"" /&gt;_x000D_
  &lt;param n=""ServerName"" v=""SASApp"" /&gt;_x000D_
  &lt;param n=""AMO_Template"" v="""" /&gt;_x000D_
  &lt;param n=""UseDa'"</definedName>
    <definedName name="_AMO_ContentDefinition_225272241.4" hidden="1">"'taConstraints"" v=""False"" /&gt;_x000D_
  &lt;param n=""SizeDataConstraints"" v=""0"" /&gt;_x000D_
  &lt;param n=""AMO_InputDataSource"" v=""&amp;lt;SasDataSource Version=&amp;quot;4.2&amp;quot; Type=&amp;quot;SAS.Servers.Dataset&amp;quot; Svr=&amp;quot;SASApp&amp;quot; Lib=&amp;quot;LFSTDATA&amp;quot; Filter'"</definedName>
    <definedName name="_AMO_ContentDefinition_225272241.5" hidden="1">"'DS=&amp;quot;&amp;amp;lt;?xml version=&amp;amp;quot;1.0&amp;amp;quot; encoding=&amp;amp;quot;utf-16&amp;amp;quot;?&amp;amp;gt;&amp;amp;lt;FilterTree&amp;amp;gt;&amp;amp;lt;TreeRoot /&amp;amp;gt;&amp;amp;lt;/FilterTree&amp;amp;gt;&amp;quot; UseLbls=&amp;quot;true&amp;quot; ColSelFlg=&amp;quot;0&amp;quot; Name=&amp;quot;TABLE3_'"</definedName>
    <definedName name="_AMO_ContentDefinition_225272241.6" hidden="1">"'5&amp;quot; /&amp;gt;"" /&gt;_x000D_
  &lt;param n=""CredKey"" v=""TABLE3_5&amp;#x1;SASApp&amp;#x1;LFSR Tabulation Datasets"" /&gt;_x000D_
  &lt;param n=""ClassName"" v=""SAS.OfficeAddin.Task"" /&gt;_x000D_
  &lt;param n=""XlNative"" v=""False"" /&gt;_x000D_
  &lt;param n=""UnselectedIds"" v="""" /&gt;_x000D_
  &lt;param n'"</definedName>
    <definedName name="_AMO_ContentDefinition_225272241.7" hidden="1">"'=""_ROM_Version_"" v=""1.2"" /&gt;_x000D_
  &lt;param n=""_ROM_Application_"" v=""ODS"" /&gt;_x000D_
  &lt;param n=""_ROM_AppVersion_"" v=""9.2"" /&gt;_x000D_
  &lt;param n=""maxReportCols"" v=""14"" /&gt;_x000D_
  &lt;fids n=""main.srx"" v=""0"" /&gt;_x000D_
  &lt;ExcelXMLOptions AdjColWidths=""True"" RowOp'"</definedName>
    <definedName name="_AMO_ContentDefinition_225272241.8" hidden="1">"'t=""InsertEntire"" ColOpt=""InsertCells"" /&gt;_x000D_
&lt;/ContentDefinition&gt;'"</definedName>
    <definedName name="_AMO_ContentDefinition_242095788" hidden="1">"'Partitions:9'"</definedName>
    <definedName name="_AMO_ContentDefinition_242095788.0" hidden="1">"'&lt;ContentDefinition name=""Summary Tables"" rsid=""242095788"" type=""Task"" format=""ReportXml"" imgfmt=""ActiveX"" created=""10/24/2012 16:11:53"" modifed=""03/04/2014 10:18:13"" user=""ndivhuwog"" apply=""False"" css=""C:\Program Files\SASHome\SASAd'"</definedName>
    <definedName name="_AMO_ContentDefinition_242095788.1" hidden="1">"'dinforMicrosoftOffice\5.1\Styles\AMODefault.css"" range=""Summary_Tables_49"" auto=""False"" xTime=""00:00:00.3710000"" rTime=""00:00:00.5560000"" bgnew=""False"" nFmt=""False"" grphSet=""False"" imgY=""0"" imgX=""0""&gt;_x000D_
  &lt;files&gt;C:\Users\ndivhuwog\Doc'"</definedName>
    <definedName name="_AMO_ContentDefinition_242095788.2" hidden="1">"'uments\My SAS Files\Add-In for Microsoft Office\_SOA_Summary_Tables_934375492\main.srx&lt;/files&gt;_x000D_
  &lt;parents /&gt;_x000D_
  &lt;children /&gt;_x000D_
  &lt;param n=""TaskID"" v=""D3932E3A-4FEE-43DF-956C-A605AC9AF3E7"" /&gt;_x000D_
  &lt;param n=""DisplayName"" v=""Summary Tables"" /&gt;_x000D_
  &lt;'"</definedName>
    <definedName name="_AMO_ContentDefinition_242095788.3" hidden="1">"'param n=""DisplayType"" v=""Task"" /&gt;_x000D_
  &lt;param n=""RawValues"" v=""True"" /&gt;_x000D_
  &lt;param n=""AMO_Version"" v=""5.1"" /&gt;_x000D_
  &lt;param n=""ServerName"" v=""SASApp"" /&gt;_x000D_
  &lt;param n=""AMO_Template"" v="""" /&gt;_x000D_
  &lt;param n=""UseDataConstraints"" v=""False"" /&gt;'"</definedName>
    <definedName name="_AMO_ContentDefinition_242095788.4" hidden="1">"'_x000D_
  &lt;param n=""SizeDataConstraints"" v=""0"" /&gt;_x000D_
  &lt;param n=""AMO_InputDataSource"" v=""&amp;lt;SasDataSource Version=&amp;quot;4.2&amp;quot; Type=&amp;quot;SAS.Servers.Dataset&amp;quot; Svr=&amp;quot;SASApp&amp;quot; Lib=&amp;quot;LFSTDATA&amp;quot; FilterDS=&amp;quot;&amp;amp;lt;?xml version='"</definedName>
    <definedName name="_AMO_ContentDefinition_242095788.5" hidden="1">"'&amp;amp;quot;1.0&amp;amp;quot; encoding=&amp;amp;quot;utf-16&amp;amp;quot;?&amp;amp;gt;&amp;amp;lt;FilterTree&amp;amp;gt;&amp;amp;lt;TreeRoot /&amp;amp;gt;&amp;amp;lt;/FilterTree&amp;amp;gt;&amp;quot; ColSelFlg=&amp;quot;0&amp;quot; Name=&amp;quot;TABLE7&amp;quot; /&amp;gt;"" /&gt;_x000D_
  &lt;param n=""CredKey"" v=""TABLE7&amp;#x1'"</definedName>
    <definedName name="_AMO_ContentDefinition_242095788.6" hidden="1">"';SASApp&amp;#x1;LFSR Tabulation Datasets"" /&gt;_x000D_
  &lt;param n=""ClassName"" v=""SAS.OfficeAddin.Task"" /&gt;_x000D_
  &lt;param n=""XlNative"" v=""False"" /&gt;_x000D_
  &lt;param n=""UnselectedIds"" v="""" /&gt;_x000D_
  &lt;param n=""_ROM_Version_"" v=""1.2"" /&gt;_x000D_
  &lt;param n=""_ROM_Applicat'"</definedName>
    <definedName name="_AMO_ContentDefinition_242095788.7" hidden="1">"'ion_"" v=""ODS"" /&gt;_x000D_
  &lt;param n=""_ROM_AppVersion_"" v=""9.2"" /&gt;_x000D_
  &lt;param n=""maxReportCols"" v=""13"" /&gt;_x000D_
  &lt;fids n=""main.srx"" v=""0"" /&gt;_x000D_
  &lt;ExcelXMLOptions AdjColWidths=""True"" RowOpt=""InsertEntire"" ColOpt=""InsertCells"" /&gt;_x000D_'"</definedName>
    <definedName name="_AMO_ContentDefinition_242095788.8" hidden="1">"'
&lt;/ContentDefinition&gt;'"</definedName>
    <definedName name="_AMO_ContentDefinition_247862661" hidden="1">"'Partitions:9'"</definedName>
    <definedName name="_AMO_ContentDefinition_247862661.0" hidden="1">"'&lt;ContentDefinition name=""Summary Tables"" rsid=""247862661"" type=""Task"" format=""ReportXml"" imgfmt=""ACTXIMG"" created=""01/27/2011 15:40:18"" modifed=""02/28/2014 13:44:08"" user=""ndivhuwog"" apply=""False"" css=""C:\Program Files\SAS\Shared Fi'"</definedName>
    <definedName name="_AMO_ContentDefinition_247862661.1" hidden="1">"'les\BIClientStyles\AMODefault.css"" range=""Summary_Tables_33"" auto=""False"" xTime=""00:00:00.4570000"" rTime=""00:00:00.5300000"" bgnew=""False"" nFmt=""False"" grphSet=""False"" imgY=""0"" imgX=""0""&gt;_x000D_
  &lt;files&gt;C:\Users\ndivhuwog\Documents\My SAS '"</definedName>
    <definedName name="_AMO_ContentDefinition_247862661.2" hidden="1">"'Files\Add-In for Microsoft Office\_SOA_Summary_Tables_172771311\main.srx&lt;/files&gt;_x000D_
  &lt;parents /&gt;_x000D_
  &lt;children /&gt;_x000D_
  &lt;param n=""TaskID"" v=""D3932E3A-4FEE-43DF-956C-A605AC9AF3E7"" /&gt;_x000D_
  &lt;param n=""DisplayName"" v=""Summary Tables"" /&gt;_x000D_
  &lt;param n=""Dis'"</definedName>
    <definedName name="_AMO_ContentDefinition_247862661.3" hidden="1">"'playType"" v=""Task"" /&gt;_x000D_
  &lt;param n=""RawValues"" v=""True"" /&gt;_x000D_
  &lt;param n=""AMO_Version"" v=""5.1"" /&gt;_x000D_
  &lt;param n=""ServerName"" v=""SASApp"" /&gt;_x000D_
  &lt;param n=""AMO_Template"" v="""" /&gt;_x000D_
  &lt;param n=""UseDataConstraints"" v=""False"" /&gt;_x000D_
  &lt;param n'"</definedName>
    <definedName name="_AMO_ContentDefinition_247862661.4" hidden="1">"'=""SizeDataConstraints"" v=""0"" /&gt;_x000D_
  &lt;param n=""AMO_InputDataSource"" v=""&amp;lt;SasDataSource Version=&amp;quot;4.2&amp;quot; Type=&amp;quot;SAS.Servers.Dataset&amp;quot; Svr=&amp;quot;SASApp&amp;quot; Lib=&amp;quot;LFSTDATA&amp;quot; FilterDS=&amp;quot;&amp;amp;lt;?xml version=&amp;amp;quot;1.'"</definedName>
    <definedName name="_AMO_ContentDefinition_247862661.5" hidden="1">"'0&amp;amp;quot; encoding=&amp;amp;quot;utf-16&amp;amp;quot;?&amp;amp;gt;&amp;amp;lt;FilterTree&amp;amp;gt;&amp;amp;lt;TreeRoot /&amp;amp;gt;&amp;amp;lt;/FilterTree&amp;amp;gt;&amp;quot; UseLbls=&amp;quot;true&amp;quot; ColSelFlg=&amp;quot;0&amp;quot; Name=&amp;quot;TABLE4&amp;quot; /&amp;gt;"" /&gt;_x000D_
  &lt;param n=""CredKey"" '"</definedName>
    <definedName name="_AMO_ContentDefinition_247862661.6" hidden="1">"'v=""TABLE4&amp;#x1;SASApp&amp;#x1;LFSR Tabulation Datasets"" /&gt;_x000D_
  &lt;param n=""ClassName"" v=""SAS.OfficeAddin.Task"" /&gt;_x000D_
  &lt;param n=""XlNative"" v=""False"" /&gt;_x000D_
  &lt;param n=""UnselectedIds"" v="""" /&gt;_x000D_
  &lt;param n=""_ROM_Version_"" v=""1.2"" /&gt;_x000D_
  &lt;param n=""_'"</definedName>
    <definedName name="_AMO_ContentDefinition_247862661.7" hidden="1">"'ROM_Application_"" v=""ODS"" /&gt;_x000D_
  &lt;param n=""_ROM_AppVersion_"" v=""9.2"" /&gt;_x000D_
  &lt;param n=""maxReportCols"" v=""13"" /&gt;_x000D_
  &lt;fids n=""main.srx"" v=""0"" /&gt;_x000D_
  &lt;ExcelXMLOptions AdjColWidths=""True"" RowOpt=""InsertEntire"" ColOpt=""InsertCells"" /&gt;_x000D_'"</definedName>
    <definedName name="_AMO_ContentDefinition_247862661.8" hidden="1">"'
&lt;/ContentDefinition&gt;'"</definedName>
    <definedName name="_AMO_ContentDefinition_296899469" hidden="1">"'Partitions:6'"</definedName>
    <definedName name="_AMO_ContentDefinition_296899469.0" hidden="1">"'&lt;ContentDefinition name=""SASApp:GDPDATA.SUPPLY_TABLE_FIRST"" rsid=""296899469"" type=""Dataset"" format=""REPORTXML"" imgfmt=""ACTIVEX"" created=""04/08/2009 15:05:03"" modifed=""10/22/2009 10:59:23"" user=""gerhardb"" apply=""False"" thread=""BACK'"</definedName>
    <definedName name="_AMO_ContentDefinition_296899469.1" hidden="1">"'GROUND"" css=""C:\Program Files\SAS\Shared Files\BIClientStyles\AMODefault.css"" range=""SASApp_GDPDATA_SUPPLY_TABLE_FIRST"" auto=""False"" rdc=""False"" mig=""False"" xTime=""00:00:03.7185120"" rTime=""00:00:01.5624000"" bgnew=""False"" nFmt=""Fal'"</definedName>
    <definedName name="_AMO_ContentDefinition_296899469.2" hidden="1">"'se"" grphSet=""False"" imgY=""0"" imgX=""0""&gt;_x000D_
  &lt;files /&gt;_x000D_
  &lt;param n=""DisplayName"" v=""SASApp:GDPDATA.SUPPLY_TABLE_FIRST"" /&gt;_x000D_
  &lt;param n=""AMO_Version"" v=""2.1"" /&gt;_x000D_
  &lt;param n=""DataSourceType"" v=""SAS DATASET"" /&gt;_x000D_
  &lt;param n=""SASFilter""'"</definedName>
    <definedName name="_AMO_ContentDefinition_296899469.3" hidden="1">"' v="""" /&gt;_x000D_
  &lt;param n=""OpenDataInto"" v=""ExistingWorksheet"" /&gt;_x000D_
  &lt;param n=""MoreSheetsForRows"" v=""False"" /&gt;_x000D_
  &lt;param n=""ClassName"" v=""SAS.OfficeAddin.DataViewItem"" /&gt;_x000D_
  &lt;param n=""ServerName"" v=""SASApp"" /&gt;_x000D_
  &lt;param n=""DataSource"" '"</definedName>
    <definedName name="_AMO_ContentDefinition_296899469.4" hidden="1">"'v=""&amp;lt;SasDataSource Version=&amp;quot;2.1&amp;quot; Type=&amp;quot;SAS.Servers.Dataset&amp;quot; Svr=&amp;quot;SASApp&amp;quot; Lib=&amp;quot;GDPDATA&amp;quot; UseLbls=&amp;quot;true&amp;quot; ColSelFlg=&amp;quot;0&amp;quot; Name=&amp;quot;SUPPLY_TABLE_FIRST&amp;quot; /&amp;gt;"" /&gt;_x000D_
  &lt;ExcelXMLOptions AdjCo'"</definedName>
    <definedName name="_AMO_ContentDefinition_296899469.5" hidden="1">"'lWidths=""True"" RowOpt=""InsertCells"" ColOpt=""InsertCells"" /&gt;_x000D_
&lt;/ContentDefinition&gt;'"</definedName>
    <definedName name="_AMO_ContentDefinition_30194841" hidden="1">"'Partitions:9'"</definedName>
    <definedName name="_AMO_ContentDefinition_30194841.0" hidden="1">"'&lt;ContentDefinition name=""Summary Tables"" rsid=""30194841"" type=""Task"" format=""ReportXml"" imgfmt=""ActiveX"" created=""02/14/2014 12:33:27"" modifed=""03/04/2014 10:23:30"" user=""ndivhuwog"" apply=""False"" css=""C:\Program Files\SASHome\SASAdd'"</definedName>
    <definedName name="_AMO_ContentDefinition_30194841.1" hidden="1">"'inforMicrosoftOffice\5.1\Styles\AMODefault.css"" range=""Summary_Tables_57"" auto=""False"" xTime=""00:00:00.3600000"" rTime=""00:00:00.6640000"" bgnew=""False"" nFmt=""False"" grphSet=""False"" imgY=""0"" imgX=""0""&gt;_x000D_
  &lt;files&gt;C:\Users\ndivhuwog\Docu'"</definedName>
    <definedName name="_AMO_ContentDefinition_30194841.2" hidden="1">"'ments\My SAS Files\Add-In for Microsoft Office\_SOA_Summary_Tables_409067076\main.srx&lt;/files&gt;_x000D_
  &lt;parents /&gt;_x000D_
  &lt;children /&gt;_x000D_
  &lt;param n=""TaskID"" v=""D3932E3A-4FEE-43DF-956C-A605AC9AF3E7"" /&gt;_x000D_
  &lt;param n=""DisplayName"" v=""Summary Tables"" /&gt;_x000D_
  &lt;'"</definedName>
    <definedName name="_AMO_ContentDefinition_30194841.3" hidden="1">"'param n=""DisplayType"" v=""Task"" /&gt;_x000D_
  &lt;param n=""RawValues"" v=""True"" /&gt;_x000D_
  &lt;param n=""AMO_Version"" v=""5.1"" /&gt;_x000D_
  &lt;param n=""ServerName"" v=""SASApp"" /&gt;_x000D_
  &lt;param n=""AMO_Template"" v="""" /&gt;_x000D_
  &lt;param n=""UseDataConstraints"" v=""False"" /&gt;'"</definedName>
    <definedName name="_AMO_ContentDefinition_30194841.4" hidden="1">"'_x000D_
  &lt;param n=""SizeDataConstraints"" v=""0"" /&gt;_x000D_
  &lt;param n=""AMO_InputDataSource"" v=""&amp;lt;SasDataSource Version=&amp;quot;4.2&amp;quot; Type=&amp;quot;SAS.Servers.Dataset&amp;quot; Svr=&amp;quot;SASApp&amp;quot; Lib=&amp;quot;LFSTDATA&amp;quot; FilterDS=&amp;quot;&amp;amp;lt;?xml version='"</definedName>
    <definedName name="_AMO_ContentDefinition_30194841.5" hidden="1">"'&amp;amp;quot;1.0&amp;amp;quot; encoding=&amp;amp;quot;utf-16&amp;amp;quot;?&amp;amp;gt;&amp;amp;lt;FilterTree&amp;amp;gt;&amp;amp;lt;TreeRoot /&amp;amp;gt;&amp;amp;lt;/FilterTree&amp;amp;gt;&amp;quot; ColSelFlg=&amp;quot;0&amp;quot; Name=&amp;quot;TABLE6B&amp;quot; /&amp;gt;"" /&gt;_x000D_
  &lt;param n=""CredKey"" v=""TABLE6B&amp;#'"</definedName>
    <definedName name="_AMO_ContentDefinition_30194841.6" hidden="1">"'x1;SASApp&amp;#x1;LFSR Tabulation Datasets"" /&gt;_x000D_
  &lt;param n=""ClassName"" v=""SAS.OfficeAddin.Task"" /&gt;_x000D_
  &lt;param n=""XlNative"" v=""False"" /&gt;_x000D_
  &lt;param n=""UnselectedIds"" v="""" /&gt;_x000D_
  &lt;param n=""_ROM_Version_"" v=""1.2"" /&gt;_x000D_
  &lt;param n=""_ROM_Applic'"</definedName>
    <definedName name="_AMO_ContentDefinition_30194841.7" hidden="1">"'ation_"" v=""ODS"" /&gt;_x000D_
  &lt;param n=""_ROM_AppVersion_"" v=""9.2"" /&gt;_x000D_
  &lt;param n=""maxReportCols"" v=""13"" /&gt;_x000D_
  &lt;fids n=""main.srx"" v=""0"" /&gt;_x000D_
  &lt;ExcelXMLOptions AdjColWidths=""True"" RowOpt=""InsertEntire"" ColOpt=""InsertCells"" /&gt;_x000D_'"</definedName>
    <definedName name="_AMO_ContentDefinition_30194841.8" hidden="1">"'
&lt;/ContentDefinition&gt;'"</definedName>
    <definedName name="_AMO_ContentDefinition_362274166" hidden="1">"'Partitions:6'"</definedName>
    <definedName name="_AMO_ContentDefinition_362274166.0" hidden="1">"'&lt;ContentDefinition name=""SASApp:GDPDATA.USE_TABLE_FIRST"" rsid=""362274166"" type=""Dataset"" format=""REPORTXML"" imgfmt=""ACTIVEX"" created=""04/08/2009 15:07:27"" modifed=""10/22/2009 10:59:24"" user=""gerhardb"" apply=""False"" thread=""BACKGRO'"</definedName>
    <definedName name="_AMO_ContentDefinition_362274166.1" hidden="1">"'UND"" css=""C:\Program Files\SAS\Shared Files\BIClientStyles\AMODefault.css"" range=""SASApp_GDPDATA_USE_TABLE_FIRST"" auto=""False"" rdc=""False"" mig=""False"" xTime=""00:00:00.3593520"" rTime=""00:00:00.5155920"" bgnew=""False"" nFmt=""False"" g'"</definedName>
    <definedName name="_AMO_ContentDefinition_362274166.2" hidden="1">"'rphSet=""False"" imgY=""0"" imgX=""0""&gt;_x000D_
  &lt;files /&gt;_x000D_
  &lt;param n=""DisplayName"" v=""SASApp:GDPDATA.USE_TABLE_FIRST"" /&gt;_x000D_
  &lt;param n=""AMO_Version"" v=""2.1"" /&gt;_x000D_
  &lt;param n=""DataSourceType"" v=""SAS DATASET"" /&gt;_x000D_
  &lt;param n=""SASFilter"" v="""" /&gt;_x000D_'"</definedName>
    <definedName name="_AMO_ContentDefinition_362274166.3" hidden="1">"'
  &lt;param n=""OpenDataInto"" v=""ExistingWorksheet"" /&gt;_x000D_
  &lt;param n=""MoreSheetsForRows"" v=""False"" /&gt;_x000D_
  &lt;param n=""ClassName"" v=""SAS.OfficeAddin.DataViewItem"" /&gt;_x000D_
  &lt;param n=""ServerName"" v=""SASApp"" /&gt;_x000D_
  &lt;param n=""DataSource"" v=""&amp;lt;SasD'"</definedName>
    <definedName name="_AMO_ContentDefinition_362274166.4" hidden="1">"'ataSource Version=&amp;quot;2.1&amp;quot; Type=&amp;quot;SAS.Servers.Dataset&amp;quot; Svr=&amp;quot;SASApp&amp;quot; Lib=&amp;quot;GDPDATA&amp;quot; UseLbls=&amp;quot;true&amp;quot; ColSelFlg=&amp;quot;0&amp;quot; Name=&amp;quot;USE_TABLE_FIRST&amp;quot; /&amp;gt;"" /&gt;_x000D_
  &lt;ExcelXMLOptions AdjColWidths=""True'"</definedName>
    <definedName name="_AMO_ContentDefinition_362274166.5" hidden="1">"'"" RowOpt=""InsertCells"" ColOpt=""InsertCells"" /&gt;_x000D_
&lt;/ContentDefinition&gt;'"</definedName>
    <definedName name="_AMO_ContentDefinition_37461558" hidden="1">"'Partitions:9'"</definedName>
    <definedName name="_AMO_ContentDefinition_37461558.0" hidden="1">"'&lt;ContentDefinition name=""Summary Tables"" rsid=""37461558"" type=""Task"" format=""ReportXml"" imgfmt=""ActiveX"" created=""02/14/2014 15:25:47"" modifed=""02/28/2014 14:17:01"" user=""ndivhuwog"" apply=""False"" css=""C:\Program Files\SASHome\SASAdd'"</definedName>
    <definedName name="_AMO_ContentDefinition_37461558.1" hidden="1">"'inforMicrosoftOffice\5.1\Styles\AMODefault.css"" range=""Summary_Tables_61"" auto=""False"" xTime=""00:00:00.4010000"" rTime=""00:00:00.6050000"" bgnew=""False"" nFmt=""False"" grphSet=""False"" imgY=""0"" imgX=""0""&gt;_x000D_
  &lt;files&gt;C:\Users\ndivhuwog\Docu'"</definedName>
    <definedName name="_AMO_ContentDefinition_37461558.2" hidden="1">"'ments\My SAS Files\Add-In for Microsoft Office\_SOA_Summary_Tables_207425595\main.srx&lt;/files&gt;_x000D_
  &lt;parents /&gt;_x000D_
  &lt;children /&gt;_x000D_
  &lt;param n=""TaskID"" v=""D3932E3A-4FEE-43DF-956C-A605AC9AF3E7"" /&gt;_x000D_
  &lt;param n=""DisplayName"" v=""Summary Tables"" /&gt;_x000D_
  &lt;'"</definedName>
    <definedName name="_AMO_ContentDefinition_37461558.3" hidden="1">"'param n=""DisplayType"" v=""Task"" /&gt;_x000D_
  &lt;param n=""RawValues"" v=""True"" /&gt;_x000D_
  &lt;param n=""AMO_Version"" v=""5.1"" /&gt;_x000D_
  &lt;param n=""ServerName"" v=""SASApp"" /&gt;_x000D_
  &lt;param n=""AMO_Template"" v="""" /&gt;_x000D_
  &lt;param n=""UseDataConstraints"" v=""False"" /&gt;'"</definedName>
    <definedName name="_AMO_ContentDefinition_37461558.4" hidden="1">"'_x000D_
  &lt;param n=""SizeDataConstraints"" v=""0"" /&gt;_x000D_
  &lt;param n=""AMO_InputDataSource"" v=""&amp;lt;SasDataSource Version=&amp;quot;4.2&amp;quot; Type=&amp;quot;SAS.Servers.Dataset&amp;quot; Svr=&amp;quot;SASApp&amp;quot; Lib=&amp;quot;LFSTDATA&amp;quot; FilterDS=&amp;quot;&amp;amp;lt;?xml version='"</definedName>
    <definedName name="_AMO_ContentDefinition_37461558.5" hidden="1">"'&amp;amp;quot;1.0&amp;amp;quot; encoding=&amp;amp;quot;utf-16&amp;amp;quot;?&amp;amp;gt;&amp;amp;lt;FilterTree&amp;amp;gt;&amp;amp;lt;TreeRoot /&amp;amp;gt;&amp;amp;lt;/FilterTree&amp;amp;gt;&amp;quot; ColSelFlg=&amp;quot;0&amp;quot; Name=&amp;quot;TABLE2_4&amp;quot; /&amp;gt;"" /&gt;_x000D_
  &lt;param n=""CredKey"" v=""TABLE2_4'"</definedName>
    <definedName name="_AMO_ContentDefinition_37461558.6" hidden="1">"'&amp;#x1;SASApp&amp;#x1;LFSR Tabulation Datasets"" /&gt;_x000D_
  &lt;param n=""ClassName"" v=""SAS.OfficeAddin.Task"" /&gt;_x000D_
  &lt;param n=""XlNative"" v=""False"" /&gt;_x000D_
  &lt;param n=""UnselectedIds"" v="""" /&gt;_x000D_
  &lt;param n=""_ROM_Version_"" v=""1.2"" /&gt;_x000D_
  &lt;param n=""_ROM_Appl'"</definedName>
    <definedName name="_AMO_ContentDefinition_37461558.7" hidden="1">"'ication_"" v=""ODS"" /&gt;_x000D_
  &lt;param n=""_ROM_AppVersion_"" v=""9.2"" /&gt;_x000D_
  &lt;param n=""maxReportCols"" v=""14"" /&gt;_x000D_
  &lt;fids n=""main.srx"" v=""0"" /&gt;_x000D_
  &lt;ExcelXMLOptions AdjColWidths=""True"" RowOpt=""InsertEntire"" ColOpt=""InsertCells"" /&gt;_x000D_'"</definedName>
    <definedName name="_AMO_ContentDefinition_37461558.8" hidden="1">"'
&lt;/ContentDefinition&gt;'"</definedName>
    <definedName name="_AMO_ContentDefinition_390982613" hidden="1">"'Partitions:9'"</definedName>
    <definedName name="_AMO_ContentDefinition_390982613.0" hidden="1">"'&lt;ContentDefinition name=""Summary Tables"" rsid=""390982613"" type=""Task"" format=""ReportXml"" imgfmt=""ACTXIMG"" created=""04/30/2009 09:25:26"" modifed=""02/28/2014 13:45:22"" user=""ndivhuwog"" apply=""False"" css=""C:\Documents and Settings\ndiv'"</definedName>
    <definedName name="_AMO_ContentDefinition_390982613.1" hidden="1">"'huwog.000\Application Data\SAS\BI Clients\Styles\Copy  of cpi (Ndivhu).css"" range=""Summary_Tables_22"" auto=""False"" xTime=""00:00:00.4100000"" rTime=""00:00:00.5250000"" bgnew=""False"" nFmt=""False"" grphSet=""False"" imgY=""0"" imgX=""0""&gt;_x000D_
  &lt;f'"</definedName>
    <definedName name="_AMO_ContentDefinition_390982613.2" hidden="1">"'iles&gt;C:\Users\ndivhuwog\Documents\My SAS Files\Add-In for Microsoft Office\_SOA_Summary_Tables_209047778\main.srx&lt;/files&gt;_x000D_
  &lt;parents /&gt;_x000D_
  &lt;children /&gt;_x000D_
  &lt;param n=""TaskID"" v=""D3932E3A-4FEE-43DF-956C-A605AC9AF3E7"" /&gt;_x000D_
  &lt;param n=""DisplayName"" '"</definedName>
    <definedName name="_AMO_ContentDefinition_390982613.3" hidden="1">"'v=""Summary Tables"" /&gt;_x000D_
  &lt;param n=""DisplayType"" v=""Task"" /&gt;_x000D_
  &lt;param n=""RawValues"" v=""True"" /&gt;_x000D_
  &lt;param n=""AMO_Version"" v=""5.1"" /&gt;_x000D_
  &lt;param n=""ServerName"" v=""SASApp"" /&gt;_x000D_
  &lt;param n=""AMO_Template"" v="""" /&gt;_x000D_
  &lt;param n=""UseDa'"</definedName>
    <definedName name="_AMO_ContentDefinition_390982613.4" hidden="1">"'taConstraints"" v=""False"" /&gt;_x000D_
  &lt;param n=""SizeDataConstraints"" v=""0"" /&gt;_x000D_
  &lt;param n=""AMO_InputDataSource"" v=""&amp;lt;SasDataSource Version=&amp;quot;4.2&amp;quot; Type=&amp;quot;SAS.Servers.Dataset&amp;quot; Svr=&amp;quot;SASApp&amp;quot; Lib=&amp;quot;LFSTDATA&amp;quot; Filter'"</definedName>
    <definedName name="_AMO_ContentDefinition_390982613.5" hidden="1">"'DS=&amp;quot;&amp;amp;lt;?xml version=&amp;amp;quot;1.0&amp;amp;quot; encoding=&amp;amp;quot;utf-16&amp;amp;quot;?&amp;amp;gt;&amp;amp;lt;FilterTree&amp;amp;gt;&amp;amp;lt;TreeRoot /&amp;amp;gt;&amp;amp;lt;/FilterTree&amp;amp;gt;&amp;quot; UseLbls=&amp;quot;true&amp;quot; ColSelFlg=&amp;quot;0&amp;quot; Name=&amp;quot;TABLE6&amp;'"</definedName>
    <definedName name="_AMO_ContentDefinition_390982613.6" hidden="1">"'quot; /&amp;gt;"" /&gt;_x000D_
  &lt;param n=""CredKey"" v=""TABLE6&amp;#x1;SASApp&amp;#x1;LFSR Tabulation Datasets"" /&gt;_x000D_
  &lt;param n=""ClassName"" v=""SAS.OfficeAddin.Task"" /&gt;_x000D_
  &lt;param n=""XlNative"" v=""False"" /&gt;_x000D_
  &lt;param n=""UnselectedIds"" v="""" /&gt;_x000D_
  &lt;param n=""_'"</definedName>
    <definedName name="_AMO_ContentDefinition_390982613.7" hidden="1">"'ROM_Version_"" v=""1.2"" /&gt;_x000D_
  &lt;param n=""_ROM_Application_"" v=""ODS"" /&gt;_x000D_
  &lt;param n=""_ROM_AppVersion_"" v=""9.2"" /&gt;_x000D_
  &lt;param n=""maxReportCols"" v=""13"" /&gt;_x000D_
  &lt;fids n=""main.srx"" v=""0"" /&gt;_x000D_
  &lt;ExcelXMLOptions AdjColWidths=""True"" RowOpt=""'"</definedName>
    <definedName name="_AMO_ContentDefinition_390982613.8" hidden="1">"'InsertEntire"" ColOpt=""InsertCells"" /&gt;_x000D_
&lt;/ContentDefinition&gt;'"</definedName>
    <definedName name="_AMO_ContentDefinition_398675413" hidden="1">"'Partitions:9'"</definedName>
    <definedName name="_AMO_ContentDefinition_398675413.0" hidden="1">"'&lt;ContentDefinition name=""Summary Tables"" rsid=""398675413"" type=""Task"" format=""ReportXml"" imgfmt=""ACTIVEX"" created=""04/19/2012 10:34:46"" modifed=""02/28/2014 13:39:04"" user=""ndivhuwog"" apply=""False"" css=""C:\Program Files\SAS\Shared Fi'"</definedName>
    <definedName name="_AMO_ContentDefinition_398675413.1" hidden="1">"'les\BIClientStyles\AMODefault.css"" range=""Summary_Tables_39"" auto=""False"" xTime=""00:00:00.3840000"" rTime=""00:00:00.4760000"" bgnew=""False"" nFmt=""False"" grphSet=""False"" imgY=""0"" imgX=""0""&gt;_x000D_
  &lt;files&gt;C:\Users\ndivhuwog\Documents\My SAS '"</definedName>
    <definedName name="_AMO_ContentDefinition_398675413.2" hidden="1">"'Files\Add-In for Microsoft Office\_SOA_Summary_Tables_722109671\main.srx&lt;/files&gt;_x000D_
  &lt;parents /&gt;_x000D_
  &lt;children /&gt;_x000D_
  &lt;param n=""TaskID"" v=""D3932E3A-4FEE-43DF-956C-A605AC9AF3E7"" /&gt;_x000D_
  &lt;param n=""DisplayName"" v=""Summary Tables"" /&gt;_x000D_
  &lt;param n=""Dis'"</definedName>
    <definedName name="_AMO_ContentDefinition_398675413.3" hidden="1">"'playType"" v=""Task"" /&gt;_x000D_
  &lt;param n=""RawValues"" v=""True"" /&gt;_x000D_
  &lt;param n=""AMO_Version"" v=""5.1"" /&gt;_x000D_
  &lt;param n=""ServerName"" v=""SASApp"" /&gt;_x000D_
  &lt;param n=""AMO_Template"" v="""" /&gt;_x000D_
  &lt;param n=""UseDataConstraints"" v=""False"" /&gt;_x000D_
  &lt;param n'"</definedName>
    <definedName name="_AMO_ContentDefinition_398675413.4" hidden="1">"'=""SizeDataConstraints"" v=""0"" /&gt;_x000D_
  &lt;param n=""AMO_InputDataSource"" v=""&amp;lt;SasDataSource Version=&amp;quot;4.2&amp;quot; Type=&amp;quot;SAS.Servers.Dataset&amp;quot; Svr=&amp;quot;SASApp&amp;quot; Lib=&amp;quot;LFSTDATA&amp;quot; FilterDS=&amp;quot;&amp;amp;lt;?xml version=&amp;amp;quot;1.'"</definedName>
    <definedName name="_AMO_ContentDefinition_398675413.5" hidden="1">"'0&amp;amp;quot; encoding=&amp;amp;quot;utf-16&amp;amp;quot;?&amp;amp;gt;&amp;amp;lt;FilterTree&amp;amp;gt;&amp;amp;lt;TreeRoot /&amp;amp;gt;&amp;amp;lt;/FilterTree&amp;amp;gt;&amp;quot; UseLbls=&amp;quot;true&amp;quot; ColSelFlg=&amp;quot;0&amp;quot; Name=&amp;quot;TABLE3_6&amp;quot; /&amp;gt;"" /&gt;_x000D_
  &lt;param n=""CredKey""'"</definedName>
    <definedName name="_AMO_ContentDefinition_398675413.6" hidden="1">"' v=""TABLE3_6&amp;#x1;SASApp&amp;#x1;LFSR Tabulation Datasets"" /&gt;_x000D_
  &lt;param n=""ClassName"" v=""SAS.OfficeAddin.Task"" /&gt;_x000D_
  &lt;param n=""XlNative"" v=""False"" /&gt;_x000D_
  &lt;param n=""UnselectedIds"" v="""" /&gt;_x000D_
  &lt;param n=""_ROM_Version_"" v=""1.2"" /&gt;_x000D_
  &lt;param n'"</definedName>
    <definedName name="_AMO_ContentDefinition_398675413.7" hidden="1">"'=""_ROM_Application_"" v=""ODS"" /&gt;_x000D_
  &lt;param n=""_ROM_AppVersion_"" v=""9.2"" /&gt;_x000D_
  &lt;param n=""maxReportCols"" v=""13"" /&gt;_x000D_
  &lt;fids n=""main.srx"" v=""0"" /&gt;_x000D_
  &lt;ExcelXMLOptions AdjColWidths=""True"" RowOpt=""InsertEntire"" ColOpt=""InsertCells"" /&gt;'"</definedName>
    <definedName name="_AMO_ContentDefinition_398675413.8" hidden="1">"'_x000D_
&lt;/ContentDefinition&gt;'"</definedName>
    <definedName name="_AMO_ContentDefinition_416626384" hidden="1">"'Partitions:9'"</definedName>
    <definedName name="_AMO_ContentDefinition_416626384.0" hidden="1">"'&lt;ContentDefinition name=""Summary Tables"" rsid=""416626384"" type=""Task"" format=""ReportXml"" imgfmt=""ActiveX"" created=""10/17/2013 08:57:04"" modifed=""03/03/2014 15:46:53"" user=""ndivhuwog"" apply=""False"" css=""C:\Program Files\SASHome\SASAd'"</definedName>
    <definedName name="_AMO_ContentDefinition_416626384.1" hidden="1">"'dinforMicrosoftOffice\5.1\Styles\AMODefault.css"" range=""Summary_Tables_53"" auto=""False"" xTime=""00:00:00.4300430"" rTime=""00:00:00.6620662"" bgnew=""False"" nFmt=""False"" grphSet=""False"" imgY=""0"" imgX=""0""&gt;_x000D_
  &lt;files&gt;C:\Users\ndivhuwog\Doc'"</definedName>
    <definedName name="_AMO_ContentDefinition_416626384.2" hidden="1">"'uments\My SAS Files\Add-In for Microsoft Office\_SOA_Summary_Tables_558012043\main.srx&lt;/files&gt;_x000D_
  &lt;parents /&gt;_x000D_
  &lt;children /&gt;_x000D_
  &lt;param n=""TaskID"" v=""D3932E3A-4FEE-43DF-956C-A605AC9AF3E7"" /&gt;_x000D_
  &lt;param n=""DisplayName"" v=""Summary Tables"" /&gt;_x000D_
  &lt;'"</definedName>
    <definedName name="_AMO_ContentDefinition_416626384.3" hidden="1">"'param n=""DisplayType"" v=""Task"" /&gt;_x000D_
  &lt;param n=""RawValues"" v=""True"" /&gt;_x000D_
  &lt;param n=""AMO_Version"" v=""5.1"" /&gt;_x000D_
  &lt;param n=""ServerName"" v=""SASApp"" /&gt;_x000D_
  &lt;param n=""AMO_Template"" v="""" /&gt;_x000D_
  &lt;param n=""UseDataConstraints"" v=""False"" /&gt;'"</definedName>
    <definedName name="_AMO_ContentDefinition_416626384.4" hidden="1">"'_x000D_
  &lt;param n=""SizeDataConstraints"" v=""0"" /&gt;_x000D_
  &lt;param n=""AMO_InputDataSource"" v=""&amp;lt;SasDataSource Version=&amp;quot;4.2&amp;quot; Type=&amp;quot;SAS.Servers.Dataset&amp;quot; Svr=&amp;quot;SASApp&amp;quot; Lib=&amp;quot;LFSTDATA&amp;quot; FilterDS=&amp;quot;&amp;amp;lt;?xml version='"</definedName>
    <definedName name="_AMO_ContentDefinition_416626384.5" hidden="1">"'&amp;amp;quot;1.0&amp;amp;quot; encoding=&amp;amp;quot;utf-16&amp;amp;quot;?&amp;amp;gt;&amp;amp;lt;FilterTree&amp;amp;gt;&amp;amp;lt;TreeRoot /&amp;amp;gt;&amp;amp;lt;/FilterTree&amp;amp;gt;&amp;quot; ColSelFlg=&amp;quot;0&amp;quot; Name=&amp;quot;TABLE2_7A&amp;quot; /&amp;gt;"" /&gt;_x000D_
  &lt;param n=""CredKey"" v=""TABLE2_'"</definedName>
    <definedName name="_AMO_ContentDefinition_416626384.6" hidden="1">"'7A&amp;#x1;SASApp&amp;#x1;LFSR Tabulation Datasets"" /&gt;_x000D_
  &lt;param n=""ClassName"" v=""SAS.OfficeAddin.Task"" /&gt;_x000D_
  &lt;param n=""XlNative"" v=""False"" /&gt;_x000D_
  &lt;param n=""UnselectedIds"" v="""" /&gt;_x000D_
  &lt;param n=""_ROM_Version_"" v=""1.2"" /&gt;_x000D_
  &lt;param n=""_ROM_Ap'"</definedName>
    <definedName name="_AMO_ContentDefinition_416626384.7" hidden="1">"'plication_"" v=""ODS"" /&gt;_x000D_
  &lt;param n=""_ROM_AppVersion_"" v=""9.2"" /&gt;_x000D_
  &lt;param n=""maxReportCols"" v=""13"" /&gt;_x000D_
  &lt;fids n=""main.srx"" v=""0"" /&gt;_x000D_
  &lt;ExcelXMLOptions AdjColWidths=""True"" RowOpt=""InsertEntire"" ColOpt=""InsertCells"" /&gt;_x000D_'"</definedName>
    <definedName name="_AMO_ContentDefinition_416626384.8" hidden="1">"'
&lt;/ContentDefinition&gt;'"</definedName>
    <definedName name="_AMO_ContentDefinition_472893794" hidden="1">"'Partitions:9'"</definedName>
    <definedName name="_AMO_ContentDefinition_472893794.0" hidden="1">"'&lt;ContentDefinition name=""Summary Tables"" rsid=""472893794"" type=""Task"" format=""ReportXml"" imgfmt=""ACTIVEX"" created=""04/19/2012 10:39:40"" modifed=""02/28/2014 13:39:58"" user=""ndivhuwog"" apply=""False"" css=""C:\Program Files\SAS\Shared Fi'"</definedName>
    <definedName name="_AMO_ContentDefinition_472893794.1" hidden="1">"'les\BIClientStyles\AMODefault.css"" range=""Summary_Tables_40"" auto=""False"" xTime=""00:00:00.3630000"" rTime=""00:00:00.4310000"" bgnew=""False"" nFmt=""False"" grphSet=""False"" imgY=""0"" imgX=""0""&gt;_x000D_
  &lt;files&gt;C:\Users\ndivhuwog\Documents\My SAS '"</definedName>
    <definedName name="_AMO_ContentDefinition_472893794.2" hidden="1">"'Files\Add-In for Microsoft Office\_SOA_Summary_Tables_319318931\main.srx&lt;/files&gt;_x000D_
  &lt;parents /&gt;_x000D_
  &lt;children /&gt;_x000D_
  &lt;param n=""TaskID"" v=""D3932E3A-4FEE-43DF-956C-A605AC9AF3E7"" /&gt;_x000D_
  &lt;param n=""DisplayName"" v=""Summary Tables"" /&gt;_x000D_
  &lt;param n=""Dis'"</definedName>
    <definedName name="_AMO_ContentDefinition_472893794.3" hidden="1">"'playType"" v=""Task"" /&gt;_x000D_
  &lt;param n=""RawValues"" v=""True"" /&gt;_x000D_
  &lt;param n=""AMO_Version"" v=""5.1"" /&gt;_x000D_
  &lt;param n=""ServerName"" v=""SASApp"" /&gt;_x000D_
  &lt;param n=""AMO_Template"" v="""" /&gt;_x000D_
  &lt;param n=""UseDataConstraints"" v=""False"" /&gt;_x000D_
  &lt;param n'"</definedName>
    <definedName name="_AMO_ContentDefinition_472893794.4" hidden="1">"'=""SizeDataConstraints"" v=""0"" /&gt;_x000D_
  &lt;param n=""AMO_InputDataSource"" v=""&amp;lt;SasDataSource Version=&amp;quot;4.2&amp;quot; Type=&amp;quot;SAS.Servers.Dataset&amp;quot; Svr=&amp;quot;SASApp&amp;quot; Lib=&amp;quot;LFSTDATA&amp;quot; FilterDS=&amp;quot;&amp;amp;lt;?xml version=&amp;amp;quot;1.'"</definedName>
    <definedName name="_AMO_ContentDefinition_472893794.5" hidden="1">"'0&amp;amp;quot; encoding=&amp;amp;quot;utf-16&amp;amp;quot;?&amp;amp;gt;&amp;amp;lt;FilterTree&amp;amp;gt;&amp;amp;lt;TreeRoot /&amp;amp;gt;&amp;amp;lt;/FilterTree&amp;amp;gt;&amp;quot; UseLbls=&amp;quot;true&amp;quot; ColSelFlg=&amp;quot;0&amp;quot; Name=&amp;quot;TABLE3_7&amp;quot; /&amp;gt;"" /&gt;_x000D_
  &lt;param n=""CredKey""'"</definedName>
    <definedName name="_AMO_ContentDefinition_472893794.6" hidden="1">"' v=""TABLE3_7&amp;#x1;SASApp&amp;#x1;LFSR Tabulation Datasets"" /&gt;_x000D_
  &lt;param n=""ClassName"" v=""SAS.OfficeAddin.Task"" /&gt;_x000D_
  &lt;param n=""XlNative"" v=""False"" /&gt;_x000D_
  &lt;param n=""UnselectedIds"" v="""" /&gt;_x000D_
  &lt;param n=""_ROM_Version_"" v=""1.2"" /&gt;_x000D_
  &lt;param n'"</definedName>
    <definedName name="_AMO_ContentDefinition_472893794.7" hidden="1">"'=""_ROM_Application_"" v=""ODS"" /&gt;_x000D_
  &lt;param n=""_ROM_AppVersion_"" v=""9.2"" /&gt;_x000D_
  &lt;param n=""maxReportCols"" v=""14"" /&gt;_x000D_
  &lt;fids n=""main.srx"" v=""0"" /&gt;_x000D_
  &lt;ExcelXMLOptions AdjColWidths=""True"" RowOpt=""InsertEntire"" ColOpt=""InsertCells"" /&gt;'"</definedName>
    <definedName name="_AMO_ContentDefinition_472893794.8" hidden="1">"'_x000D_
&lt;/ContentDefinition&gt;'"</definedName>
    <definedName name="_AMO_ContentDefinition_539372770" hidden="1">"'Partitions:9'"</definedName>
    <definedName name="_AMO_ContentDefinition_539372770.0" hidden="1">"'&lt;ContentDefinition name=""Summary Tables"" rsid=""539372770"" type=""Task"" format=""ReportXml"" imgfmt=""ActiveX"" created=""02/14/2014 15:08:13"" modifed=""02/28/2014 13:12:16"" user=""ndivhuwog"" apply=""False"" css=""C:\Program Files\SASHome\SASAd'"</definedName>
    <definedName name="_AMO_ContentDefinition_539372770.1" hidden="1">"'dinforMicrosoftOffice\5.1\Styles\AMODefault.css"" range=""Summary_Tables_48"" auto=""False"" xTime=""00:00:00.4450000"" rTime=""00:00:00.6550000"" bgnew=""False"" nFmt=""False"" grphSet=""False"" imgY=""0"" imgX=""0""&gt;_x000D_
  &lt;files&gt;C:\Users\ndivhuwog\Doc'"</definedName>
    <definedName name="_AMO_ContentDefinition_539372770.2" hidden="1">"'uments\My SAS Files\Add-In for Microsoft Office\_SOA_Summary_Tables_14096437\main.srx&lt;/files&gt;_x000D_
  &lt;parents /&gt;_x000D_
  &lt;children /&gt;_x000D_
  &lt;param n=""TaskID"" v=""D3932E3A-4FEE-43DF-956C-A605AC9AF3E7"" /&gt;_x000D_
  &lt;param n=""DisplayName"" v=""Summary Tables"" /&gt;_x000D_
  &lt;'"</definedName>
    <definedName name="_AMO_ContentDefinition_539372770.3" hidden="1">"'param n=""DisplayType"" v=""Task"" /&gt;_x000D_
  &lt;param n=""RawValues"" v=""True"" /&gt;_x000D_
  &lt;param n=""AMO_Version"" v=""5.1"" /&gt;_x000D_
  &lt;param n=""ServerName"" v=""SASApp"" /&gt;_x000D_
  &lt;param n=""AMO_Template"" v="""" /&gt;_x000D_
  &lt;param n=""UseDataConstraints"" v=""False"" /&gt;'"</definedName>
    <definedName name="_AMO_ContentDefinition_539372770.4" hidden="1">"'_x000D_
  &lt;param n=""SizeDataConstraints"" v=""0"" /&gt;_x000D_
  &lt;param n=""AMO_InputDataSource"" v=""&amp;lt;SasDataSource Version=&amp;quot;4.2&amp;quot; Type=&amp;quot;SAS.Servers.Dataset&amp;quot; Svr=&amp;quot;SASApp&amp;quot; Lib=&amp;quot;LFSTDATA&amp;quot; FilterDS=&amp;quot;&amp;amp;lt;?xml version='"</definedName>
    <definedName name="_AMO_ContentDefinition_539372770.5" hidden="1">"'&amp;amp;quot;1.0&amp;amp;quot; encoding=&amp;amp;quot;utf-16&amp;amp;quot;?&amp;amp;gt;&amp;amp;lt;FilterTree&amp;amp;gt;&amp;amp;lt;TreeRoot /&amp;amp;gt;&amp;amp;lt;/FilterTree&amp;amp;gt;&amp;quot; ColSelFlg=&amp;quot;0&amp;quot; Name=&amp;quot;TABLE2_3A&amp;quot; /&amp;gt;"" /&gt;_x000D_
  &lt;param n=""CredKey"" v=""TABLE2_'"</definedName>
    <definedName name="_AMO_ContentDefinition_539372770.6" hidden="1">"'3A&amp;#x1;SASApp&amp;#x1;LFSR Tabulation Datasets"" /&gt;_x000D_
  &lt;param n=""ClassName"" v=""SAS.OfficeAddin.Task"" /&gt;_x000D_
  &lt;param n=""XlNative"" v=""False"" /&gt;_x000D_
  &lt;param n=""UnselectedIds"" v="""" /&gt;_x000D_
  &lt;param n=""_ROM_Version_"" v=""1.2"" /&gt;_x000D_
  &lt;param n=""_ROM_Ap'"</definedName>
    <definedName name="_AMO_ContentDefinition_539372770.7" hidden="1">"'plication_"" v=""ODS"" /&gt;_x000D_
  &lt;param n=""_ROM_AppVersion_"" v=""9.2"" /&gt;_x000D_
  &lt;param n=""maxReportCols"" v=""13"" /&gt;_x000D_
  &lt;fids n=""main.srx"" v=""0"" /&gt;_x000D_
  &lt;ExcelXMLOptions AdjColWidths=""True"" RowOpt=""InsertEntire"" ColOpt=""InsertCells"" /&gt;_x000D_'"</definedName>
    <definedName name="_AMO_ContentDefinition_539372770.8" hidden="1">"'
&lt;/ContentDefinition&gt;'"</definedName>
    <definedName name="_AMO_ContentDefinition_572615156" hidden="1">"'Partitions:9'"</definedName>
    <definedName name="_AMO_ContentDefinition_572615156.0" hidden="1">"'&lt;ContentDefinition name=""Summary Tables"" rsid=""572615156"" type=""Task"" format=""ReportXml"" imgfmt=""ActiveX"" created=""02/14/2014 09:41:50"" modifed=""02/28/2014 13:11:22"" user=""ndivhuwog"" apply=""False"" css=""C:\Program Files\SASHome\SASAd'"</definedName>
    <definedName name="_AMO_ContentDefinition_572615156.1" hidden="1">"'dinforMicrosoftOffice\5.1\Styles\AMODefault.css"" range=""Summary_Tables_55"" auto=""False"" xTime=""00:00:00.5750000"" rTime=""00:00:01.6700000"" bgnew=""False"" nFmt=""False"" grphSet=""False"" imgY=""0"" imgX=""0""&gt;_x000D_
  &lt;files&gt;C:\Users\ndivhuwog\Doc'"</definedName>
    <definedName name="_AMO_ContentDefinition_572615156.2" hidden="1">"'uments\My SAS Files\Add-In for Microsoft Office\_SOA_Summary_Tables_630743990\main.srx&lt;/files&gt;_x000D_
  &lt;parents /&gt;_x000D_
  &lt;children /&gt;_x000D_
  &lt;param n=""TaskID"" v=""D3932E3A-4FEE-43DF-956C-A605AC9AF3E7"" /&gt;_x000D_
  &lt;param n=""DisplayName"" v=""Summary Tables"" /&gt;_x000D_
  &lt;'"</definedName>
    <definedName name="_AMO_ContentDefinition_572615156.3" hidden="1">"'param n=""DisplayType"" v=""Task"" /&gt;_x000D_
  &lt;param n=""RawValues"" v=""True"" /&gt;_x000D_
  &lt;param n=""AMO_Version"" v=""5.1"" /&gt;_x000D_
  &lt;param n=""ServerName"" v=""SASApp"" /&gt;_x000D_
  &lt;param n=""AMO_Template"" v="""" /&gt;_x000D_
  &lt;param n=""UseDataConstraints"" v=""False"" /&gt;'"</definedName>
    <definedName name="_AMO_ContentDefinition_572615156.4" hidden="1">"'_x000D_
  &lt;param n=""SizeDataConstraints"" v=""0"" /&gt;_x000D_
  &lt;param n=""AMO_InputDataSource"" v=""&amp;lt;SasDataSource Version=&amp;quot;4.2&amp;quot; Type=&amp;quot;SAS.Servers.Dataset&amp;quot; Svr=&amp;quot;SASApp&amp;quot; Lib=&amp;quot;LFSTDATA&amp;quot; FilterDS=&amp;quot;&amp;amp;lt;?xml version='"</definedName>
    <definedName name="_AMO_ContentDefinition_572615156.5" hidden="1">"'&amp;amp;quot;1.0&amp;amp;quot; encoding=&amp;amp;quot;utf-16&amp;amp;quot;?&amp;amp;gt;&amp;amp;lt;FilterTree&amp;amp;gt;&amp;amp;lt;TreeRoot /&amp;amp;gt;&amp;amp;lt;/FilterTree&amp;amp;gt;&amp;quot; ColSelFlg=&amp;quot;0&amp;quot; Name=&amp;quot;TABLE1&amp;quot; /&amp;gt;"" /&gt;_x000D_
  &lt;param n=""CredKey"" v=""TABLE1&amp;#x1'"</definedName>
    <definedName name="_AMO_ContentDefinition_572615156.6" hidden="1">"';SASApp&amp;#x1;LFSR Tabulation Datasets"" /&gt;_x000D_
  &lt;param n=""ClassName"" v=""SAS.OfficeAddin.Task"" /&gt;_x000D_
  &lt;param n=""XlNative"" v=""False"" /&gt;_x000D_
  &lt;param n=""UnselectedIds"" v="""" /&gt;_x000D_
  &lt;param n=""_ROM_Version_"" v=""1.2"" /&gt;_x000D_
  &lt;param n=""_ROM_Applicat'"</definedName>
    <definedName name="_AMO_ContentDefinition_572615156.7" hidden="1">"'ion_"" v=""ODS"" /&gt;_x000D_
  &lt;param n=""_ROM_AppVersion_"" v=""9.2"" /&gt;_x000D_
  &lt;param n=""maxReportCols"" v=""14"" /&gt;_x000D_
  &lt;fids n=""main.srx"" v=""0"" /&gt;_x000D_
  &lt;ExcelXMLOptions AdjColWidths=""True"" RowOpt=""InsertEntire"" ColOpt=""InsertCells"" /&gt;_x000D_'"</definedName>
    <definedName name="_AMO_ContentDefinition_572615156.8" hidden="1">"'
&lt;/ContentDefinition&gt;'"</definedName>
    <definedName name="_AMO_ContentDefinition_576762798" hidden="1">"'Partitions:9'"</definedName>
    <definedName name="_AMO_ContentDefinition_576762798.0" hidden="1">"'&lt;ContentDefinition name=""Summary Tables"" rsid=""576762798"" type=""Task"" format=""ReportXml"" imgfmt=""ACTXIMG"" created=""04/28/2009 15:48:21"" modifed=""02/28/2014 13:36:30"" user=""ndivhuwog"" apply=""False"" css=""C:\Documents and Settings\ndiv'"</definedName>
    <definedName name="_AMO_ContentDefinition_576762798.1" hidden="1">"'huwog.000\Application Data\SAS\BI Clients\Styles\Copy  of cpi (Ndivhu).css"" range=""Summary_Tables_7"" auto=""False"" xTime=""00:00:00.3550000"" rTime=""00:00:00.5090000"" bgnew=""False"" nFmt=""False"" grphSet=""False"" imgY=""0"" imgX=""0""&gt;_x000D_
  &lt;fi'"</definedName>
    <definedName name="_AMO_ContentDefinition_576762798.2" hidden="1">"'les&gt;C:\Users\ndivhuwog\Documents\My SAS Files\Add-In for Microsoft Office\_SOA_Summary_Tables_201144259\main.srx&lt;/files&gt;_x000D_
  &lt;parents /&gt;_x000D_
  &lt;children /&gt;_x000D_
  &lt;param n=""TaskID"" v=""D3932E3A-4FEE-43DF-956C-A605AC9AF3E7"" /&gt;_x000D_
  &lt;param n=""DisplayName"" v'"</definedName>
    <definedName name="_AMO_ContentDefinition_576762798.3" hidden="1">"'=""Summary Tables"" /&gt;_x000D_
  &lt;param n=""DisplayType"" v=""Task"" /&gt;_x000D_
  &lt;param n=""RawValues"" v=""True"" /&gt;_x000D_
  &lt;param n=""AMO_Version"" v=""5.1"" /&gt;_x000D_
  &lt;param n=""ServerName"" v=""SASApp"" /&gt;_x000D_
  &lt;param n=""AMO_Template"" v="""" /&gt;_x000D_
  &lt;param n=""UseDat'"</definedName>
    <definedName name="_AMO_ContentDefinition_576762798.4" hidden="1">"'aConstraints"" v=""False"" /&gt;_x000D_
  &lt;param n=""SizeDataConstraints"" v=""0"" /&gt;_x000D_
  &lt;param n=""AMO_InputDataSource"" v=""&amp;lt;SasDataSource Version=&amp;quot;4.2&amp;quot; Type=&amp;quot;SAS.Servers.Dataset&amp;quot; Svr=&amp;quot;SASApp&amp;quot; Lib=&amp;quot;LFSTDATA&amp;quot; FilterD'"</definedName>
    <definedName name="_AMO_ContentDefinition_576762798.5" hidden="1">"'S=&amp;quot;&amp;amp;lt;?xml version=&amp;amp;quot;1.0&amp;amp;quot; encoding=&amp;amp;quot;utf-16&amp;amp;quot;?&amp;amp;gt;&amp;amp;lt;FilterTree&amp;amp;gt;&amp;amp;lt;TreeRoot /&amp;amp;gt;&amp;amp;lt;/FilterTree&amp;amp;gt;&amp;quot; UseLbls=&amp;quot;true&amp;quot; ColSelFlg=&amp;quot;0&amp;quot; Name=&amp;quot;TABLE3_3'"</definedName>
    <definedName name="_AMO_ContentDefinition_576762798.6" hidden="1">"'&amp;quot; /&amp;gt;"" /&gt;_x000D_
  &lt;param n=""CredKey"" v=""TABLE3_3&amp;#x1;SASApp&amp;#x1;LFSR Tabulation Datasets"" /&gt;_x000D_
  &lt;param n=""ClassName"" v=""SAS.OfficeAddin.Task"" /&gt;_x000D_
  &lt;param n=""XlNative"" v=""False"" /&gt;_x000D_
  &lt;param n=""UnselectedIds"" v="""" /&gt;_x000D_
  &lt;param n='"</definedName>
    <definedName name="_AMO_ContentDefinition_576762798.7" hidden="1">"'""_ROM_Version_"" v=""1.2"" /&gt;_x000D_
  &lt;param n=""_ROM_Application_"" v=""ODS"" /&gt;_x000D_
  &lt;param n=""_ROM_AppVersion_"" v=""9.2"" /&gt;_x000D_
  &lt;param n=""maxReportCols"" v=""14"" /&gt;_x000D_
  &lt;fids n=""main.srx"" v=""0"" /&gt;_x000D_
  &lt;ExcelXMLOptions AdjColWidths=""True"" RowOp'"</definedName>
    <definedName name="_AMO_ContentDefinition_576762798.8" hidden="1">"'t=""InsertEntire"" ColOpt=""InsertCells"" /&gt;_x000D_
&lt;/ContentDefinition&gt;'"</definedName>
    <definedName name="_AMO_ContentDefinition_576788546" hidden="1">"'Partitions:9'"</definedName>
    <definedName name="_AMO_ContentDefinition_576788546.0" hidden="1">"'&lt;ContentDefinition name=""Summary Tables"" rsid=""576788546"" type=""Task"" format=""ReportXml"" imgfmt=""ActiveX"" created=""02/14/2014 15:04:16"" modifed=""02/28/2014 13:12:09"" user=""ndivhuwog"" apply=""False"" css=""C:\Program Files\SASHome\SASAd'"</definedName>
    <definedName name="_AMO_ContentDefinition_576788546.1" hidden="1">"'dinforMicrosoftOffice\5.1\Styles\AMODefault.css"" range=""Summary_Tables_59"" auto=""False"" xTime=""00:00:00.4400000"" rTime=""00:00:00.6800000"" bgnew=""False"" nFmt=""False"" grphSet=""False"" imgY=""0"" imgX=""0""&gt;_x000D_
  &lt;files&gt;C:\Users\ndivhuwog\Doc'"</definedName>
    <definedName name="_AMO_ContentDefinition_576788546.2" hidden="1">"'uments\My SAS Files\Add-In for Microsoft Office\_SOA_Summary_Tables_997907463\main.srx&lt;/files&gt;_x000D_
  &lt;parents /&gt;_x000D_
  &lt;children /&gt;_x000D_
  &lt;param n=""TaskID"" v=""D3932E3A-4FEE-43DF-956C-A605AC9AF3E7"" /&gt;_x000D_
  &lt;param n=""DisplayName"" v=""Summary Tables"" /&gt;_x000D_
  &lt;'"</definedName>
    <definedName name="_AMO_ContentDefinition_576788546.3" hidden="1">"'param n=""DisplayType"" v=""Task"" /&gt;_x000D_
  &lt;param n=""RawValues"" v=""True"" /&gt;_x000D_
  &lt;param n=""AMO_Version"" v=""5.1"" /&gt;_x000D_
  &lt;param n=""ServerName"" v=""SASApp"" /&gt;_x000D_
  &lt;param n=""AMO_Template"" v="""" /&gt;_x000D_
  &lt;param n=""UseDataConstraints"" v=""False"" /&gt;'"</definedName>
    <definedName name="_AMO_ContentDefinition_576788546.4" hidden="1">"'_x000D_
  &lt;param n=""SizeDataConstraints"" v=""0"" /&gt;_x000D_
  &lt;param n=""AMO_InputDataSource"" v=""&amp;lt;SasDataSource Version=&amp;quot;4.2&amp;quot; Type=&amp;quot;SAS.Servers.Dataset&amp;quot; Svr=&amp;quot;SASApp&amp;quot; Lib=&amp;quot;LFSTDATA&amp;quot; FilterDS=&amp;quot;&amp;amp;lt;?xml version='"</definedName>
    <definedName name="_AMO_ContentDefinition_576788546.5" hidden="1">"'&amp;amp;quot;1.0&amp;amp;quot; encoding=&amp;amp;quot;utf-16&amp;amp;quot;?&amp;amp;gt;&amp;amp;lt;FilterTree&amp;amp;gt;&amp;amp;lt;TreeRoot /&amp;amp;gt;&amp;amp;lt;/FilterTree&amp;amp;gt;&amp;quot; ColSelFlg=&amp;quot;0&amp;quot; Name=&amp;quot;TABLE2_2&amp;quot; /&amp;gt;"" /&gt;_x000D_
  &lt;param n=""CredKey"" v=""TABLE2_2'"</definedName>
    <definedName name="_AMO_ContentDefinition_576788546.6" hidden="1">"'&amp;#x1;SASApp&amp;#x1;LFSR Tabulation Datasets"" /&gt;_x000D_
  &lt;param n=""ClassName"" v=""SAS.OfficeAddin.Task"" /&gt;_x000D_
  &lt;param n=""XlNative"" v=""False"" /&gt;_x000D_
  &lt;param n=""UnselectedIds"" v="""" /&gt;_x000D_
  &lt;param n=""_ROM_Version_"" v=""1.2"" /&gt;_x000D_
  &lt;param n=""_ROM_Appl'"</definedName>
    <definedName name="_AMO_ContentDefinition_576788546.7" hidden="1">"'ication_"" v=""ODS"" /&gt;_x000D_
  &lt;param n=""_ROM_AppVersion_"" v=""9.2"" /&gt;_x000D_
  &lt;param n=""maxReportCols"" v=""13"" /&gt;_x000D_
  &lt;fids n=""main.srx"" v=""0"" /&gt;_x000D_
  &lt;ExcelXMLOptions AdjColWidths=""True"" RowOpt=""InsertEntire"" ColOpt=""InsertCells"" /&gt;_x000D_'"</definedName>
    <definedName name="_AMO_ContentDefinition_576788546.8" hidden="1">"'
&lt;/ContentDefinition&gt;'"</definedName>
    <definedName name="_AMO_ContentDefinition_587946619" hidden="1">"'Partitions:9'"</definedName>
    <definedName name="_AMO_ContentDefinition_587946619.0" hidden="1">"'&lt;ContentDefinition name=""Summary Tables"" rsid=""587946619"" type=""Task"" format=""ReportXml"" imgfmt=""ACTXIMG"" created=""04/28/2009 15:59:01"" modifed=""02/28/2014 13:35:14"" user=""ndivhuwog"" apply=""False"" css=""C:\Documents and Settings\ndiv'"</definedName>
    <definedName name="_AMO_ContentDefinition_587946619.1" hidden="1">"'huwog.000\Application Data\SAS\BI Clients\Styles\Copy  of cpi (Ndivhu).css"" range=""Summary_Tables_9"" auto=""False"" xTime=""00:00:00.4370000"" rTime=""00:00:00.5820000"" bgnew=""False"" nFmt=""False"" grphSet=""False"" imgY=""0"" imgX=""0""&gt;_x000D_
  &lt;fi'"</definedName>
    <definedName name="_AMO_ContentDefinition_587946619.2" hidden="1">"'les&gt;C:\Users\ndivhuwog\Documents\My SAS Files\Add-In for Microsoft Office\_SOA_Summary_Tables_168906058\main.srx&lt;/files&gt;_x000D_
  &lt;parents /&gt;_x000D_
  &lt;children /&gt;_x000D_
  &lt;param n=""TaskID"" v=""D3932E3A-4FEE-43DF-956C-A605AC9AF3E7"" /&gt;_x000D_
  &lt;param n=""DisplayName"" v'"</definedName>
    <definedName name="_AMO_ContentDefinition_587946619.3" hidden="1">"'=""Summary Tables"" /&gt;_x000D_
  &lt;param n=""DisplayType"" v=""Task"" /&gt;_x000D_
  &lt;param n=""RawValues"" v=""True"" /&gt;_x000D_
  &lt;param n=""AMO_Version"" v=""5.1"" /&gt;_x000D_
  &lt;param n=""ServerName"" v=""SASApp"" /&gt;_x000D_
  &lt;param n=""AMO_Template"" v="""" /&gt;_x000D_
  &lt;param n=""UseDat'"</definedName>
    <definedName name="_AMO_ContentDefinition_587946619.4" hidden="1">"'aConstraints"" v=""False"" /&gt;_x000D_
  &lt;param n=""SizeDataConstraints"" v=""0"" /&gt;_x000D_
  &lt;param n=""AMO_InputDataSource"" v=""&amp;lt;SasDataSource Version=&amp;quot;4.2&amp;quot; Type=&amp;quot;SAS.Servers.Dataset&amp;quot; Svr=&amp;quot;SASApp&amp;quot; Lib=&amp;quot;LFSTDATA&amp;quot; FilterD'"</definedName>
    <definedName name="_AMO_ContentDefinition_587946619.5" hidden="1">"'S=&amp;quot;&amp;amp;lt;?xml version=&amp;amp;quot;1.0&amp;amp;quot; encoding=&amp;amp;quot;utf-16&amp;amp;quot;?&amp;amp;gt;&amp;amp;lt;FilterTree&amp;amp;gt;&amp;amp;lt;TreeRoot /&amp;amp;gt;&amp;amp;lt;/FilterTree&amp;amp;gt;&amp;quot; UseLbls=&amp;quot;true&amp;quot; ColSelFlg=&amp;quot;0&amp;quot; Name=&amp;quot;TABLE3_2'"</definedName>
    <definedName name="_AMO_ContentDefinition_587946619.6" hidden="1">"'B&amp;quot; /&amp;gt;"" /&gt;_x000D_
  &lt;param n=""CredKey"" v=""TABLE3_2B&amp;#x1;SASApp&amp;#x1;LFSR Tabulation Datasets"" /&gt;_x000D_
  &lt;param n=""ClassName"" v=""SAS.OfficeAddin.Task"" /&gt;_x000D_
  &lt;param n=""XlNative"" v=""False"" /&gt;_x000D_
  &lt;param n=""UnselectedIds"" v="""" /&gt;_x000D_
  &lt;param n'"</definedName>
    <definedName name="_AMO_ContentDefinition_587946619.7" hidden="1">"'=""_ROM_Version_"" v=""1.2"" /&gt;_x000D_
  &lt;param n=""_ROM_Application_"" v=""ODS"" /&gt;_x000D_
  &lt;param n=""_ROM_AppVersion_"" v=""9.2"" /&gt;_x000D_
  &lt;param n=""maxReportCols"" v=""14"" /&gt;_x000D_
  &lt;fids n=""main.srx"" v=""0"" /&gt;_x000D_
  &lt;ExcelXMLOptions AdjColWidths=""True"" RowOp'"</definedName>
    <definedName name="_AMO_ContentDefinition_587946619.8" hidden="1">"'t=""InsertEntire"" ColOpt=""InsertCells"" /&gt;_x000D_
&lt;/ContentDefinition&gt;'"</definedName>
    <definedName name="_AMO_ContentDefinition_617623402" hidden="1">"'Partitions:9'"</definedName>
    <definedName name="_AMO_ContentDefinition_617623402.0" hidden="1">"'&lt;ContentDefinition name=""Summary Tables"" rsid=""617623402"" type=""Task"" format=""ReportXml"" imgfmt=""ACTXIMG"" created=""04/28/2009 15:54:13"" modifed=""02/28/2014 13:34:14"" user=""ndivhuwog"" apply=""False"" css=""C:\Documents and Settings\ndiv'"</definedName>
    <definedName name="_AMO_ContentDefinition_617623402.1" hidden="1">"'huwog.000\Application Data\SAS\BI Clients\Styles\Copy  of cpi (Ndivhu).css"" range=""Summary_Tables_8"" auto=""False"" xTime=""00:00:00.4540000"" rTime=""00:00:00.7870000"" bgnew=""False"" nFmt=""False"" grphSet=""False"" imgY=""0"" imgX=""0""&gt;_x000D_
  &lt;fi'"</definedName>
    <definedName name="_AMO_ContentDefinition_617623402.2" hidden="1">"'les&gt;C:\Users\ndivhuwog\Documents\My SAS Files\Add-In for Microsoft Office\_SOA_Summary_Tables_675370892\main.srx&lt;/files&gt;_x000D_
  &lt;parents /&gt;_x000D_
  &lt;children /&gt;_x000D_
  &lt;param n=""TaskID"" v=""D3932E3A-4FEE-43DF-956C-A605AC9AF3E7"" /&gt;_x000D_
  &lt;param n=""DisplayName"" v'"</definedName>
    <definedName name="_AMO_ContentDefinition_617623402.3" hidden="1">"'=""Summary Tables"" /&gt;_x000D_
  &lt;param n=""DisplayType"" v=""Task"" /&gt;_x000D_
  &lt;param n=""RawValues"" v=""True"" /&gt;_x000D_
  &lt;param n=""AMO_Version"" v=""5.1"" /&gt;_x000D_
  &lt;param n=""ServerName"" v=""SASApp"" /&gt;_x000D_
  &lt;param n=""AMO_Template"" v="""" /&gt;_x000D_
  &lt;param n=""UseDat'"</definedName>
    <definedName name="_AMO_ContentDefinition_617623402.4" hidden="1">"'aConstraints"" v=""False"" /&gt;_x000D_
  &lt;param n=""SizeDataConstraints"" v=""0"" /&gt;_x000D_
  &lt;param n=""AMO_InputDataSource"" v=""&amp;lt;SasDataSource Version=&amp;quot;4.2&amp;quot; Type=&amp;quot;SAS.Servers.Dataset&amp;quot; Svr=&amp;quot;SASApp&amp;quot; Lib=&amp;quot;LFSTDATA&amp;quot; FilterD'"</definedName>
    <definedName name="_AMO_ContentDefinition_617623402.5" hidden="1">"'S=&amp;quot;&amp;amp;lt;?xml version=&amp;amp;quot;1.0&amp;amp;quot; encoding=&amp;amp;quot;utf-16&amp;amp;quot;?&amp;amp;gt;&amp;amp;lt;FilterTree&amp;amp;gt;&amp;amp;lt;TreeRoot /&amp;amp;gt;&amp;amp;lt;/FilterTree&amp;amp;gt;&amp;quot; UseLbls=&amp;quot;true&amp;quot; ColSelFlg=&amp;quot;0&amp;quot; Name=&amp;quot;TABLE3_2'"</definedName>
    <definedName name="_AMO_ContentDefinition_617623402.6" hidden="1">"'A&amp;quot; /&amp;gt;"" /&gt;_x000D_
  &lt;param n=""CredKey"" v=""TABLE3_2A&amp;#x1;SASApp&amp;#x1;LFSR Tabulation Datasets"" /&gt;_x000D_
  &lt;param n=""ClassName"" v=""SAS.OfficeAddin.Task"" /&gt;_x000D_
  &lt;param n=""XlNative"" v=""False"" /&gt;_x000D_
  &lt;param n=""UnselectedIds"" v="""" /&gt;_x000D_
  &lt;param n'"</definedName>
    <definedName name="_AMO_ContentDefinition_617623402.7" hidden="1">"'=""_ROM_Version_"" v=""1.2"" /&gt;_x000D_
  &lt;param n=""_ROM_Application_"" v=""ODS"" /&gt;_x000D_
  &lt;param n=""_ROM_AppVersion_"" v=""9.2"" /&gt;_x000D_
  &lt;param n=""maxReportCols"" v=""13"" /&gt;_x000D_
  &lt;fids n=""main.srx"" v=""0"" /&gt;_x000D_
  &lt;ExcelXMLOptions AdjColWidths=""True"" RowOp'"</definedName>
    <definedName name="_AMO_ContentDefinition_617623402.8" hidden="1">"'t=""InsertEntire"" ColOpt=""InsertCells"" /&gt;_x000D_
&lt;/ContentDefinition&gt;'"</definedName>
    <definedName name="_AMO_ContentDefinition_621796666" hidden="1">"'Partitions:9'"</definedName>
    <definedName name="_AMO_ContentDefinition_621796666.0" hidden="1">"'&lt;ContentDefinition name=""Summary Tables"" rsid=""621796666"" type=""Task"" format=""ReportXml"" imgfmt=""ACTIVEX"" created=""04/19/2012 10:44:15"" modifed=""02/28/2014 13:41:25"" user=""ndivhuwog"" apply=""False"" css=""C:\Program Files\SAS\Shared Fi'"</definedName>
    <definedName name="_AMO_ContentDefinition_621796666.1" hidden="1">"'les\BIClientStyles\AMODefault.css"" range=""Summary_Tables_41"" auto=""False"" xTime=""00:00:00.4240000"" rTime=""00:00:00.7220000"" bgnew=""False"" nFmt=""False"" grphSet=""False"" imgY=""0"" imgX=""0""&gt;_x000D_
  &lt;files&gt;C:\Users\ndivhuwog\Documents\My SAS '"</definedName>
    <definedName name="_AMO_ContentDefinition_621796666.2" hidden="1">"'Files\Add-In for Microsoft Office\_SOA_Summary_Tables_533389665\main.srx&lt;/files&gt;_x000D_
  &lt;parents /&gt;_x000D_
  &lt;children /&gt;_x000D_
  &lt;param n=""TaskID"" v=""D3932E3A-4FEE-43DF-956C-A605AC9AF3E7"" /&gt;_x000D_
  &lt;param n=""DisplayName"" v=""Summary Tables"" /&gt;_x000D_
  &lt;param n=""Dis'"</definedName>
    <definedName name="_AMO_ContentDefinition_621796666.3" hidden="1">"'playType"" v=""Task"" /&gt;_x000D_
  &lt;param n=""RawValues"" v=""True"" /&gt;_x000D_
  &lt;param n=""AMO_Version"" v=""5.1"" /&gt;_x000D_
  &lt;param n=""ServerName"" v=""SASApp"" /&gt;_x000D_
  &lt;param n=""AMO_Template"" v="""" /&gt;_x000D_
  &lt;param n=""UseDataConstraints"" v=""False"" /&gt;_x000D_
  &lt;param n'"</definedName>
    <definedName name="_AMO_ContentDefinition_621796666.4" hidden="1">"'=""SizeDataConstraints"" v=""0"" /&gt;_x000D_
  &lt;param n=""AMO_InputDataSource"" v=""&amp;lt;SasDataSource Version=&amp;quot;4.2&amp;quot; Type=&amp;quot;SAS.Servers.Dataset&amp;quot; Svr=&amp;quot;SASApp&amp;quot; Lib=&amp;quot;LFSTDATA&amp;quot; FilterDS=&amp;quot;&amp;amp;lt;?xml version=&amp;amp;quot;1.'"</definedName>
    <definedName name="_AMO_ContentDefinition_621796666.5" hidden="1">"'0&amp;amp;quot; encoding=&amp;amp;quot;utf-16&amp;amp;quot;?&amp;amp;gt;&amp;amp;lt;FilterTree&amp;amp;gt;&amp;amp;lt;TreeRoot /&amp;amp;gt;&amp;amp;lt;/FilterTree&amp;amp;gt;&amp;quot; UseLbls=&amp;quot;true&amp;quot; ColSelFlg=&amp;quot;0&amp;quot; Name=&amp;quot;TABLE3_8A&amp;quot; /&amp;gt;"" /&gt;_x000D_
  &lt;param n=""CredKey'"</definedName>
    <definedName name="_AMO_ContentDefinition_621796666.6" hidden="1">"'"" v=""TABLE3_8A&amp;#x1;SASApp&amp;#x1;LFSR Tabulation Datasets"" /&gt;_x000D_
  &lt;param n=""ClassName"" v=""SAS.OfficeAddin.Task"" /&gt;_x000D_
  &lt;param n=""XlNative"" v=""False"" /&gt;_x000D_
  &lt;param n=""UnselectedIds"" v="""" /&gt;_x000D_
  &lt;param n=""_ROM_Version_"" v=""1.2"" /&gt;_x000D_
  &lt;param'"</definedName>
    <definedName name="_AMO_ContentDefinition_621796666.7" hidden="1">"' n=""_ROM_Application_"" v=""ODS"" /&gt;_x000D_
  &lt;param n=""_ROM_AppVersion_"" v=""9.2"" /&gt;_x000D_
  &lt;param n=""maxReportCols"" v=""13"" /&gt;_x000D_
  &lt;fids n=""main.srx"" v=""0"" /&gt;_x000D_
  &lt;ExcelXMLOptions AdjColWidths=""True"" RowOpt=""InsertEntire"" ColOpt=""InsertCells"" /'"</definedName>
    <definedName name="_AMO_ContentDefinition_621796666.8" hidden="1">"'&gt;_x000D_
&lt;/ContentDefinition&gt;'"</definedName>
    <definedName name="_AMO_ContentDefinition_65748969" hidden="1">"'Partitions:9'"</definedName>
    <definedName name="_AMO_ContentDefinition_65748969.0" hidden="1">"'&lt;ContentDefinition name=""Summary Tables"" rsid=""65748969"" type=""Task"" format=""ReportXml"" imgfmt=""ActiveX"" created=""10/17/2013 09:00:29"" modifed=""03/03/2014 15:47:01"" user=""ndivhuwog"" apply=""False"" css=""C:\Program Files\SASHome\SASAdd'"</definedName>
    <definedName name="_AMO_ContentDefinition_65748969.1" hidden="1">"'inforMicrosoftOffice\5.1\Styles\AMODefault.css"" range=""Summary_Tables_54"" auto=""False"" xTime=""00:00:00.4260426"" rTime=""00:00:00.6190619"" bgnew=""False"" nFmt=""False"" grphSet=""False"" imgY=""0"" imgX=""0""&gt;_x000D_
  &lt;files&gt;C:\Users\ndivhuwog\Docu'"</definedName>
    <definedName name="_AMO_ContentDefinition_65748969.2" hidden="1">"'ments\My SAS Files\Add-In for Microsoft Office\_SOA_Summary_Tables_869296011\main.srx&lt;/files&gt;_x000D_
  &lt;parents /&gt;_x000D_
  &lt;children /&gt;_x000D_
  &lt;param n=""TaskID"" v=""D3932E3A-4FEE-43DF-956C-A605AC9AF3E7"" /&gt;_x000D_
  &lt;param n=""DisplayName"" v=""Summary Tables"" /&gt;_x000D_
  &lt;'"</definedName>
    <definedName name="_AMO_ContentDefinition_65748969.3" hidden="1">"'param n=""DisplayType"" v=""Task"" /&gt;_x000D_
  &lt;param n=""RawValues"" v=""True"" /&gt;_x000D_
  &lt;param n=""AMO_Version"" v=""5.1"" /&gt;_x000D_
  &lt;param n=""ServerName"" v=""SASApp"" /&gt;_x000D_
  &lt;param n=""AMO_Template"" v="""" /&gt;_x000D_
  &lt;param n=""UseDataConstraints"" v=""False"" /&gt;'"</definedName>
    <definedName name="_AMO_ContentDefinition_65748969.4" hidden="1">"'_x000D_
  &lt;param n=""SizeDataConstraints"" v=""0"" /&gt;_x000D_
  &lt;param n=""AMO_InputDataSource"" v=""&amp;lt;SasDataSource Version=&amp;quot;4.2&amp;quot; Type=&amp;quot;SAS.Servers.Dataset&amp;quot; Svr=&amp;quot;SASApp&amp;quot; Lib=&amp;quot;LFSTDATA&amp;quot; FilterDS=&amp;quot;&amp;amp;lt;?xml version='"</definedName>
    <definedName name="_AMO_ContentDefinition_65748969.5" hidden="1">"'&amp;amp;quot;1.0&amp;amp;quot; encoding=&amp;amp;quot;utf-16&amp;amp;quot;?&amp;amp;gt;&amp;amp;lt;FilterTree&amp;amp;gt;&amp;amp;lt;TreeRoot /&amp;amp;gt;&amp;amp;lt;/FilterTree&amp;amp;gt;&amp;quot; ColSelFlg=&amp;quot;0&amp;quot; Name=&amp;quot;TABLE2_7B&amp;quot; /&amp;gt;"" /&gt;_x000D_
  &lt;param n=""CredKey"" v=""TABLE2_'"</definedName>
    <definedName name="_AMO_ContentDefinition_65748969.6" hidden="1">"'7B&amp;#x1;SASApp&amp;#x1;LFSR Tabulation Datasets"" /&gt;_x000D_
  &lt;param n=""ClassName"" v=""SAS.OfficeAddin.Task"" /&gt;_x000D_
  &lt;param n=""XlNative"" v=""False"" /&gt;_x000D_
  &lt;param n=""UnselectedIds"" v="""" /&gt;_x000D_
  &lt;param n=""_ROM_Version_"" v=""1.2"" /&gt;_x000D_
  &lt;param n=""_ROM_Ap'"</definedName>
    <definedName name="_AMO_ContentDefinition_65748969.7" hidden="1">"'plication_"" v=""ODS"" /&gt;_x000D_
  &lt;param n=""_ROM_AppVersion_"" v=""9.2"" /&gt;_x000D_
  &lt;param n=""maxReportCols"" v=""13"" /&gt;_x000D_
  &lt;fids n=""main.srx"" v=""0"" /&gt;_x000D_
  &lt;ExcelXMLOptions AdjColWidths=""True"" RowOpt=""InsertEntire"" ColOpt=""InsertCells"" /&gt;_x000D_'"</definedName>
    <definedName name="_AMO_ContentDefinition_65748969.8" hidden="1">"'
&lt;/ContentDefinition&gt;'"</definedName>
    <definedName name="_AMO_ContentDefinition_662231970" hidden="1">"'Partitions:9'"</definedName>
    <definedName name="_AMO_ContentDefinition_662231970.0" hidden="1">"'&lt;ContentDefinition name=""Summary Tables"" rsid=""662231970"" type=""Task"" format=""ReportXml"" imgfmt=""ActiveX"" created=""01/24/2014 16:15:59"" modifed=""01/24/2014 16:15:59"" user=""ndivhuwog"" apply=""False"" css=""C:\Program Files\SASHome\SASAd'"</definedName>
    <definedName name="_AMO_ContentDefinition_662231970.1" hidden="1">"'dinforMicrosoftOffice\5.1\Styles\AMODefault.css"" range=""Summary_Tables_56"" auto=""False"" xTime=""00:00:00.3860000"" rTime=""00:00:00.6420000"" bgnew=""False"" nFmt=""False"" grphSet=""False"" imgY=""0"" imgX=""0""&gt;_x000D_
  &lt;files&gt;C:\Users\ndivhuwog\Doc'"</definedName>
    <definedName name="_AMO_ContentDefinition_662231970.2" hidden="1">"'uments\My SAS Files\Add-In for Microsoft Office\_SOA_Summary_Tables_364271206\main.srx&lt;/files&gt;_x000D_
  &lt;parents /&gt;_x000D_
  &lt;children /&gt;_x000D_
  &lt;param n=""TaskID"" v=""D3932E3A-4FEE-43DF-956C-A605AC9AF3E7"" /&gt;_x000D_
  &lt;param n=""DisplayName"" v=""Summary Tables"" /&gt;_x000D_
  &lt;'"</definedName>
    <definedName name="_AMO_ContentDefinition_662231970.3" hidden="1">"'param n=""DisplayType"" v=""Task"" /&gt;_x000D_
  &lt;param n=""RawValues"" v=""True"" /&gt;_x000D_
  &lt;param n=""AMO_Version"" v=""5.1"" /&gt;_x000D_
  &lt;param n=""ServerName"" v=""SASApp"" /&gt;_x000D_
  &lt;param n=""AMO_Template"" v="""" /&gt;_x000D_
  &lt;param n=""UseDataConstraints"" v=""False"" /&gt;'"</definedName>
    <definedName name="_AMO_ContentDefinition_662231970.4" hidden="1">"'_x000D_
  &lt;param n=""SizeDataConstraints"" v=""0"" /&gt;_x000D_
  &lt;param n=""AMO_InputDataSource"" v=""&amp;lt;SasDataSource Version=&amp;quot;4.2&amp;quot; Type=&amp;quot;SAS.Servers.Dataset&amp;quot; Svr=&amp;quot;SASApp&amp;quot; Lib=&amp;quot;LFSTDATA&amp;quot; FilterDS=&amp;quot;&amp;amp;lt;?xml version='"</definedName>
    <definedName name="_AMO_ContentDefinition_662231970.5" hidden="1">"'&amp;amp;quot;1.0&amp;amp;quot; encoding=&amp;amp;quot;utf-16&amp;amp;quot;?&amp;amp;gt;&amp;amp;lt;FilterTree&amp;amp;gt;&amp;amp;lt;TreeRoot /&amp;amp;gt;&amp;amp;lt;/FilterTree&amp;amp;gt;&amp;quot; ColSelFlg=&amp;quot;0&amp;quot; Name=&amp;quot;TABLE7B&amp;quot; /&amp;gt;"" /&gt;_x000D_
  &lt;param n=""CredKey"" v=""TABLE7B&amp;#'"</definedName>
    <definedName name="_AMO_ContentDefinition_662231970.6" hidden="1">"'x1;SASApp&amp;#x1;LFSR Tabulation Datasets"" /&gt;_x000D_
  &lt;param n=""ClassName"" v=""SAS.OfficeAddin.Task"" /&gt;_x000D_
  &lt;param n=""XlNative"" v=""False"" /&gt;_x000D_
  &lt;param n=""UnselectedIds"" v="""" /&gt;_x000D_
  &lt;param n=""_ROM_Version_"" v=""1.2"" /&gt;_x000D_
  &lt;param n=""_ROM_Applic'"</definedName>
    <definedName name="_AMO_ContentDefinition_662231970.7" hidden="1">"'ation_"" v=""ODS"" /&gt;_x000D_
  &lt;param n=""_ROM_AppVersion_"" v=""9.2"" /&gt;_x000D_
  &lt;param n=""maxReportCols"" v=""10"" /&gt;_x000D_
  &lt;fids n=""main.srx"" v=""0"" /&gt;_x000D_
  &lt;ExcelXMLOptions AdjColWidths=""True"" RowOpt=""InsertEntire"" ColOpt=""InsertCells"" /&gt;_x000D_'"</definedName>
    <definedName name="_AMO_ContentDefinition_662231970.8" hidden="1">"'
&lt;/ContentDefinition&gt;'"</definedName>
    <definedName name="_AMO_ContentDefinition_671486722" hidden="1">"'Partitions:9'"</definedName>
    <definedName name="_AMO_ContentDefinition_671486722.0" hidden="1">"'&lt;ContentDefinition name=""Summary Tables"" rsid=""671486722"" type=""Task"" format=""ReportXml"" imgfmt=""ACTXIMG"" created=""04/30/2009 08:57:37"" modifed=""02/28/2014 13:43:59"" user=""ndivhuwog"" apply=""False"" css=""C:\Documents and Settings\ndiv'"</definedName>
    <definedName name="_AMO_ContentDefinition_671486722.1" hidden="1">"'huwog.000\Application Data\SAS\BI Clients\Styles\Copy  of cpi (Ndivhu).css"" range=""Summary_Tables_16"" auto=""False"" xTime=""00:00:00.5500000"" rTime=""00:00:00.9000000"" bgnew=""False"" nFmt=""False"" grphSet=""False"" imgY=""0"" imgX=""0""&gt;_x000D_
  &lt;f'"</definedName>
    <definedName name="_AMO_ContentDefinition_671486722.2" hidden="1">"'iles&gt;C:\Users\ndivhuwog\Documents\My SAS Files\Add-In for Microsoft Office\_SOA_Summary_Tables_114147470\main.srx&lt;/files&gt;_x000D_
  &lt;parents /&gt;_x000D_
  &lt;children /&gt;_x000D_
  &lt;param n=""TaskID"" v=""D3932E3A-4FEE-43DF-956C-A605AC9AF3E7"" /&gt;_x000D_
  &lt;param n=""DisplayName"" '"</definedName>
    <definedName name="_AMO_ContentDefinition_671486722.3" hidden="1">"'v=""Summary Tables"" /&gt;_x000D_
  &lt;param n=""DisplayType"" v=""Task"" /&gt;_x000D_
  &lt;param n=""RawValues"" v=""True"" /&gt;_x000D_
  &lt;param n=""AMO_Version"" v=""5.1"" /&gt;_x000D_
  &lt;param n=""ServerName"" v=""SASApp"" /&gt;_x000D_
  &lt;param n=""AMO_Template"" v="""" /&gt;_x000D_
  &lt;param n=""UseDa'"</definedName>
    <definedName name="_AMO_ContentDefinition_671486722.4" hidden="1">"'taConstraints"" v=""False"" /&gt;_x000D_
  &lt;param n=""SizeDataConstraints"" v=""0"" /&gt;_x000D_
  &lt;param n=""AMO_InputDataSource"" v=""&amp;lt;SasDataSource Version=&amp;quot;4.2&amp;quot; Type=&amp;quot;SAS.Servers.Dataset&amp;quot; Svr=&amp;quot;SASApp&amp;quot; Lib=&amp;quot;LFSTDATA&amp;quot; Filter'"</definedName>
    <definedName name="_AMO_ContentDefinition_671486722.5" hidden="1">"'DS=&amp;quot;&amp;amp;lt;?xml version=&amp;amp;quot;1.0&amp;amp;quot; encoding=&amp;amp;quot;utf-16&amp;amp;quot;?&amp;amp;gt;&amp;amp;lt;FilterTree&amp;amp;gt;&amp;amp;lt;TreeRoot /&amp;amp;gt;&amp;amp;lt;/FilterTree&amp;amp;gt;&amp;quot; UseLbls=&amp;quot;true&amp;quot; ColSelFlg=&amp;quot;0&amp;quot; Name=&amp;quot;TABLE3_'"</definedName>
    <definedName name="_AMO_ContentDefinition_671486722.6" hidden="1">"'9&amp;quot; /&amp;gt;"" /&gt;_x000D_
  &lt;param n=""CredKey"" v=""TABLE3_9&amp;#x1;SASApp&amp;#x1;LFSR Tabulation Datasets"" /&gt;_x000D_
  &lt;param n=""ClassName"" v=""SAS.OfficeAddin.Task"" /&gt;_x000D_
  &lt;param n=""XlNative"" v=""False"" /&gt;_x000D_
  &lt;param n=""UnselectedIds"" v="""" /&gt;_x000D_
  &lt;param n'"</definedName>
    <definedName name="_AMO_ContentDefinition_671486722.7" hidden="1">"'=""_ROM_Version_"" v=""1.2"" /&gt;_x000D_
  &lt;param n=""_ROM_Application_"" v=""ODS"" /&gt;_x000D_
  &lt;param n=""_ROM_AppVersion_"" v=""9.2"" /&gt;_x000D_
  &lt;param n=""maxReportCols"" v=""14"" /&gt;_x000D_
  &lt;fids n=""main.srx"" v=""0"" /&gt;_x000D_
  &lt;ExcelXMLOptions AdjColWidths=""True"" RowOp'"</definedName>
    <definedName name="_AMO_ContentDefinition_671486722.8" hidden="1">"'t=""InsertEntire"" ColOpt=""InsertCells"" /&gt;_x000D_
&lt;/ContentDefinition&gt;'"</definedName>
    <definedName name="_AMO_ContentDefinition_732119577" hidden="1">"'Partitions:9'"</definedName>
    <definedName name="_AMO_ContentDefinition_732119577.0" hidden="1">"'&lt;ContentDefinition name=""Summary Tables"" rsid=""732119577"" type=""Task"" format=""ReportXml"" imgfmt=""ACTIVEX"" created=""04/19/2012 10:59:29"" modifed=""02/28/2014 13:43:12"" user=""ndivhuwog"" apply=""False"" css=""C:\Program Files\SAS\Shared Fi'"</definedName>
    <definedName name="_AMO_ContentDefinition_732119577.1" hidden="1">"'les\BIClientStyles\AMODefault.css"" range=""Summary_Tables_42"" auto=""False"" xTime=""00:00:00.4110000"" rTime=""00:00:00.7960000"" bgnew=""False"" nFmt=""False"" grphSet=""False"" imgY=""0"" imgX=""0""&gt;_x000D_
  &lt;files&gt;C:\Users\ndivhuwog\Documents\My SAS '"</definedName>
    <definedName name="_AMO_ContentDefinition_732119577.2" hidden="1">"'Files\Add-In for Microsoft Office\_SOA_Summary_Tables_13138569\main.srx&lt;/files&gt;_x000D_
  &lt;parents /&gt;_x000D_
  &lt;children /&gt;_x000D_
  &lt;param n=""TaskID"" v=""D3932E3A-4FEE-43DF-956C-A605AC9AF3E7"" /&gt;_x000D_
  &lt;param n=""DisplayName"" v=""Summary Tables"" /&gt;_x000D_
  &lt;param n=""Disp'"</definedName>
    <definedName name="_AMO_ContentDefinition_732119577.3" hidden="1">"'layType"" v=""Task"" /&gt;_x000D_
  &lt;param n=""RawValues"" v=""True"" /&gt;_x000D_
  &lt;param n=""AMO_Version"" v=""5.1"" /&gt;_x000D_
  &lt;param n=""ServerName"" v=""SASApp"" /&gt;_x000D_
  &lt;param n=""AMO_Template"" v="""" /&gt;_x000D_
  &lt;param n=""UseDataConstraints"" v=""False"" /&gt;_x000D_
  &lt;param n'"</definedName>
    <definedName name="_AMO_ContentDefinition_732119577.4" hidden="1">"'=""SizeDataConstraints"" v=""0"" /&gt;_x000D_
  &lt;param n=""AMO_InputDataSource"" v=""&amp;lt;SasDataSource Version=&amp;quot;4.2&amp;quot; Type=&amp;quot;SAS.Servers.Dataset&amp;quot; Svr=&amp;quot;SASApp&amp;quot; Lib=&amp;quot;LFSTDATA&amp;quot; FilterDS=&amp;quot;&amp;amp;lt;?xml version=&amp;amp;quot;1.'"</definedName>
    <definedName name="_AMO_ContentDefinition_732119577.5" hidden="1">"'0&amp;amp;quot; encoding=&amp;amp;quot;utf-16&amp;amp;quot;?&amp;amp;gt;&amp;amp;lt;FilterTree&amp;amp;gt;&amp;amp;lt;TreeRoot /&amp;amp;gt;&amp;amp;lt;/FilterTree&amp;amp;gt;&amp;quot; UseLbls=&amp;quot;true&amp;quot; ColSelFlg=&amp;quot;0&amp;quot; Name=&amp;quot;TABLE3_8C&amp;quot; /&amp;gt;"" /&gt;_x000D_
  &lt;param n=""CredKey'"</definedName>
    <definedName name="_AMO_ContentDefinition_732119577.6" hidden="1">"'"" v=""TABLE3_8C&amp;#x1;SASApp&amp;#x1;LFSR Tabulation Datasets"" /&gt;_x000D_
  &lt;param n=""ClassName"" v=""SAS.OfficeAddin.Task"" /&gt;_x000D_
  &lt;param n=""XlNative"" v=""False"" /&gt;_x000D_
  &lt;param n=""UnselectedIds"" v="""" /&gt;_x000D_
  &lt;param n=""_ROM_Version_"" v=""1.2"" /&gt;_x000D_
  &lt;param'"</definedName>
    <definedName name="_AMO_ContentDefinition_732119577.7" hidden="1">"' n=""_ROM_Application_"" v=""ODS"" /&gt;_x000D_
  &lt;param n=""_ROM_AppVersion_"" v=""9.2"" /&gt;_x000D_
  &lt;param n=""maxReportCols"" v=""14"" /&gt;_x000D_
  &lt;fids n=""main.srx"" v=""0"" /&gt;_x000D_
  &lt;ExcelXMLOptions AdjColWidths=""True"" RowOpt=""InsertEntire"" ColOpt=""InsertCells"" /'"</definedName>
    <definedName name="_AMO_ContentDefinition_732119577.8" hidden="1">"'&gt;_x000D_
&lt;/ContentDefinition&gt;'"</definedName>
    <definedName name="_AMO_ContentDefinition_779436236" hidden="1">"'Partitions:9'"</definedName>
    <definedName name="_AMO_ContentDefinition_779436236.0" hidden="1">"'&lt;ContentDefinition name=""Summary Tables"" rsid=""779436236"" type=""Task"" format=""ReportXml"" imgfmt=""ACTXIMG"" created=""04/30/2009 09:21:42"" modifed=""02/28/2014 13:45:08"" user=""ndivhuwog"" apply=""False"" css=""C:\Documents and Settings\ndiv'"</definedName>
    <definedName name="_AMO_ContentDefinition_779436236.1" hidden="1">"'huwog.000\Application Data\SAS\BI Clients\Styles\Copy  of cpi (Ndivhu).css"" range=""Summary_Tables_21"" auto=""False"" xTime=""00:00:00.3680000"" rTime=""00:00:00.4130000"" bgnew=""False"" nFmt=""False"" grphSet=""False"" imgY=""0"" imgX=""0""&gt;_x000D_
  &lt;f'"</definedName>
    <definedName name="_AMO_ContentDefinition_779436236.2" hidden="1">"'iles&gt;C:\Users\ndivhuwog\Documents\My SAS Files\Add-In for Microsoft Office\_SOA_Summary_Tables_934371315\main.srx&lt;/files&gt;_x000D_
  &lt;parents /&gt;_x000D_
  &lt;children /&gt;_x000D_
  &lt;param n=""TaskID"" v=""D3932E3A-4FEE-43DF-956C-A605AC9AF3E7"" /&gt;_x000D_
  &lt;param n=""DisplayName"" '"</definedName>
    <definedName name="_AMO_ContentDefinition_779436236.3" hidden="1">"'v=""Summary Tables"" /&gt;_x000D_
  &lt;param n=""DisplayType"" v=""Task"" /&gt;_x000D_
  &lt;param n=""RawValues"" v=""True"" /&gt;_x000D_
  &lt;param n=""AMO_Version"" v=""5.1"" /&gt;_x000D_
  &lt;param n=""ServerName"" v=""SASApp"" /&gt;_x000D_
  &lt;param n=""AMO_Template"" v="""" /&gt;_x000D_
  &lt;param n=""UseDa'"</definedName>
    <definedName name="_AMO_ContentDefinition_779436236.4" hidden="1">"'taConstraints"" v=""False"" /&gt;_x000D_
  &lt;param n=""SizeDataConstraints"" v=""0"" /&gt;_x000D_
  &lt;param n=""AMO_InputDataSource"" v=""&amp;lt;SasDataSource Version=&amp;quot;4.2&amp;quot; Type=&amp;quot;SAS.Servers.Dataset&amp;quot; Svr=&amp;quot;SASApp&amp;quot; Lib=&amp;quot;LFSTDATA&amp;quot; Filter'"</definedName>
    <definedName name="_AMO_ContentDefinition_779436236.5" hidden="1">"'DS=&amp;quot;&amp;amp;lt;?xml version=&amp;amp;quot;1.0&amp;amp;quot; encoding=&amp;amp;quot;utf-16&amp;amp;quot;?&amp;amp;gt;&amp;amp;lt;FilterTree&amp;amp;gt;&amp;amp;lt;TreeRoot /&amp;amp;gt;&amp;amp;lt;/FilterTree&amp;amp;gt;&amp;quot; UseLbls=&amp;quot;true&amp;quot; ColSelFlg=&amp;quot;0&amp;quot; Name=&amp;quot;TABLE5&amp;'"</definedName>
    <definedName name="_AMO_ContentDefinition_779436236.6" hidden="1">"'quot; /&amp;gt;"" /&gt;_x000D_
  &lt;param n=""CredKey"" v=""TABLE5&amp;#x1;SASApp&amp;#x1;LFSR Tabulation Datasets"" /&gt;_x000D_
  &lt;param n=""ClassName"" v=""SAS.OfficeAddin.Task"" /&gt;_x000D_
  &lt;param n=""XlNative"" v=""False"" /&gt;_x000D_
  &lt;param n=""UnselectedIds"" v="""" /&gt;_x000D_
  &lt;param n=""_'"</definedName>
    <definedName name="_AMO_ContentDefinition_779436236.7" hidden="1">"'ROM_Version_"" v=""1.2"" /&gt;_x000D_
  &lt;param n=""_ROM_Application_"" v=""ODS"" /&gt;_x000D_
  &lt;param n=""_ROM_AppVersion_"" v=""9.2"" /&gt;_x000D_
  &lt;param n=""maxReportCols"" v=""14"" /&gt;_x000D_
  &lt;fids n=""main.srx"" v=""0"" /&gt;_x000D_
  &lt;ExcelXMLOptions AdjColWidths=""True"" RowOpt=""'"</definedName>
    <definedName name="_AMO_ContentDefinition_779436236.8" hidden="1">"'InsertEntire"" ColOpt=""InsertCells"" /&gt;_x000D_
&lt;/ContentDefinition&gt;'"</definedName>
    <definedName name="_AMO_ContentDefinition_805804074" hidden="1">"'Partitions:9'"</definedName>
    <definedName name="_AMO_ContentDefinition_805804074.0" hidden="1">"'&lt;ContentDefinition name=""Summary Tables"" rsid=""805804074"" type=""Task"" format=""ReportXml"" imgfmt=""ActiveX"" created=""10/17/2013 08:52:56"" modifed=""02/28/2014 13:20:24"" user=""ndivhuwog"" apply=""False"" css=""C:\Program Files\SASHome\SASAd'"</definedName>
    <definedName name="_AMO_ContentDefinition_805804074.1" hidden="1">"'dinforMicrosoftOffice\5.1\Styles\AMODefault.css"" range=""Summary_Tables_52"" auto=""False"" xTime=""00:00:00.4480000"" rTime=""00:00:01.4090000"" bgnew=""False"" nFmt=""False"" grphSet=""False"" imgY=""0"" imgX=""0""&gt;_x000D_
  &lt;files&gt;C:\Users\ndivhuwog\Doc'"</definedName>
    <definedName name="_AMO_ContentDefinition_805804074.2" hidden="1">"'uments\My SAS Files\Add-In for Microsoft Office\_SOA_Summary_Tables_843963519\main.srx&lt;/files&gt;_x000D_
  &lt;parents /&gt;_x000D_
  &lt;children /&gt;_x000D_
  &lt;param n=""TaskID"" v=""D3932E3A-4FEE-43DF-956C-A605AC9AF3E7"" /&gt;_x000D_
  &lt;param n=""DisplayName"" v=""Summary Tables"" /&gt;_x000D_
  &lt;'"</definedName>
    <definedName name="_AMO_ContentDefinition_805804074.3" hidden="1">"'param n=""DisplayType"" v=""Task"" /&gt;_x000D_
  &lt;param n=""RawValues"" v=""True"" /&gt;_x000D_
  &lt;param n=""AMO_Version"" v=""5.1"" /&gt;_x000D_
  &lt;param n=""ServerName"" v=""SASApp"" /&gt;_x000D_
  &lt;param n=""AMO_Template"" v="""" /&gt;_x000D_
  &lt;param n=""UseDataConstraints"" v=""False"" /&gt;'"</definedName>
    <definedName name="_AMO_ContentDefinition_805804074.4" hidden="1">"'_x000D_
  &lt;param n=""SizeDataConstraints"" v=""0"" /&gt;_x000D_
  &lt;param n=""AMO_InputDataSource"" v=""&amp;lt;SasDataSource Version=&amp;quot;4.2&amp;quot; Type=&amp;quot;SAS.Servers.Dataset&amp;quot; Svr=&amp;quot;SASApp&amp;quot; Lib=&amp;quot;LFSTDATA&amp;quot; FilterDS=&amp;quot;&amp;amp;lt;?xml version='"</definedName>
    <definedName name="_AMO_ContentDefinition_805804074.5" hidden="1">"'&amp;amp;quot;1.0&amp;amp;quot; encoding=&amp;amp;quot;utf-16&amp;amp;quot;?&amp;amp;gt;&amp;amp;lt;FilterTree&amp;amp;gt;&amp;amp;lt;TreeRoot /&amp;amp;gt;&amp;amp;lt;/FilterTree&amp;amp;gt;&amp;quot; ColSelFlg=&amp;quot;0&amp;quot; Name=&amp;quot;TABLE2_6&amp;quot; /&amp;gt;"" /&gt;_x000D_
  &lt;param n=""CredKey"" v=""TABLE2_6'"</definedName>
    <definedName name="_AMO_ContentDefinition_805804074.6" hidden="1">"'&amp;#x1;SASApp&amp;#x1;LFSR Tabulation Datasets"" /&gt;_x000D_
  &lt;param n=""ClassName"" v=""SAS.OfficeAddin.Task"" /&gt;_x000D_
  &lt;param n=""XlNative"" v=""False"" /&gt;_x000D_
  &lt;param n=""UnselectedIds"" v="""" /&gt;_x000D_
  &lt;param n=""_ROM_Version_"" v=""1.2"" /&gt;_x000D_
  &lt;param n=""_ROM_Appl'"</definedName>
    <definedName name="_AMO_ContentDefinition_805804074.7" hidden="1">"'ication_"" v=""ODS"" /&gt;_x000D_
  &lt;param n=""_ROM_AppVersion_"" v=""9.2"" /&gt;_x000D_
  &lt;param n=""maxReportCols"" v=""13"" /&gt;_x000D_
  &lt;fids n=""main.srx"" v=""0"" /&gt;_x000D_
  &lt;ExcelXMLOptions AdjColWidths=""True"" RowOpt=""InsertEntire"" ColOpt=""InsertCells"" /&gt;_x000D_'"</definedName>
    <definedName name="_AMO_ContentDefinition_805804074.8" hidden="1">"'
&lt;/ContentDefinition&gt;'"</definedName>
    <definedName name="_AMO_ContentDefinition_825207699" hidden="1">"'Partitions:9'"</definedName>
    <definedName name="_AMO_ContentDefinition_825207699.0" hidden="1">"'&lt;ContentDefinition name=""Summary Tables"" rsid=""825207699"" type=""Task"" format=""ReportXml"" imgfmt=""ACTXIMG"" created=""04/29/2009 15:23:57"" modifed=""02/28/2014 13:37:21"" user=""ndivhuwog"" apply=""False"" css=""C:\Documents and Settings\ndiv'"</definedName>
    <definedName name="_AMO_ContentDefinition_825207699.1" hidden="1">"'huwog.000\Application Data\SAS\BI Clients\Styles\Copy  of cpi (Ndivhu).css"" range=""Summary_Tables_12"" auto=""False"" xTime=""00:00:00.4200000"" rTime=""00:00:00.6900000"" bgnew=""False"" nFmt=""False"" grphSet=""False"" imgY=""0"" imgX=""0""&gt;_x000D_
  &lt;f'"</definedName>
    <definedName name="_AMO_ContentDefinition_825207699.2" hidden="1">"'iles&gt;C:\Users\ndivhuwog\Documents\My SAS Files\Add-In for Microsoft Office\_SOA_Summary_Tables_630968452\main.srx&lt;/files&gt;_x000D_
  &lt;parents /&gt;_x000D_
  &lt;children /&gt;_x000D_
  &lt;param n=""TaskID"" v=""D3932E3A-4FEE-43DF-956C-A605AC9AF3E7"" /&gt;_x000D_
  &lt;param n=""DisplayName"" '"</definedName>
    <definedName name="_AMO_ContentDefinition_825207699.3" hidden="1">"'v=""Summary Tables"" /&gt;_x000D_
  &lt;param n=""DisplayType"" v=""Task"" /&gt;_x000D_
  &lt;param n=""RawValues"" v=""True"" /&gt;_x000D_
  &lt;param n=""AMO_Version"" v=""5.1"" /&gt;_x000D_
  &lt;param n=""ServerName"" v=""SASApp"" /&gt;_x000D_
  &lt;param n=""AMO_Template"" v="""" /&gt;_x000D_
  &lt;param n=""UseDa'"</definedName>
    <definedName name="_AMO_ContentDefinition_825207699.4" hidden="1">"'taConstraints"" v=""False"" /&gt;_x000D_
  &lt;param n=""SizeDataConstraints"" v=""0"" /&gt;_x000D_
  &lt;param n=""AMO_InputDataSource"" v=""&amp;lt;SasDataSource Version=&amp;quot;4.2&amp;quot; Type=&amp;quot;SAS.Servers.Dataset&amp;quot; Svr=&amp;quot;SASApp&amp;quot; Lib=&amp;quot;LFSTDATA&amp;quot; Filter'"</definedName>
    <definedName name="_AMO_ContentDefinition_825207699.5" hidden="1">"'DS=&amp;quot;&amp;amp;lt;?xml version=&amp;amp;quot;1.0&amp;amp;quot; encoding=&amp;amp;quot;utf-16&amp;amp;quot;?&amp;amp;gt;&amp;amp;lt;FilterTree&amp;amp;gt;&amp;amp;lt;TreeRoot /&amp;amp;gt;&amp;amp;lt;/FilterTree&amp;amp;gt;&amp;quot; UseLbls=&amp;quot;true&amp;quot; ColSelFlg=&amp;quot;0&amp;quot; Name=&amp;quot;TABLE3_'"</definedName>
    <definedName name="_AMO_ContentDefinition_825207699.6" hidden="1">"'4&amp;quot; /&amp;gt;"" /&gt;_x000D_
  &lt;param n=""CredKey"" v=""TABLE3_4&amp;#x1;SASApp&amp;#x1;LFSR Tabulation Datasets"" /&gt;_x000D_
  &lt;param n=""ClassName"" v=""SAS.OfficeAddin.Task"" /&gt;_x000D_
  &lt;param n=""XlNative"" v=""False"" /&gt;_x000D_
  &lt;param n=""UnselectedIds"" v="""" /&gt;_x000D_
  &lt;param n'"</definedName>
    <definedName name="_AMO_ContentDefinition_825207699.7" hidden="1">"'=""_ROM_Version_"" v=""1.2"" /&gt;_x000D_
  &lt;param n=""_ROM_Application_"" v=""ODS"" /&gt;_x000D_
  &lt;param n=""_ROM_AppVersion_"" v=""9.2"" /&gt;_x000D_
  &lt;param n=""maxReportCols"" v=""13"" /&gt;_x000D_
  &lt;fids n=""main.srx"" v=""0"" /&gt;_x000D_
  &lt;ExcelXMLOptions AdjColWidths=""True"" RowOp'"</definedName>
    <definedName name="_AMO_ContentDefinition_825207699.8" hidden="1">"'t=""InsertEntire"" ColOpt=""InsertCells"" /&gt;_x000D_
&lt;/ContentDefinition&gt;'"</definedName>
    <definedName name="_AMO_ContentDefinition_921006515" hidden="1">"'Partitions:9'"</definedName>
    <definedName name="_AMO_ContentDefinition_921006515.0" hidden="1">"'&lt;ContentDefinition name=""Summary Tables"" rsid=""921006515"" type=""Task"" format=""ReportXml"" imgfmt=""ActiveX"" created=""02/14/2014 14:55:42"" modifed=""02/28/2014 13:11:34"" user=""ndivhuwog"" apply=""False"" css=""C:\Program Files\SASHome\SASAd'"</definedName>
    <definedName name="_AMO_ContentDefinition_921006515.1" hidden="1">"'dinforMicrosoftOffice\5.1\Styles\AMODefault.css"" range=""Summary_Tables_47"" auto=""False"" xTime=""00:00:00.3940000"" rTime=""00:00:00.5840000"" bgnew=""False"" nFmt=""False"" grphSet=""False"" imgY=""0"" imgX=""0""&gt;_x000D_
  &lt;files&gt;C:\Users\ndivhuwog\Doc'"</definedName>
    <definedName name="_AMO_ContentDefinition_921006515.2" hidden="1">"'uments\My SAS Files\Add-In for Microsoft Office\_SOA_Summary_Tables_531212199\main.srx&lt;/files&gt;_x000D_
  &lt;parents /&gt;_x000D_
  &lt;children /&gt;_x000D_
  &lt;param n=""TaskID"" v=""D3932E3A-4FEE-43DF-956C-A605AC9AF3E7"" /&gt;_x000D_
  &lt;param n=""DisplayName"" v=""Summary Tables"" /&gt;_x000D_
  &lt;'"</definedName>
    <definedName name="_AMO_ContentDefinition_921006515.3" hidden="1">"'param n=""DisplayType"" v=""Task"" /&gt;_x000D_
  &lt;param n=""RawValues"" v=""True"" /&gt;_x000D_
  &lt;param n=""AMO_Version"" v=""5.1"" /&gt;_x000D_
  &lt;param n=""ServerName"" v=""SASApp"" /&gt;_x000D_
  &lt;param n=""AMO_Template"" v="""" /&gt;_x000D_
  &lt;param n=""UseDataConstraints"" v=""False"" /&gt;'"</definedName>
    <definedName name="_AMO_ContentDefinition_921006515.4" hidden="1">"'_x000D_
  &lt;param n=""SizeDataConstraints"" v=""0"" /&gt;_x000D_
  &lt;param n=""AMO_InputDataSource"" v=""&amp;lt;SasDataSource Version=&amp;quot;4.2&amp;quot; Type=&amp;quot;SAS.Servers.Dataset&amp;quot; Svr=&amp;quot;SASApp&amp;quot; Lib=&amp;quot;LFSTDATA&amp;quot; FilterDS=&amp;quot;&amp;amp;lt;?xml version='"</definedName>
    <definedName name="_AMO_ContentDefinition_921006515.5" hidden="1">"'&amp;amp;quot;1.0&amp;amp;quot; encoding=&amp;amp;quot;utf-16&amp;amp;quot;?&amp;amp;gt;&amp;amp;lt;FilterTree&amp;amp;gt;&amp;amp;lt;TreeRoot /&amp;amp;gt;&amp;amp;lt;/FilterTree&amp;amp;gt;&amp;quot; ColSelFlg=&amp;quot;0&amp;quot; Name=&amp;quot;TABLE2&amp;quot; /&amp;gt;"" /&gt;_x000D_
  &lt;param n=""CredKey"" v=""TABLE2&amp;#x1'"</definedName>
    <definedName name="_AMO_ContentDefinition_921006515.6" hidden="1">"';SASApp&amp;#x1;LFSR Tabulation Datasets"" /&gt;_x000D_
  &lt;param n=""ClassName"" v=""SAS.OfficeAddin.Task"" /&gt;_x000D_
  &lt;param n=""XlNative"" v=""False"" /&gt;_x000D_
  &lt;param n=""UnselectedIds"" v="""" /&gt;_x000D_
  &lt;param n=""_ROM_Version_"" v=""1.2"" /&gt;_x000D_
  &lt;param n=""_ROM_Applicat'"</definedName>
    <definedName name="_AMO_ContentDefinition_921006515.7" hidden="1">"'ion_"" v=""ODS"" /&gt;_x000D_
  &lt;param n=""_ROM_AppVersion_"" v=""9.2"" /&gt;_x000D_
  &lt;param n=""maxReportCols"" v=""13"" /&gt;_x000D_
  &lt;fids n=""main.srx"" v=""0"" /&gt;_x000D_
  &lt;ExcelXMLOptions AdjColWidths=""True"" RowOpt=""InsertEntire"" ColOpt=""InsertCells"" /&gt;_x000D_'"</definedName>
    <definedName name="_AMO_ContentDefinition_921006515.8" hidden="1">"'
&lt;/ContentDefinition&gt;'"</definedName>
    <definedName name="_AMO_ContentDefinition_991905274" hidden="1">"'Partitions:9'"</definedName>
    <definedName name="_AMO_ContentDefinition_991905274.0" hidden="1">"'&lt;ContentDefinition name=""Summary Tables"" rsid=""991905274"" type=""Task"" format=""ReportXml"" imgfmt=""ACTXIMG"" created=""04/28/2009 15:42:39"" modifed=""02/28/2014 13:30:39"" user=""ndivhuwog"" apply=""False"" css=""C:\Documents and Settings\ndiv'"</definedName>
    <definedName name="_AMO_ContentDefinition_991905274.1" hidden="1">"'huwog.000\Application Data\SAS\BI Clients\Styles\Copy  of cpi (Ndivhu).css"" range=""Summary_Tables_6"" auto=""False"" xTime=""00:00:00.4380000"" rTime=""00:00:00.7030000"" bgnew=""False"" nFmt=""False"" grphSet=""False"" imgY=""0"" imgX=""0""&gt;_x000D_
  &lt;fi'"</definedName>
    <definedName name="_AMO_ContentDefinition_991905274.2" hidden="1">"'les&gt;C:\Users\ndivhuwog\Documents\My SAS Files\Add-In for Microsoft Office\_SOA_Summary_Tables_851031770\main.srx&lt;/files&gt;_x000D_
  &lt;parents /&gt;_x000D_
  &lt;children /&gt;_x000D_
  &lt;param n=""TaskID"" v=""D3932E3A-4FEE-43DF-956C-A605AC9AF3E7"" /&gt;_x000D_
  &lt;param n=""DisplayName"" v'"</definedName>
    <definedName name="_AMO_ContentDefinition_991905274.3" hidden="1">"'=""Summary Tables"" /&gt;_x000D_
  &lt;param n=""DisplayType"" v=""Task"" /&gt;_x000D_
  &lt;param n=""RawValues"" v=""True"" /&gt;_x000D_
  &lt;param n=""AMO_Version"" v=""5.1"" /&gt;_x000D_
  &lt;param n=""ServerName"" v=""SASApp"" /&gt;_x000D_
  &lt;param n=""AMO_Template"" v="""" /&gt;_x000D_
  &lt;param n=""UseDat'"</definedName>
    <definedName name="_AMO_ContentDefinition_991905274.4" hidden="1">"'aConstraints"" v=""False"" /&gt;_x000D_
  &lt;param n=""SizeDataConstraints"" v=""0"" /&gt;_x000D_
  &lt;param n=""AMO_InputDataSource"" v=""&amp;lt;SasDataSource Version=&amp;quot;4.2&amp;quot; Type=&amp;quot;SAS.Servers.Dataset&amp;quot; Svr=&amp;quot;SASApp&amp;quot; Lib=&amp;quot;LFSTDATA&amp;quot; FilterD'"</definedName>
    <definedName name="_AMO_ContentDefinition_991905274.5" hidden="1">"'S=&amp;quot;&amp;amp;lt;?xml version=&amp;amp;quot;1.0&amp;amp;quot; encoding=&amp;amp;quot;utf-16&amp;amp;quot;?&amp;amp;gt;&amp;amp;lt;FilterTree&amp;amp;gt;&amp;amp;lt;TreeRoot /&amp;amp;gt;&amp;amp;lt;/FilterTree&amp;amp;gt;&amp;quot; UseLbls=&amp;quot;true&amp;quot; ColSelFlg=&amp;quot;0&amp;quot; Name=&amp;quot;TABLE3_1'"</definedName>
    <definedName name="_AMO_ContentDefinition_991905274.6" hidden="1">"'&amp;quot; /&amp;gt;"" /&gt;_x000D_
  &lt;param n=""CredKey"" v=""TABLE3_1&amp;#x1;SASApp&amp;#x1;LFSR Tabulation Datasets"" /&gt;_x000D_
  &lt;param n=""ClassName"" v=""SAS.OfficeAddin.Task"" /&gt;_x000D_
  &lt;param n=""XlNative"" v=""False"" /&gt;_x000D_
  &lt;param n=""UnselectedIds"" v="""" /&gt;_x000D_
  &lt;param n='"</definedName>
    <definedName name="_AMO_ContentDefinition_991905274.7" hidden="1">"'""_ROM_Version_"" v=""1.2"" /&gt;_x000D_
  &lt;param n=""_ROM_Application_"" v=""ODS"" /&gt;_x000D_
  &lt;param n=""_ROM_AppVersion_"" v=""9.2"" /&gt;_x000D_
  &lt;param n=""maxReportCols"" v=""13"" /&gt;_x000D_
  &lt;fids n=""main.srx"" v=""0"" /&gt;_x000D_
  &lt;ExcelXMLOptions AdjColWidths=""True"" RowOp'"</definedName>
    <definedName name="_AMO_ContentDefinition_991905274.8" hidden="1">"'t=""InsertEntire"" ColOpt=""InsertCells"" /&gt;_x000D_
&lt;/ContentDefinition&gt;'"</definedName>
    <definedName name="_AMO_ContentLocation_104386094_ROM_F0.SEC2.Tabulate_1.SEC1.BDY.Cross_tabular_summary_report_Table_1" hidden="1">"'Partitions:2'"</definedName>
    <definedName name="_AMO_ContentLocation_104386094_ROM_F0.SEC2.Tabulate_1.SEC1.BDY.Cross_tabular_summary_report_Table_1.0" hidden="1">"'&lt;ContentLocation path=""F0.SEC2.Tabulate_1.SEC1.BDY.Cross_tabular_summary_report_Table_1"" rsid=""104386094"" tag=""ROM"" fid=""0""&gt;_x000D_
  &lt;param n=""_NumRows"" v=""53"" /&gt;_x000D_
  &lt;param n=""_NumCols"" v=""13"" /&gt;_x000D_
  &lt;param n=""tableSig"" v=""R:R=53:C=13:FCR'"</definedName>
    <definedName name="_AMO_ContentLocation_104386094_ROM_F0.SEC2.Tabulate_1.SEC1.BDY.Cross_tabular_summary_report_Table_1.1" hidden="1">"'=4:FCC=2:RSP.1=1,H,13:RSP.2=1,V,2"" /&gt;_x000D_
  &lt;param n=""leftMargin"" v=""0"" /&gt;_x000D_
&lt;/ContentLocation&gt;'"</definedName>
    <definedName name="_AMO_ContentLocation_112461039_ROM_F0.SEC2.Tabulate_1.SEC1.BDY.Cross_tabular_summary_report_Table_1" hidden="1">"'Partitions:2'"</definedName>
    <definedName name="_AMO_ContentLocation_112461039_ROM_F0.SEC2.Tabulate_1.SEC1.BDY.Cross_tabular_summary_report_Table_1.0" hidden="1">"'&lt;ContentLocation path=""F0.SEC2.Tabulate_1.SEC1.BDY.Cross_tabular_summary_report_Table_1"" rsid=""112461039"" tag=""ROM"" fid=""0""&gt;_x000D_
  &lt;param n=""_NumRows"" v=""53"" /&gt;_x000D_
  &lt;param n=""_NumCols"" v=""13"" /&gt;_x000D_
  &lt;param n=""tableSig"" v=""R:R=53:C=13:FCR'"</definedName>
    <definedName name="_AMO_ContentLocation_112461039_ROM_F0.SEC2.Tabulate_1.SEC1.BDY.Cross_tabular_summary_report_Table_1.1" hidden="1">"'=4:FCC=2:RSP.1=1,H,13:RSP.2=1,V,2"" /&gt;_x000D_
  &lt;param n=""leftMargin"" v=""0"" /&gt;_x000D_
&lt;/ContentLocation&gt;'"</definedName>
    <definedName name="_AMO_ContentLocation_15410102_ROM_F0.SEC2.Tabulate_1.SEC1.BDY.Cross_tabular_summary_report_Table_1" hidden="1">"'Partitions:2'"</definedName>
    <definedName name="_AMO_ContentLocation_15410102_ROM_F0.SEC2.Tabulate_1.SEC1.BDY.Cross_tabular_summary_report_Table_1.0" hidden="1">"'&lt;ContentLocation path=""F0.SEC2.Tabulate_1.SEC1.BDY.Cross_tabular_summary_report_Table_1"" rsid=""15410102"" tag=""ROM"" fid=""0""&gt;_x000D_
  &lt;param n=""_NumRows"" v=""48"" /&gt;_x000D_
  &lt;param n=""_NumCols"" v=""10"" /&gt;_x000D_
  &lt;param n=""tableSig"" v=""R:R=48:C=10:FCR='"</definedName>
    <definedName name="_AMO_ContentLocation_15410102_ROM_F0.SEC2.Tabulate_1.SEC1.BDY.Cross_tabular_summary_report_Table_1.1" hidden="1">"'4:FCC=3:RSP.1=1,H,10:RSP.2=1,H,2;1,V,2"" /&gt;_x000D_
  &lt;param n=""leftMargin"" v=""0"" /&gt;_x000D_
&lt;/ContentLocation&gt;'"</definedName>
    <definedName name="_AMO_ContentLocation_205779628_ROM_F0.SEC2.Tabulate_1.SEC1.BDY.Cross_tabular_summary_report_Table_1" hidden="1">"'Partitions:2'"</definedName>
    <definedName name="_AMO_ContentLocation_205779628_ROM_F0.SEC2.Tabulate_1.SEC1.BDY.Cross_tabular_summary_report_Table_1.0" hidden="1">"'&lt;ContentLocation path=""F0.SEC2.Tabulate_1.SEC1.BDY.Cross_tabular_summary_report_Table_1"" rsid=""205779628"" tag=""ROM"" fid=""0""&gt;_x000D_
  &lt;param n=""_NumRows"" v=""52"" /&gt;_x000D_
  &lt;param n=""_NumCols"" v=""14"" /&gt;_x000D_
  &lt;param n=""tableSig"" v=""R:R=52:C=14:FCR'"</definedName>
    <definedName name="_AMO_ContentLocation_205779628_ROM_F0.SEC2.Tabulate_1.SEC1.BDY.Cross_tabular_summary_report_Table_1.1" hidden="1">"'=4:FCC=2:RSP.1=1,H,14:RSP.2=1,V,2;14,V,2"" /&gt;_x000D_
  &lt;param n=""leftMargin"" v=""0"" /&gt;_x000D_
&lt;/ContentLocation&gt;'"</definedName>
    <definedName name="_AMO_ContentLocation_222545728_ROM_F0.SEC2.Tabulate_1.SEC1.BDY.Cross_tabular_summary_report_Table_1" hidden="1">"'Partitions:2'"</definedName>
    <definedName name="_AMO_ContentLocation_222545728_ROM_F0.SEC2.Tabulate_1.SEC1.BDY.Cross_tabular_summary_report_Table_1.0" hidden="1">"'&lt;ContentLocation path=""F0.SEC2.Tabulate_1.SEC1.BDY.Cross_tabular_summary_report_Table_1"" rsid=""222545728"" tag=""ROM"" fid=""0""&gt;_x000D_
  &lt;param n=""_NumRows"" v=""63"" /&gt;_x000D_
  &lt;param n=""_NumCols"" v=""13"" /&gt;_x000D_
  &lt;param n=""tableSig"" v=""R:R=63:C=13:FCR'"</definedName>
    <definedName name="_AMO_ContentLocation_222545728_ROM_F0.SEC2.Tabulate_1.SEC1.BDY.Cross_tabular_summary_report_Table_1.1" hidden="1">"'=4:FCC=2:RSP.1=1,H,13:RSP.2=1,V,2"" /&gt;_x000D_
  &lt;param n=""leftMargin"" v=""0"" /&gt;_x000D_
&lt;/ContentLocation&gt;'"</definedName>
    <definedName name="_AMO_ContentLocation_225272241_ROM_F0.SEC2.Tabulate_1.SEC1.BDY.Cross_tabular_summary_report_Table_1" hidden="1">"'Partitions:2'"</definedName>
    <definedName name="_AMO_ContentLocation_225272241_ROM_F0.SEC2.Tabulate_1.SEC1.BDY.Cross_tabular_summary_report_Table_1.0" hidden="1">"'&lt;ContentLocation path=""F0.SEC2.Tabulate_1.SEC1.BDY.Cross_tabular_summary_report_Table_1"" rsid=""225272241"" tag=""ROM"" fid=""0""&gt;_x000D_
  &lt;param n=""_NumRows"" v=""39"" /&gt;_x000D_
  &lt;param n=""_NumCols"" v=""13"" /&gt;_x000D_
  &lt;param n=""tableSig"" v=""R:R=39:C=13:FCR'"</definedName>
    <definedName name="_AMO_ContentLocation_225272241_ROM_F0.SEC2.Tabulate_1.SEC1.BDY.Cross_tabular_summary_report_Table_1.1" hidden="1">"'=4:FCC=2:RSP.1=1,H,13:RSP.2=1,V,2"" /&gt;_x000D_
  &lt;param n=""leftMargin"" v=""0"" /&gt;_x000D_
&lt;/ContentLocation&gt;'"</definedName>
    <definedName name="_AMO_ContentLocation_242095788_ROM_F0.SEC2.Tabulate_1.SEC1.BDY.Cross_tabular_summary_report_Table_1" hidden="1">"'Partitions:2'"</definedName>
    <definedName name="_AMO_ContentLocation_242095788_ROM_F0.SEC2.Tabulate_1.SEC1.BDY.Cross_tabular_summary_report_Table_1.0" hidden="1">"'&lt;ContentLocation path=""F0.SEC2.Tabulate_1.SEC1.BDY.Cross_tabular_summary_report_Table_1"" rsid=""242095788"" tag=""ROM"" fid=""0""&gt;_x000D_
  &lt;param n=""_NumRows"" v=""26"" /&gt;_x000D_
  &lt;param n=""_NumCols"" v=""13"" /&gt;_x000D_
  &lt;param n=""tableSig"" v=""R:R=26:C=13:FCR'"</definedName>
    <definedName name="_AMO_ContentLocation_242095788_ROM_F0.SEC2.Tabulate_1.SEC1.BDY.Cross_tabular_summary_report_Table_1.1" hidden="1">"'=3:FCC=2:RSP.1=1,H,13"" /&gt;_x000D_
  &lt;param n=""leftMargin"" v=""0"" /&gt;_x000D_
&lt;/ContentLocation&gt;'"</definedName>
    <definedName name="_AMO_ContentLocation_247862661_ROM_F0.SEC2.Tabulate_1.SEC1.BDY.Cross_tabular_summary_report_Table_1" hidden="1">"'Partitions:2'"</definedName>
    <definedName name="_AMO_ContentLocation_247862661_ROM_F0.SEC2.Tabulate_1.SEC1.BDY.Cross_tabular_summary_report_Table_1.0" hidden="1">"'&lt;ContentLocation path=""F0.SEC2.Tabulate_1.SEC1.BDY.Cross_tabular_summary_report_Table_1"" rsid=""247862661"" tag=""ROM"" fid=""0""&gt;_x000D_
  &lt;param n=""_NumRows"" v=""40"" /&gt;_x000D_
  &lt;param n=""_NumCols"" v=""13"" /&gt;_x000D_
  &lt;param n=""tableSig"" v=""R:R=40:C=13:FCR'"</definedName>
    <definedName name="_AMO_ContentLocation_247862661_ROM_F0.SEC2.Tabulate_1.SEC1.BDY.Cross_tabular_summary_report_Table_1.1" hidden="1">"'=4:FCC=2:RSP.1=1,H,13:RSP.2=1,V,2"" /&gt;_x000D_
  &lt;param n=""leftMargin"" v=""0"" /&gt;_x000D_
&lt;/ContentLocation&gt;'"</definedName>
    <definedName name="_AMO_ContentLocation_296899469__A1" hidden="1">"'Partitions:2'"</definedName>
    <definedName name="_AMO_ContentLocation_296899469__A1.0" hidden="1">"'&lt;ContentLocation path=""A1"" rsid=""296899469"" tag="""" fid=""0""&gt;&lt;param n=""VarSelStateFlag"" v=""0"" /&gt;&lt;param n=""VarCount"" v=""185"" /&gt;&lt;param n=""DataInfo"" v=""false"" /&gt;&lt;param n=""ObsColumn"" v=""true"" /&gt;&lt;param n=""DataRowCount"" v=""110"" '"</definedName>
    <definedName name="_AMO_ContentLocation_296899469__A1.1" hidden="1">"'/&gt;&lt;param n=""DataColCount"" v=""186"" /&gt;&lt;param n=""SASDataState"" v=""none"" /&gt;&lt;param n=""SASDataStart"" v=""1"" /&gt;&lt;param n=""SASDataEnd"" v=""109"" /&gt;&lt;/ContentLocation&gt;'"</definedName>
    <definedName name="_AMO_ContentLocation_30194841_ROM_F0.SEC2.Tabulate_1.SEC1.BDY.Cross_tabular_summary_report_Table_1" hidden="1">"'Partitions:2'"</definedName>
    <definedName name="_AMO_ContentLocation_30194841_ROM_F0.SEC2.Tabulate_1.SEC1.BDY.Cross_tabular_summary_report_Table_1.0" hidden="1">"'&lt;ContentLocation path=""F0.SEC2.Tabulate_1.SEC1.BDY.Cross_tabular_summary_report_Table_1"" rsid=""30194841"" tag=""ROM"" fid=""0""&gt;_x000D_
  &lt;param n=""_NumRows"" v=""55"" /&gt;_x000D_
  &lt;param n=""_NumCols"" v=""13"" /&gt;_x000D_
  &lt;param n=""tableSig"" v=""R:R=55:C=13:FCR='"</definedName>
    <definedName name="_AMO_ContentLocation_30194841_ROM_F0.SEC2.Tabulate_1.SEC1.BDY.Cross_tabular_summary_report_Table_1.1" hidden="1">"'4:FCC=2:RSP.1=1,H,13:RSP.2=1,V,2"" /&gt;_x000D_
  &lt;param n=""leftMargin"" v=""0"" /&gt;_x000D_
&lt;/ContentLocation&gt;'"</definedName>
    <definedName name="_AMO_ContentLocation_362274166__A1" hidden="1">"'Partitions:2'"</definedName>
    <definedName name="_AMO_ContentLocation_362274166__A1.0" hidden="1">"'&lt;ContentLocation path=""A1"" rsid=""362274166"" tag="""" fid=""0""&gt;&lt;param n=""VarSelStateFlag"" v=""0"" /&gt;&lt;param n=""VarCount"" v=""182"" /&gt;&lt;param n=""DataInfo"" v=""false"" /&gt;&lt;param n=""ObsColumn"" v=""true"" /&gt;&lt;param n=""DataRowCount"" v=""119"" '"</definedName>
    <definedName name="_AMO_ContentLocation_362274166__A1.1" hidden="1">"'/&gt;&lt;param n=""DataColCount"" v=""183"" /&gt;&lt;param n=""SASDataState"" v=""none"" /&gt;&lt;param n=""SASDataStart"" v=""1"" /&gt;&lt;param n=""SASDataEnd"" v=""118"" /&gt;&lt;/ContentLocation&gt;'"</definedName>
    <definedName name="_AMO_ContentLocation_37461558_ROM_F0.SEC2.Tabulate_1.SEC1.BDY.Cross_tabular_summary_report_Table_1" hidden="1">"'Partitions:2'"</definedName>
    <definedName name="_AMO_ContentLocation_37461558_ROM_F0.SEC2.Tabulate_1.SEC1.BDY.Cross_tabular_summary_report_Table_1.0" hidden="1">"'&lt;ContentLocation path=""F0.SEC2.Tabulate_1.SEC1.BDY.Cross_tabular_summary_report_Table_1"" rsid=""37461558"" tag=""ROM"" fid=""0""&gt;_x000D_
  &lt;param n=""_NumRows"" v=""45"" /&gt;_x000D_
  &lt;param n=""_NumCols"" v=""13"" /&gt;_x000D_
  &lt;param n=""tableSig"" v=""R:R=45:C=13:FCR='"</definedName>
    <definedName name="_AMO_ContentLocation_37461558_ROM_F0.SEC2.Tabulate_1.SEC1.BDY.Cross_tabular_summary_report_Table_1.1" hidden="1">"'4:FCC=2:RSP.1=1,H,13:RSP.2=1,V,2"" /&gt;_x000D_
  &lt;param n=""leftMargin"" v=""0"" /&gt;_x000D_
&lt;/ContentLocation&gt;'"</definedName>
    <definedName name="_AMO_ContentLocation_390982613_ROM_F0.SEC2.Tabulate_1.SEC1.BDY.Cross_tabular_summary_report_Table_1" hidden="1">"'Partitions:2'"</definedName>
    <definedName name="_AMO_ContentLocation_390982613_ROM_F0.SEC2.Tabulate_1.SEC1.BDY.Cross_tabular_summary_report_Table_1.0" hidden="1">"'&lt;ContentLocation path=""F0.SEC2.Tabulate_1.SEC1.BDY.Cross_tabular_summary_report_Table_1"" rsid=""390982613"" tag=""ROM"" fid=""0""&gt;_x000D_
  &lt;param n=""_NumRows"" v=""45"" /&gt;_x000D_
  &lt;param n=""_NumCols"" v=""13"" /&gt;_x000D_
  &lt;param n=""tableSig"" v=""R:R=45:C=13:FCR'"</definedName>
    <definedName name="_AMO_ContentLocation_390982613_ROM_F0.SEC2.Tabulate_1.SEC1.BDY.Cross_tabular_summary_report_Table_1.1" hidden="1">"'=4:FCC=2:RSP.1=1,H,13:RSP.2=1,V,2"" /&gt;_x000D_
  &lt;param n=""leftMargin"" v=""0"" /&gt;_x000D_
&lt;/ContentLocation&gt;'"</definedName>
    <definedName name="_AMO_ContentLocation_398675413_ROM_F0.SEC2.Tabulate_1.SEC1.BDY.Cross_tabular_summary_report_Table_1" hidden="1">"'Partitions:2'"</definedName>
    <definedName name="_AMO_ContentLocation_398675413_ROM_F0.SEC2.Tabulate_1.SEC1.BDY.Cross_tabular_summary_report_Table_1.0" hidden="1">"'&lt;ContentLocation path=""F0.SEC2.Tabulate_1.SEC1.BDY.Cross_tabular_summary_report_Table_1"" rsid=""398675413"" tag=""ROM"" fid=""0""&gt;_x000D_
  &lt;param n=""_NumRows"" v=""18"" /&gt;_x000D_
  &lt;param n=""_NumCols"" v=""13"" /&gt;_x000D_
  &lt;param n=""tableSig"" v=""R:R=18:C=13:FCR'"</definedName>
    <definedName name="_AMO_ContentLocation_398675413_ROM_F0.SEC2.Tabulate_1.SEC1.BDY.Cross_tabular_summary_report_Table_1.1" hidden="1">"'=4:FCC=2:RSP.1=1,H,13:RSP.2=1,V,2"" /&gt;_x000D_
  &lt;param n=""leftMargin"" v=""0"" /&gt;_x000D_
&lt;/ContentLocation&gt;'"</definedName>
    <definedName name="_AMO_ContentLocation_416626384_ROM_F0.SEC2.Tabulate_1.SEC1.BDY.Cross_tabular_summary_report_Table_1" hidden="1">"'Partitions:2'"</definedName>
    <definedName name="_AMO_ContentLocation_416626384_ROM_F0.SEC2.Tabulate_1.SEC1.BDY.Cross_tabular_summary_report_Table_1.0" hidden="1">"'&lt;ContentLocation path=""F0.SEC2.Tabulate_1.SEC1.BDY.Cross_tabular_summary_report_Table_1"" rsid=""416626384"" tag=""ROM"" fid=""0""&gt;_x000D_
  &lt;param n=""_NumRows"" v=""53"" /&gt;_x000D_
  &lt;param n=""_NumCols"" v=""13"" /&gt;_x000D_
  &lt;param n=""tableSig"" v=""R:R=53:C=13:FCR'"</definedName>
    <definedName name="_AMO_ContentLocation_416626384_ROM_F0.SEC2.Tabulate_1.SEC1.BDY.Cross_tabular_summary_report_Table_1.1" hidden="1">"'=4:FCC=2:RSP.1=1,H,13:RSP.2=1,V,2"" /&gt;_x000D_
  &lt;param n=""leftMargin"" v=""0"" /&gt;_x000D_
&lt;/ContentLocation&gt;'"</definedName>
    <definedName name="_AMO_ContentLocation_472893794_ROM_F0.SEC2.Tabulate_1.SEC1.BDY.Cross_tabular_summary_report_Table_1" hidden="1">"'Partitions:2'"</definedName>
    <definedName name="_AMO_ContentLocation_472893794_ROM_F0.SEC2.Tabulate_1.SEC1.BDY.Cross_tabular_summary_report_Table_1.0" hidden="1">"'&lt;ContentLocation path=""F0.SEC2.Tabulate_1.SEC1.BDY.Cross_tabular_summary_report_Table_1"" rsid=""472893794"" tag=""ROM"" fid=""0""&gt;_x000D_
  &lt;param n=""_NumRows"" v=""21"" /&gt;_x000D_
  &lt;param n=""_NumCols"" v=""13"" /&gt;_x000D_
  &lt;param n=""tableSig"" v=""R:R=21:C=13:FCR'"</definedName>
    <definedName name="_AMO_ContentLocation_472893794_ROM_F0.SEC2.Tabulate_1.SEC1.BDY.Cross_tabular_summary_report_Table_1.1" hidden="1">"'=4:FCC=2:RSP.1=1,H,13:RSP.2=1,V,2"" /&gt;_x000D_
  &lt;param n=""leftMargin"" v=""0"" /&gt;_x000D_
&lt;/ContentLocation&gt;'"</definedName>
    <definedName name="_AMO_ContentLocation_539372770_ROM_F0.SEC2.Tabulate_1.SEC1.BDY.Cross_tabular_summary_report_Table_1" hidden="1">"'Partitions:2'"</definedName>
    <definedName name="_AMO_ContentLocation_539372770_ROM_F0.SEC2.Tabulate_1.SEC1.BDY.Cross_tabular_summary_report_Table_1.0" hidden="1">"'&lt;ContentLocation path=""F0.SEC2.Tabulate_1.SEC1.BDY.Cross_tabular_summary_report_Table_1"" rsid=""539372770"" tag=""ROM"" fid=""0""&gt;_x000D_
  &lt;param n=""_NumRows"" v=""63"" /&gt;_x000D_
  &lt;param n=""_NumCols"" v=""13"" /&gt;_x000D_
  &lt;param n=""tableSig"" v=""R:R=63:C=13:FCR'"</definedName>
    <definedName name="_AMO_ContentLocation_539372770_ROM_F0.SEC2.Tabulate_1.SEC1.BDY.Cross_tabular_summary_report_Table_1.1" hidden="1">"'=4:FCC=2:RSP.1=1,H,13:RSP.2=1,V,2"" /&gt;_x000D_
  &lt;param n=""leftMargin"" v=""0"" /&gt;_x000D_
&lt;/ContentLocation&gt;'"</definedName>
    <definedName name="_AMO_ContentLocation_572615156_ROM_F0.SEC2.Tabulate_1.SEC1.BDY.Cross_tabular_summary_report_Table_1" hidden="1">"'Partitions:2'"</definedName>
    <definedName name="_AMO_ContentLocation_572615156_ROM_F0.SEC2.Tabulate_1.SEC1.BDY.Cross_tabular_summary_report_Table_1.0" hidden="1">"'&lt;ContentLocation path=""F0.SEC2.Tabulate_1.SEC1.BDY.Cross_tabular_summary_report_Table_1"" rsid=""572615156"" tag=""ROM"" fid=""0""&gt;_x000D_
  &lt;param n=""_NumRows"" v=""21"" /&gt;_x000D_
  &lt;param n=""_NumCols"" v=""13"" /&gt;_x000D_
  &lt;param n=""tableSig"" v=""R:R=21:C=13:FCR'"</definedName>
    <definedName name="_AMO_ContentLocation_572615156_ROM_F0.SEC2.Tabulate_1.SEC1.BDY.Cross_tabular_summary_report_Table_1.1" hidden="1">"'=4:FCC=2:RSP.1=1,H,13:RSP.2=1,V,2"" /&gt;_x000D_
  &lt;param n=""leftMargin"" v=""0"" /&gt;_x000D_
&lt;/ContentLocation&gt;'"</definedName>
    <definedName name="_AMO_ContentLocation_576762798_ROM_F0.SEC2.Tabulate_1.SEC1.BDY.Cross_tabular_summary_report_Table_1" hidden="1">"'Partitions:2'"</definedName>
    <definedName name="_AMO_ContentLocation_576762798_ROM_F0.SEC2.Tabulate_1.SEC1.BDY.Cross_tabular_summary_report_Table_1.0" hidden="1">"'&lt;ContentLocation path=""F0.SEC2.Tabulate_1.SEC1.BDY.Cross_tabular_summary_report_Table_1"" rsid=""576762798"" tag=""ROM"" fid=""0""&gt;_x000D_
  &lt;param n=""_NumRows"" v=""36"" /&gt;_x000D_
  &lt;param n=""_NumCols"" v=""13"" /&gt;_x000D_
  &lt;param n=""tableSig"" v=""R:R=36:C=13:FCR'"</definedName>
    <definedName name="_AMO_ContentLocation_576762798_ROM_F0.SEC2.Tabulate_1.SEC1.BDY.Cross_tabular_summary_report_Table_1.1" hidden="1">"'=4:FCC=2:RSP.1=1,H,13:RSP.2=1,V,2"" /&gt;_x000D_
  &lt;param n=""leftMargin"" v=""0"" /&gt;_x000D_
&lt;/ContentLocation&gt;'"</definedName>
    <definedName name="_AMO_ContentLocation_576788546_ROM_F0.SEC2.Tabulate_1.SEC1.BDY.Cross_tabular_summary_report_Table_1" hidden="1">"'Partitions:2'"</definedName>
    <definedName name="_AMO_ContentLocation_576788546_ROM_F0.SEC2.Tabulate_1.SEC1.BDY.Cross_tabular_summary_report_Table_1.0" hidden="1">"'&lt;ContentLocation path=""F0.SEC2.Tabulate_1.SEC1.BDY.Cross_tabular_summary_report_Table_1"" rsid=""576788546"" tag=""ROM"" fid=""0""&gt;_x000D_
  &lt;param n=""_NumRows"" v=""63"" /&gt;_x000D_
  &lt;param n=""_NumCols"" v=""13"" /&gt;_x000D_
  &lt;param n=""tableSig"" v=""R:R=63:C=13:FCR'"</definedName>
    <definedName name="_AMO_ContentLocation_576788546_ROM_F0.SEC2.Tabulate_1.SEC1.BDY.Cross_tabular_summary_report_Table_1.1" hidden="1">"'=4:FCC=2:RSP.1=1,H,13:RSP.2=1,V,2"" /&gt;_x000D_
  &lt;param n=""leftMargin"" v=""0"" /&gt;_x000D_
&lt;/ContentLocation&gt;'"</definedName>
    <definedName name="_AMO_ContentLocation_587946619_ROM_F0.SEC2.Tabulate_1.SEC1.BDY.Cross_tabular_summary_report_Table_1" hidden="1">"'Partitions:2'"</definedName>
    <definedName name="_AMO_ContentLocation_587946619_ROM_F0.SEC2.Tabulate_1.SEC1.BDY.Cross_tabular_summary_report_Table_1.0" hidden="1">"'&lt;ContentLocation path=""F0.SEC2.Tabulate_1.SEC1.BDY.Cross_tabular_summary_report_Table_1"" rsid=""587946619"" tag=""ROM"" fid=""0""&gt;_x000D_
  &lt;param n=""_NumRows"" v=""53"" /&gt;_x000D_
  &lt;param n=""_NumCols"" v=""13"" /&gt;_x000D_
  &lt;param n=""tableSig"" v=""R:R=53:C=13:FCR'"</definedName>
    <definedName name="_AMO_ContentLocation_587946619_ROM_F0.SEC2.Tabulate_1.SEC1.BDY.Cross_tabular_summary_report_Table_1.1" hidden="1">"'=4:FCC=2:RSP.1=1,H,13:RSP.2=1,V,2"" /&gt;_x000D_
  &lt;param n=""leftMargin"" v=""0"" /&gt;_x000D_
&lt;/ContentLocation&gt;'"</definedName>
    <definedName name="_AMO_ContentLocation_617623402_ROM_F0.SEC2.Tabulate_1.SEC1.BDY.Cross_tabular_summary_report_Table_1" hidden="1">"'Partitions:2'"</definedName>
    <definedName name="_AMO_ContentLocation_617623402_ROM_F0.SEC2.Tabulate_1.SEC1.BDY.Cross_tabular_summary_report_Table_1.0" hidden="1">"'&lt;ContentLocation path=""F0.SEC2.Tabulate_1.SEC1.BDY.Cross_tabular_summary_report_Table_1"" rsid=""617623402"" tag=""ROM"" fid=""0""&gt;_x000D_
  &lt;param n=""_NumRows"" v=""53"" /&gt;_x000D_
  &lt;param n=""_NumCols"" v=""13"" /&gt;_x000D_
  &lt;param n=""tableSig"" v=""R:R=53:C=13:FCR'"</definedName>
    <definedName name="_AMO_ContentLocation_617623402_ROM_F0.SEC2.Tabulate_1.SEC1.BDY.Cross_tabular_summary_report_Table_1.1" hidden="1">"'=4:FCC=2:RSP.1=1,H,13:RSP.2=1,V,2"" /&gt;_x000D_
  &lt;param n=""leftMargin"" v=""0"" /&gt;_x000D_
&lt;/ContentLocation&gt;'"</definedName>
    <definedName name="_AMO_ContentLocation_621796666_ROM_F0.SEC2.Tabulate_1.SEC1.BDY.Cross_tabular_summary_report_Table_1" hidden="1">"'Partitions:2'"</definedName>
    <definedName name="_AMO_ContentLocation_621796666_ROM_F0.SEC2.Tabulate_1.SEC1.BDY.Cross_tabular_summary_report_Table_1.0" hidden="1">"'&lt;ContentLocation path=""F0.SEC2.Tabulate_1.SEC1.BDY.Cross_tabular_summary_report_Table_1"" rsid=""621796666"" tag=""ROM"" fid=""0""&gt;_x000D_
  &lt;param n=""_NumRows"" v=""49"" /&gt;_x000D_
  &lt;param n=""_NumCols"" v=""13"" /&gt;_x000D_
  &lt;param n=""tableSig"" v=""R:R=49:C=13:FCR'"</definedName>
    <definedName name="_AMO_ContentLocation_621796666_ROM_F0.SEC2.Tabulate_1.SEC1.BDY.Cross_tabular_summary_report_Table_1.1" hidden="1">"'=4:FCC=2:RSP.1=1,H,13:RSP.2=1,V,2"" /&gt;_x000D_
  &lt;param n=""leftMargin"" v=""0"" /&gt;_x000D_
&lt;/ContentLocation&gt;'"</definedName>
    <definedName name="_AMO_ContentLocation_65748969_ROM_F0.SEC2.Tabulate_1.SEC1.BDY.Cross_tabular_summary_report_Table_1" hidden="1">"'Partitions:2'"</definedName>
    <definedName name="_AMO_ContentLocation_65748969_ROM_F0.SEC2.Tabulate_1.SEC1.BDY.Cross_tabular_summary_report_Table_1.0" hidden="1">"'&lt;ContentLocation path=""F0.SEC2.Tabulate_1.SEC1.BDY.Cross_tabular_summary_report_Table_1"" rsid=""65748969"" tag=""ROM"" fid=""0""&gt;_x000D_
  &lt;param n=""_NumRows"" v=""53"" /&gt;_x000D_
  &lt;param n=""_NumCols"" v=""13"" /&gt;_x000D_
  &lt;param n=""tableSig"" v=""R:R=53:C=13:FCR='"</definedName>
    <definedName name="_AMO_ContentLocation_65748969_ROM_F0.SEC2.Tabulate_1.SEC1.BDY.Cross_tabular_summary_report_Table_1.1" hidden="1">"'4:FCC=2:RSP.1=1,H,13:RSP.2=1,V,2"" /&gt;_x000D_
  &lt;param n=""leftMargin"" v=""0"" /&gt;_x000D_
&lt;/ContentLocation&gt;'"</definedName>
    <definedName name="_AMO_ContentLocation_662231970_ROM_F0.SEC2.Tabulate_1.SEC1.BDY.Cross_tabular_summary_report_Table_1" hidden="1">"'Partitions:2'"</definedName>
    <definedName name="_AMO_ContentLocation_662231970_ROM_F0.SEC2.Tabulate_1.SEC1.BDY.Cross_tabular_summary_report_Table_1.0" hidden="1">"'&lt;ContentLocation path=""F0.SEC2.Tabulate_1.SEC1.BDY.Cross_tabular_summary_report_Table_1"" rsid=""662231970"" tag=""ROM"" fid=""0""&gt;_x000D_
  &lt;param n=""_NumRows"" v=""47"" /&gt;_x000D_
  &lt;param n=""_NumCols"" v=""10"" /&gt;_x000D_
  &lt;param n=""tableSig"" v=""R:R=47:C=10:FCR'"</definedName>
    <definedName name="_AMO_ContentLocation_662231970_ROM_F0.SEC2.Tabulate_1.SEC1.BDY.Cross_tabular_summary_report_Table_1.1" hidden="1">"'=3:FCC=3:RSP.1=1,H,10:RSP.2=1,H,2"" /&gt;_x000D_
  &lt;param n=""leftMargin"" v=""0"" /&gt;_x000D_
&lt;/ContentLocation&gt;'"</definedName>
    <definedName name="_AMO_ContentLocation_671486722_ROM_F0.SEC2.Tabulate_1.SEC1.BDY.Cross_tabular_summary_report_Table_1" hidden="1">"'Partitions:2'"</definedName>
    <definedName name="_AMO_ContentLocation_671486722_ROM_F0.SEC2.Tabulate_1.SEC1.BDY.Cross_tabular_summary_report_Table_1.0" hidden="1">"'&lt;ContentLocation path=""F0.SEC2.Tabulate_1.SEC1.BDY.Cross_tabular_summary_report_Table_1"" rsid=""671486722"" tag=""ROM"" fid=""0""&gt;_x000D_
  &lt;param n=""_NumRows"" v=""35"" /&gt;_x000D_
  &lt;param n=""_NumCols"" v=""14"" /&gt;_x000D_
  &lt;param n=""tableSig"" v=""R:R=35:C=14:FCR'"</definedName>
    <definedName name="_AMO_ContentLocation_671486722_ROM_F0.SEC2.Tabulate_1.SEC1.BDY.Cross_tabular_summary_report_Table_1.1" hidden="1">"'=4:FCC=2:RSP.1=1,H,14:RSP.2=1,V,2;14,V,2"" /&gt;_x000D_
  &lt;param n=""leftMargin"" v=""0"" /&gt;_x000D_
&lt;/ContentLocation&gt;'"</definedName>
    <definedName name="_AMO_ContentLocation_732119577_ROM_F0.SEC2.Tabulate_1.SEC1.BDY.Cross_tabular_summary_report_Table_1" hidden="1">"'Partitions:2'"</definedName>
    <definedName name="_AMO_ContentLocation_732119577_ROM_F0.SEC2.Tabulate_1.SEC1.BDY.Cross_tabular_summary_report_Table_1.0" hidden="1">"'&lt;ContentLocation path=""F0.SEC2.Tabulate_1.SEC1.BDY.Cross_tabular_summary_report_Table_1"" rsid=""732119577"" tag=""ROM"" fid=""0""&gt;_x000D_
  &lt;param n=""_NumRows"" v=""51"" /&gt;_x000D_
  &lt;param n=""_NumCols"" v=""14"" /&gt;_x000D_
  &lt;param n=""tableSig"" v=""R:R=51:C=14:FCR'"</definedName>
    <definedName name="_AMO_ContentLocation_732119577_ROM_F0.SEC2.Tabulate_1.SEC1.BDY.Cross_tabular_summary_report_Table_1.1" hidden="1">"'=4:FCC=2:RSP.1=1,H,14:RSP.2=1,V,2;14,V,2"" /&gt;_x000D_
  &lt;param n=""leftMargin"" v=""0"" /&gt;_x000D_
&lt;/ContentLocation&gt;'"</definedName>
    <definedName name="_AMO_ContentLocation_779436236_ROM_F0.SEC2.Tabulate_1.SEC1.BDY.Cross_tabular_summary_report_Table_1" hidden="1">"'Partitions:2'"</definedName>
    <definedName name="_AMO_ContentLocation_779436236_ROM_F0.SEC2.Tabulate_1.SEC1.BDY.Cross_tabular_summary_report_Table_1.0" hidden="1">"'&lt;ContentLocation path=""F0.SEC2.Tabulate_1.SEC1.BDY.Cross_tabular_summary_report_Table_1"" rsid=""779436236"" tag=""ROM"" fid=""0""&gt;_x000D_
  &lt;param n=""_NumRows"" v=""22"" /&gt;_x000D_
  &lt;param n=""_NumCols"" v=""13"" /&gt;_x000D_
  &lt;param n=""tableSig"" v=""R:R=22:C=13:FCR'"</definedName>
    <definedName name="_AMO_ContentLocation_779436236_ROM_F0.SEC2.Tabulate_1.SEC1.BDY.Cross_tabular_summary_report_Table_1.1" hidden="1">"'=4:FCC=2:RSP.1=1,H,13:RSP.2=1,V,2"" /&gt;_x000D_
  &lt;param n=""leftMargin"" v=""0"" /&gt;_x000D_
&lt;/ContentLocation&gt;'"</definedName>
    <definedName name="_AMO_ContentLocation_805804074_ROM_F0.SEC2.Tabulate_1.SEC1.BDY.Cross_tabular_summary_report_Table_1" hidden="1">"'Partitions:2'"</definedName>
    <definedName name="_AMO_ContentLocation_805804074_ROM_F0.SEC2.Tabulate_1.SEC1.BDY.Cross_tabular_summary_report_Table_1.0" hidden="1">"'&lt;ContentLocation path=""F0.SEC2.Tabulate_1.SEC1.BDY.Cross_tabular_summary_report_Table_1"" rsid=""805804074"" tag=""ROM"" fid=""0""&gt;_x000D_
  &lt;param n=""_NumRows"" v=""63"" /&gt;_x000D_
  &lt;param n=""_NumCols"" v=""13"" /&gt;_x000D_
  &lt;param n=""tableSig"" v=""R:R=63:C=13:FCR'"</definedName>
    <definedName name="_AMO_ContentLocation_805804074_ROM_F0.SEC2.Tabulate_1.SEC1.BDY.Cross_tabular_summary_report_Table_1.1" hidden="1">"'=4:FCC=2:RSP.1=1,H,13:RSP.2=1,V,2"" /&gt;_x000D_
  &lt;param n=""leftMargin"" v=""0"" /&gt;_x000D_
&lt;/ContentLocation&gt;'"</definedName>
    <definedName name="_AMO_ContentLocation_825207699_ROM_F0.SEC2.Tabulate_1.SEC1.BDY.Cross_tabular_summary_report_Table_1" hidden="1">"'Partitions:2'"</definedName>
    <definedName name="_AMO_ContentLocation_825207699_ROM_F0.SEC2.Tabulate_1.SEC1.BDY.Cross_tabular_summary_report_Table_1.0" hidden="1">"'&lt;ContentLocation path=""F0.SEC2.Tabulate_1.SEC1.BDY.Cross_tabular_summary_report_Table_1"" rsid=""825207699"" tag=""ROM"" fid=""0""&gt;_x000D_
  &lt;param n=""_NumRows"" v=""53"" /&gt;_x000D_
  &lt;param n=""_NumCols"" v=""13"" /&gt;_x000D_
  &lt;param n=""tableSig"" v=""R:R=53:C=13:FCR'"</definedName>
    <definedName name="_AMO_ContentLocation_825207699_ROM_F0.SEC2.Tabulate_1.SEC1.BDY.Cross_tabular_summary_report_Table_1.1" hidden="1">"'=4:FCC=2:RSP.1=1,H,13:RSP.2=1,V,2"" /&gt;_x000D_
  &lt;param n=""leftMargin"" v=""0"" /&gt;_x000D_
&lt;/ContentLocation&gt;'"</definedName>
    <definedName name="_AMO_ContentLocation_921006515_ROM_F0.SEC2.Tabulate_1.SEC1.BDY.Cross_tabular_summary_report_Table_1" hidden="1">"'Partitions:2'"</definedName>
    <definedName name="_AMO_ContentLocation_921006515_ROM_F0.SEC2.Tabulate_1.SEC1.BDY.Cross_tabular_summary_report_Table_1.0" hidden="1">"'&lt;ContentLocation path=""F0.SEC2.Tabulate_1.SEC1.BDY.Cross_tabular_summary_report_Table_1"" rsid=""921006515"" tag=""ROM"" fid=""0""&gt;_x000D_
  &lt;param n=""_NumRows"" v=""51"" /&gt;_x000D_
  &lt;param n=""_NumCols"" v=""13"" /&gt;_x000D_
  &lt;param n=""tableSig"" v=""R:R=51:C=13:FCR'"</definedName>
    <definedName name="_AMO_ContentLocation_921006515_ROM_F0.SEC2.Tabulate_1.SEC1.BDY.Cross_tabular_summary_report_Table_1.1" hidden="1">"'=4:FCC=2:RSP.1=1,H,13:RSP.2=1,V,2"" /&gt;_x000D_
  &lt;param n=""leftMargin"" v=""0"" /&gt;_x000D_
&lt;/ContentLocation&gt;'"</definedName>
    <definedName name="_AMO_ContentLocation_991905274_ROM_F0.SEC2.Tabulate_1.SEC1.BDY.Cross_tabular_summary_report_Table_1" hidden="1">"'Partitions:2'"</definedName>
    <definedName name="_AMO_ContentLocation_991905274_ROM_F0.SEC2.Tabulate_1.SEC1.BDY.Cross_tabular_summary_report_Table_1.0" hidden="1">"'&lt;ContentLocation path=""F0.SEC2.Tabulate_1.SEC1.BDY.Cross_tabular_summary_report_Table_1"" rsid=""991905274"" tag=""ROM"" fid=""0""&gt;_x000D_
  &lt;param n=""_NumRows"" v=""39"" /&gt;_x000D_
  &lt;param n=""_NumCols"" v=""13"" /&gt;_x000D_
  &lt;param n=""tableSig"" v=""R:R=39:C=13:FCR'"</definedName>
    <definedName name="_AMO_ContentLocation_991905274_ROM_F0.SEC2.Tabulate_1.SEC1.BDY.Cross_tabular_summary_report_Table_1.1" hidden="1">"'=4:FCC=2:RSP.1=1,H,13:RSP.2=1,V,2"" /&gt;_x000D_
  &lt;param n=""leftMargin"" v=""0"" /&gt;_x000D_
&lt;/ContentLocation&gt;'"</definedName>
    <definedName name="_AMO_RefreshMultipleList" hidden="1">"'296899469 426988102 362274166 589584065 285770244'"</definedName>
    <definedName name="_AMO_RefreshMultipleList.0" hidden="1">"'&lt;Items&gt;_x000D_
  &lt;Item Id=""478191013"" Checked=""True"" /&gt;_x000D_
  &lt;Item Id=""991905274"" Checked=""True"" /&gt;_x000D_
  &lt;Item Id=""576762798"" Checked=""True"" /&gt;_x000D_
  &lt;Item Id=""617623402"" Checked=""True"" /&gt;_x000D_
  &lt;Item Id=""587946619"" Checked=""True"" /&gt;_x000D_
  &lt;Item I'"</definedName>
    <definedName name="_AMO_RefreshMultipleList.1" hidden="1">"'d=""825207699"" Checked=""True"" /&gt;_x000D_
  &lt;Item Id=""225272241"" Checked=""True"" /&gt;_x000D_
  &lt;Item Id=""671486722"" Checked=""True"" /&gt;_x000D_
  &lt;Item Id=""779436236"" Checked=""True"" /&gt;_x000D_
  &lt;Item Id=""390982613"" Checked=""True"" /&gt;_x000D_
  &lt;Item Id=""15410102"" Chec'"</definedName>
    <definedName name="_AMO_RefreshMultipleList.2" hidden="1">"'ked=""False"" /&gt;_x000D_
  &lt;Item Id=""74403347"" Checked=""True"" /&gt;_x000D_
  &lt;Item Id=""358847779"" Checked=""True"" /&gt;_x000D_
  &lt;Item Id=""176225830"" Checked=""True"" /&gt;_x000D_
  &lt;Item Id=""247862661"" Checked=""True"" /&gt;_x000D_
  &lt;Item Id=""398675413"" Checked=""True"" /&gt;_x000D_
  '"</definedName>
    <definedName name="_AMO_RefreshMultipleList.3" hidden="1">"'&lt;Item Id=""472893794"" Checked=""True"" /&gt;_x000D_
  &lt;Item Id=""621796666"" Checked=""True"" /&gt;_x000D_
  &lt;Item Id=""732119577"" Checked=""True"" /&gt;_x000D_
  &lt;Item Id=""205779628"" Checked=""True"" /&gt;_x000D_
  &lt;Item Id=""97505557"" Checked=""True"" /&gt;_x000D_
  &lt;Item Id=""46203661'"</definedName>
    <definedName name="_AMO_RefreshMultipleList.4" hidden="1">"'"" Checked=""True"" /&gt;_x000D_
  &lt;Item Id=""242095788"" Checked=""False"" /&gt;_x000D_
  &lt;Item Id=""880379414"" Checked=""True"" /&gt;_x000D_
  &lt;Item Id=""104386094"" Checked=""True"" /&gt;_x000D_
  &lt;Item Id=""805804074"" Checked=""True"" /&gt;_x000D_
  &lt;Item Id=""416626384"" Checked=""True""'"</definedName>
    <definedName name="_AMO_RefreshMultipleList.5" hidden="1">"' /&gt;_x000D_
  &lt;Item Id=""65748969"" Checked=""True"" /&gt;_x000D_
  &lt;Item Id=""871571195"" Checked=""True"" /&gt;_x000D_
  &lt;Item Id=""612588558"" Checked=""False"" /&gt;_x000D_
&lt;/Items&gt;'"</definedName>
    <definedName name="_AMO_SingleObject_104386094_ROM_F0.SEC2.Tabulate_1.SEC2.BDY.Cross_tabular_summary_report_Table_1" hidden="1">'[1]Table 2.5'!#REF!</definedName>
    <definedName name="_AMO_SingleObject_205779628_ROM_F0.SEC2.Tabulate_1.SEC2.BDY.Cross_tabular_summary_report_Table_1" hidden="1">[1]Table3.8b!#REF!</definedName>
    <definedName name="_AMO_SingleObject_30194841_ROM_F0.SEC2.Tabulate_1.SEC1.FTR.TXT1" hidden="1">[1]Table6!#REF!</definedName>
    <definedName name="_AMO_SingleObject_37461558_ROM_F0.SEC2.Tabulate_1.SEC1.HDR.TXT1" hidden="1">'[1]Table 2.4'!#REF!</definedName>
    <definedName name="_AMO_SingleObject_732119577_ROM_F0.SEC2.Tabulate_1.SEC2.BDY.Cross_tabular_summary_report_Table_1" hidden="1">[1]Table3.8c!#REF!</definedName>
    <definedName name="_AMO_SingleObject_921006515_ROM_F0.SEC2.Tabulate_1.SEC1.FTR.TXT1" hidden="1">'[1]Table 2'!#REF!</definedName>
    <definedName name="_AMO_SingleObject_921006515_ROM_F0.SEC2.Tabulate_1.SEC1.HDR.TXT1" hidden="1">'[1]Table 2'!#REF!</definedName>
    <definedName name="_AMO_SingleValue_104386094_TaskState" hidden="1">"'Partitions:11'"</definedName>
    <definedName name="_AMO_SingleValue_104386094_TaskState.0" hidden="1">"'SASUNICODE7V1Zb+JIEK7nlfY/oKw0D6PZkJCQQzuHCOQYDUNYYDLap4gQsoOWIwMmM9Fq//t+Xe32hW1sY2yCWgiw29V1dH9dXX3Yfksf6CeNaEgFeqI+TWlGA5rQmN7RDu3TLu3hv4ArY+oh/R5Xx/Q3X52TQQ/0O53g+AO9p1/pF3pLHeqCxz/IM8bRCDkFbRvUI3y6kPCMa4LqDlL7oN2xZAvKQ8g8YLlKtuA3MrlU8N2lc7rEr5I0w'"</definedName>
    <definedName name="_AMO_SingleValue_104386094_TaskState.1" hidden="1">"'3GNOfXAYwC+fXqDfDcee8qg2wfPPYu7oKpCsyEsmYNW6DrGr7BsCu5DpmjiXOg6AP9PuPoMyRPI7TNXIa2MMuijLHrQ/I5O8XtIJcg6xdmOVTI3bP3AsrwKLkM+6kGe1NJbagbODJzdwvIaH3dNPrMQzm4uPbbtO9sky1PY2+Br4ryH8xmfKQkz5DRM/US9jZmuGFHeFPl+ZCKpxZKeWM4caVnINKx0UWcGH2Urd8y5s5D5yG3iKUPsuCXu'"</definedName>
    <definedName name="_AMO_SingleValue_104386094_TaskState.10" hidden="1">"'UfDibml+tS0sf7RQHlwj4U9YEzU84WeL9VyRpsLGZ+qyRXcmP1n+Ud/htoszJ6oNco5wOySfIDkzS0+9MyT+u+J2UUJDGppjAPnmO6+/T2aRN5JJrrOX06LGJZ84Mqh+iha/9/Q/'"</definedName>
    <definedName name="_AMO_SingleValue_104386094_TaskState.2" hidden="1">"'5yCzlIPMgxxkHuYgs5yDzKMcZB7nIPMkB5mnufiEvYykil65R9+QJiKerLz8N+Scg4uQem9GR+uW+h3xhfhmba2Su66yLkaKuRR1kyOXR44aDUR58eIzldsZl3k5yqj3M9LcfOz0Hb4irdzljzty9sbNdmwsqb1xsKAxOIfQdYSvoC3Sa45ru1zWBeQasC5jK1ougKJIr+g3jA5q9Id5VMGRX/zzxpdSSpExWjwZ3rjuHf1LdVw5Q+Rfx9k'"</definedName>
    <definedName name="_AMO_SingleValue_104386094_TaskState.3" hidden="1">"'roGYOGoNz2cf/hWrixEk8fRY90GtfugI+sr6iaxzMqcB15/UH0TkXIthyujWWnGyNJcdbY8nR1lhS3hpLDrfGkoOtsaS0NZbsb40lL9cO53zfS7DCHbN7Y+YznE14ftoZMSuqBlvR53i3Z82MfgRtxYzaxcyyGi8ISTKqlGOtqTVrGCy/wfPDQfIrnDoEnYgiZ6YGdY6R+zxesY/lGGbC5RNd/jWO1eijzjKMxLoEa6CkO6XNQkdLTkq3Pl'"</definedName>
    <definedName name="_AMO_SingleValue_104386094_TaskState.4" hidden="1">"'Vcq9MXjGcaEW0O5tXCta8rc2mibC6Bw1X5XAFZNXzOI1tWjFGixUh1nwynNgqa+HYhvW+OfowMERqmRTbYvEANtuD7OitjQfi26Hyyw0G4v7xC7nukqbH/Fb5dTpmG+od06l9JreB8as31ZIuABlpvGvUvvFwDv5UNxEC4L1C10OEeuJtxL+UnPauav+baX7XmL+FBKuBUo1tYcY1vBTa/LAzYpZ9mrNJmOrlDII7cqGUXZYZWUbf4WtxVd'"</definedName>
    <definedName name="_AMO_SingleValue_104386094_TaskState.5" hidden="1">"'pXLOYur0hbXnkXqDWq/xZqO2HIVgwqaPR8u8XcBRMnh3QsQvgNgyJzUvPqDNS8szoQNF66UpLP+y9aS89dif0P0KG2IHgcbosfhhuhR3hA9jjZEj+MN0eNkQ/Q43RA91Jr4ujUpxurFgtaA3b34gHvb5PmfF+LyL9DyT0Qasld+tGaKFntt96qtTduhKOuvuwEzLuGWOuVUlq7eqjJIIiksXvFanvaacw+fM6Q2TMoqPreJrLhdonnYar8X'"</definedName>
    <definedName name="_AMO_SingleValue_104386094_TaskState.6" hidden="1">"'KckQ1YTUc+TRmNKYWg+m9jWqNKpSR1VJo0qjKnVUHWhUaVSljqpDjSqNqtRRVdao0qhKHVVHGlUaVamj6lijSqMqdVSdaFRpVKWOqlONKo2qNcyC7mlcaVz54moZ5fJVRHvtMtq+nqq5w7PNOm/u3h6/50LksSId9FyMPHQRyPiRm/QWLT6VJJ89An53VeeDDb+72vVuBef9Df69nu2FVu35qjTkMpsFlkp6fV8yWcv8cD49YDJbbpfqH7S'"</definedName>
    <definedName name="_AMO_SingleValue_104386094_TaskState.7" hidden="1">"'H9pLP50jx7mtRetSpz3c1DR1clD0t/E7xL1rXwGw9ds4CayTzFlx3YUmP6UxxtyWvlte0bL93G9cE7Rmo093H7byba8a2SB8Tbxf3F5w9sI4j5if2/957eD6Q3J+e3S7uRWobDzZNMkyuO5qXvkzEfOLur3Pt1bRXy9mreSMx7d+0f0vu38R9Pmew6BxHH/Gtax+nfVzuPs5v3K39nPZzq8zKVtEKq3RF4i7HS+3ltJdb2ct5uQTfpd5H/g'"</definedName>
    <definedName name="_AMO_SingleValue_104386094_TaskState.8" hidden="1">"'mJe9Ll/I+03L43NLgtv9wW10Fbu4Yna5O8r7itW5xucbnHFd452+hRhW7d/uOGBj8VR7dt3bbzbtvuNUM9XtDjhXxX29VTYc7oL9q0dfVs17NfwqplvJkwZ91G6dfUe13aKLNPrr4sWh+22C8l74/CdF/Wg8TrOcIkbcqOmaKjnwvOV+Wo0UDaiOnuI7VY51N4REnuhPJrsv69BX+ynjq4NXemFV2+OJqVKkfH8iLxysLO58S2ndoO4WPHR'"</definedName>
    <definedName name="_AMO_SingleValue_104386094_TaskState.9" hidden="1">"'QUPnwJr3+dI4iG0z4sm6YIjfgNpE9Y7joTikrKxo55FDxq1FK9JvNOp5oqhnNzcOSdMvWPGVXfAh7LhKzi14JXsa6r1O6+MkD41dZC+MjhetX1pCXqWHflvQLH4PKypWdKNFfjfm7Z3QPto2ixL6JF/m9w+ZmaMIuOj4NhTvAnr2cGjxu/ocsbcdtzjrXl3LQSlrwsV4jmxUTER9DxZL0LqaAuiVmpU4bJfRIqkaJF6C9qcvZWtrVuLmQdR'"</definedName>
    <definedName name="_AMO_SingleValue_112461039_TaskState" hidden="1">"'Partitions:11'"</definedName>
    <definedName name="_AMO_SingleValue_112461039_TaskState.0" hidden="1">"'SASUNICODE7V1bb9pIFD7PK+1/QFmpD1U3BHLX9iICaVKVEhZIqn1ClJAtWi4pmLbRav/7fnPG4xvY2MbYDhohwJ45cy4zn8+cudh+Te/oJ41pRAX6TgOa0ZyGNKUJvaE9KtE+HeC/gJwJ9ZF+j9wJ/c25CzLogX6nMxy/o7f0K/1Cr6lDPfD4B2UmOBqjpKBtg3qMTw8SnpAnqL5A6gC0e5ZsQXkEmYcsV8kW/MYmlwq++3RJV/hVkuY4r'"</definedName>
    <definedName name="_AMO_SingleValue_112461039_TaskState.1" hidden="1">"'jGnPngMwXdAr1DuzmPPMehK4HlgcRdUVWg2giUL0ApdJ/gVls3AfcQUTZwLXYfg/xG5T5A8hdwBcxXSjlEHA9RFH5p/oXP8HlEZss5xtmfVzB1bP7Qsr4LLiI/6kCe19NaagTMDZ11YXuPjnslnHsDZzaXPtn1jm2R9CnsbnCfO+zif85mSMEdJw9RPtNuE6Yoh5c1Q7kcqklos6TvLWSAtDZmGlS7azOCjdOVOuHQaMh/5mvieInbcEksZ'"</definedName>
    <definedName name="_AMO_SingleValue_112461039_TaskState.10" hidden="1">"'+flCfVekqbDxiWPrArST/GT9h32L1T7OnKg2yDm665B8itzcrD313oDob8vaRw2NaGSO8OW7v7z+Pp5F3kgmvs5eTssal1fEkX7tU7T4vaX/AQ=='"</definedName>
    <definedName name="_AMO_SingleValue_112461039_TaskState.2" hidden="1">"'yCxnIPMwA5lHGcg8zkDmSQYyTzOQeZaBzPNMfMJBSlJFr9ynr0gTEU9aXv4rSi7ARUi9N6OjbUv9hvhCfNO2VsnNpq6fkNc1f7OUvS3ri6EiTkXd5LjtkWNmA5pFi05VaWdU6uUoY/5PSHPzsdP3OEdauc8f97jBO2qwRwaS2jsKEDQGlxC6jvEVtEV6yVF9j+u6gFJD1mVijRUKoCjSC/oNY6Ma/WEeVXC0Kvp7tZJSSpERajQZ3qj2Df1'"</definedName>
    <definedName name="_AMO_SingleValue_112461039_TaskState.3" hidden="1">"'LdeRcYNxTx9kLXDML0Bhcyj7+L1ATJ06i6bPsf1+upCvgI9srvMb+nArcdl5vGJ5zIYQt5ztjydnOWHK6M5ac7IwlxztjydHOWHK4M5aUd8aS0s5Y8nztcM52Pgcr3DG7N2a+wNmUZ+edEbOiarAVA453+9a88AfQVsyoXcyrq/GCkCSjSjnSnFlzpv7yGzw77ie/wqkj0Ikocm5qUOcYecDjFftYjmGmXD/h5d/gWI0+6izDiK2LvwZKul'"</definedName>
    <definedName name="_AMO_SingleValue_112461039_TaskState.4" hidden="1">"'PaPHC05KR061NFXp1uMZ5phLTZn1cLeZ835tJE3VwBh5vyuQayavhchrasGKFGi6HaPh5ObRQ08e1B+sAc/RgpIjRIi3Sw+R4t2ILv62yMBeHbwvNJDwfB/vIape+Rpsb+1/j2OGUW6B+SaX8ltYLzmTXXky4CGrh6k2h/4eUa+K3kEAPBvkC1Qod74F7KvdQq6Wm1/A23/qYtfwUPUgGnGnVhxQ2+Fdj8vDBg136SsUqb6eT+iChyw9Zdm'"</definedName>
    <definedName name="_AMO_SingleValue_112461039_TaskState.5" hidden="1">"'BlaRd3ivKh7DFQp5yyuSlteeRepd2j9Fms6ZstVDCpoDlZwib4HIkwJ706I4P0PI+ak5tUfrHlhcSZseO9KiTvzv24lPXstSjnRo5wTPQ5zosdRTvQ4zokeJznR4zQnepzlRI/znOihdgRsW5NipF7Mbx3Y3YsPubeNX/5pKS6/hZZ/ItKQvfKjNVO03Gu7V21t2g6FWX/d95lxCbbUKaeydvVW1UEcSUHxitfypNec+/hcILVhUlbx6cay'"</definedName>
    <definedName name="_AMO_SingleValue_112461039_TaskState.6" hidden="1">"'ortG86DVfi9S4iGqCamXKKMxpTG1HUyVNKo0qhJHVVmjSqMqcVQdalRpVCWOqiONKo2qxFF1rFGlUZU4qk40qjSqEkfVqUaVRlXiqDrTqNKoShxV5xpVGlVbmAU90LjSuFqJq3WU61cR7bXLcPt6quYOzzbrnN+9PaueipHFirTfU0Gy0EUg40dm0lu0/EyWbFpk1Z30eo+A866C1X2Nfe1v2t9UacR1NvetleR6nHiy1nm/bPqdeLZ01+r'"</definedName>
    <definedName name="_AMO_SingleValue_112461039_TaskState.7" hidden="1">"'vt3P1is8XSPHuJlF61GnA9xKNHFyUPS38zvAvrq6hefXYJQuskSxbcN37JP2UM8V9LXm1vKF1u6zbyBO0F6BOdve08x6qOdsifUy0vdO3OHtgHcfMT+y6vffwfCC5Kzy9vdPL1DYebJp4mNx2DC19mYi0xD1Xl9qraa+WsVfzxj/av2n/Ft+/ibtrLmDRJY4+4FvXPk77uMx93KrRrvZz2s8l4ecafO+89nHax+XFx8mZRe3ftH/bxL9dw7'"</definedName>
    <definedName name="_AMO_SingleValue_112461039_TaskState.8" hidden="1">"'ZbfoK5uHe6rT2c9nCZezjvDHl4H+f/nI0BdJ2SeKqGnEuXtWzf3e7vN/J0dae/4qaeDHFBf1He1tbSXdN6Dmso0cblzrYN49PVmy3aqLOPLj8ezn8v++T4vjhI93XeM5rXDJKUl1XzosPH+5erslc1kDZmuvtQV6zzSRyiJvcC+TVZ//6SP9lOG3TN3SlFly8OZ6Uq0bG8SLS6sMs5sW2ntgP42DFBwcOnwNoPuBd9COyZwkl6zz2igbQp6'"</definedName>
    <definedName name="_AMO_SingleValue_112461039_TaskState.9" hidden="1">"'x1FQnFN3dg9/rIHDVuLNyTealNzxQ9Obu6SU6beM2OKL8CHsuEzOLXglew8dfU7c8ZIn5k6SF/pH6vZvrQMPUuO8negWH4mzsys6cYG/O9N2zugfTRtljX0yL9Nvj7m5ghEjn784y7xLqAnB48av6XIGW/aoxpvy7tbwS99W6gQz4oMiwm/Z0p6EVLHtSBapUYVrvtlpEiKFqn3QC3YW9naurWYexAVBi/uK21VawvLHy2U+7dI8FOWRAtP'"</definedName>
    <definedName name="_AMO_SingleValue_15410102_TaskState" hidden="1">"'Partitions:13'"</definedName>
    <definedName name="_AMO_SingleValue_15410102_TaskState.0" hidden="1">"'SASUNICODE7V3pb9s2FOfnAfsfjAzoh6KLm6TFVvSCcxdNHM85in0yHMdpjfmqZacLhv3v+/FRFClKlCVZkeKMEGzreHwXH99BUfI79pH9zUZsyGrsjvXZjHlswCZszN6zDbbFNtlL/NZwZcx6OH+Dq2P2la4u2Jzdsl/Z79j/yD6wn9lP7B27YF3g+AttxtgboSWHPQf0CFsXFO5xjUNdg2ofsBsBbQ75CjR3iK6kzfGNfCwNfDbZATvCt'"</definedName>
    <definedName name="_AMO_SingleValue_15410102_TaskState.1" hidden="1">"'6TkYX+fMPWAYwC8ffYC7a4MeV4Dbgs4XwbYOdQeOBtCkgVgOa9jfHPJZsA+JIgWjjmvA+D/jKv3oDwB3T5h5dReQwd96KIHzq/ZG3y/Ytug9QZHG4Fmrkj6QSD5HrAMaa8HeoJLU2tzHM1x1IHk+7Tf9fF4CZjDWHok23eSSeiTy9uka/y4h2OPjiQFDy3nPn+838YEV09Jb4Z2P0qh1CZKd0RngXNl0JwH53mfzWmvDLpT0usdjb9e6bKO'"</definedName>
    <definedName name="_AMO_SingleValue_15410102_TaskState.10" hidden="1">"'BHkEj84PgV+8rbUIzKaFqbfLd2ib0/fqdGQvKKxFYeRvNg1nNsXRMPVepEay2rGddj31qFS+U2YF2cauahf2xPLseQIeVefUDDw14l5449vEHDYdpUPyx3OcmxDfWSjUl+hGVTHRjCitFs9o9O6HaiIdW7ilGOsbfp10DbuXMnwBpjayDHVNRnP9ygjnZz4PIvex158qN/oNe6r1Fa5H3xE18/XczI39xpf7ApBTX16hnSl9t2gMeH69IWo'"</definedName>
    <definedName name="_AMO_SingleValue_15410102_TaskState.11" hidden="1">"'dex2pYrfU8LlRPysvYfZ6uAfS9Ivu40XdvqAR2IzoifN357dp0GeKrZge5WcvsPG3/E01bZvcZenHtDiX9Z7EwFsJa0jW+kONNx4h0o422zuyzZ46gZfhFr/PGmTX0R4TEG0m/yNyQf5ecRvmwjN6NttIjOsJLvU08B35tN6msTOh92b1mJ6rylF3yrokzbWPT1l5mn+33MSR7i1U3epRS/EOS8/XnPyvruz/orkJDQ2Z/Gck8Z+gZhTNJ5'"</definedName>
    <definedName name="_AMO_SingleValue_15410102_TaskState.12" hidden="1">"'FZ7+Xn2cQU5Xg7ptq29U89wPeB/Qc='"</definedName>
    <definedName name="_AMO_SingleValue_15410102_TaskState.2" hidden="1">"'qXUZNFu+nOVR1MfHVukUt0unuFOavfbRj+X5nTDFcnoyTLOcvgzTLKs3eYzqsW84x+N/Wf7nG1ougIVTvfFzhdWp1lPFYgktPNKUsok5on+2uC1b6/HaxLiLownlYDqWXVxp0/k+ME4IluPjrW7peBSc39DyrxnFQpkRtfE9w2+NMpZ7wixhwlo5JM16S9oqKFOnNqlsUp9hX+rvBL8ejkw9fqMIf0L91Ce6SlK9vZfYgzpkmMIRWkyAm8v'"</definedName>
    <definedName name="_AMO_SingleValue_15410102_TaskState.3" hidden="1">"'E5fGICr9ya5HTjqvp73sGpnmstusZ+I/qNk532axLWs4Zvm8ItkF93qeRJrL8dbQqUVmc4lxYXnV+g64Ij7FJW7g6MWsTVX8IaLPW4DBzasHH/QgfDltnz6l26JK3rKHVgHgZBxVJDRB19oz9ggpsn7319xrYi8sxX8RCCioiD85Gw8wn37N/YEkN6PcAv+8B+R1amYD629D+v8AYh68W8KHy8fQ4k6TT/Xh2GfVIaedcWEAROqiRNZhxKz'"</definedName>
    <definedName name="_AMO_SingleValue_15410102_TaskState.4" hidden="1">"'3mWgpJtp+MJFtPRpL1lSNcGzwNOdZ5hITr0achxzpIEc480mVRE5orvAnlpeuTK8XLJKFOKUPsx0Tcpyhtk+ywT1ldL5hj/QTYhp+R3xGnosIUc9bdSIa/flpp0vy3TSsNOjsEnEdVhtCLXo+pfVGLT2jc2eue7FVgel7sHBRZM+7h2gm7xPhoppTZjquNa19WxtKCbo7g31bFcwx738d2kFqy8qrYZDtVVtDCp0sVjfBZ8xItNImLcmzzE'"</definedName>
    <definedName name="_AMO_SingleValue_15410102_TaskState.5" hidden="1">"'D3YRky9WNkWeMxMj+fh7EDNTxxRqwVg47Uv/IGce1PtovW+vHN4Dlv/TPW/qP3FnOGYZJwYs00mz+cEJeZJwvzY+NBbhOPHM5rRfBvMIF0FFTSfPxhQJKpRjfuV4KK6j+ooXxQ8BjWOSa+5j3Hc9fE/xcgvZRazF/8XaeXMlCnvMi+1PnpI77elLho4ngV3OMr13E1E3WX+dtmccnLO0sR34xF49GyRXfbNBdVp3ZJzzjjqZdnDGdnEqnH8'"</definedName>
    <definedName name="_AMO_SingleValue_15410102_TaskState.6" hidden="1">"'CKOsAUz7rAMpzvBpQOb1sgGl/SIrD3sET6abVndp7htKaHmfL9u9RdlKj1PyXHSlzJAyiwb2OacjklzWuRzmZQyW7GuW0rQwVy4lr1caEiZ5t/c2uMPCj7gMh6Ezee9BL1sTUjUX24+Ci53KuIiuJ6mei+osI27dSfV8lGMd9UzeybbSJOydB+RF87e/j+Rbl+DyD0QQ4W2nTM4yRr1xeI2Igr3QKlb7HepNy7xYsqQ6ncbS+9tSB3koJcU'"</definedName>
    <definedName name="_AMO_SingleValue_15410102_TaskState.7" hidden="1">"'hU/Ki78r3sO3ibNOH3MPWySVFZwnnSWuLTEvJZ1EtUD1AG2dTzqYexqa2nFU5qyrcqradVTmrKtyqdpxVOasqwKr0PN3FP2dTRduUi37Opoq2KRf7nE3F29QyyOWzXGpuLd39hD1/ncg58fx47ynEPclaxXyp7enhKnjhlvGjMuptFn12uwo+xAi5q9gupj4X+tPd1dhn3BOXbkZfX6kZH3mVJ1w1+u6xIenMs2qluPibj9ayWFBNFM4nS2'"</definedName>
    <definedName name="_AMO_SingleValue_15410102_TaskState.8" hidden="1">"'cp/7b1A7b1iIqPE9anVeNDDUt07dOQIkG4ZY04Em1roecUhNfWz4THUva1LvJJUP68cbFrWPTV8vnXLl3iSD7vzPHxtQ83Bk7b07oPt4IlCh1de1nPaZMPXU0IX8bzTr6O/cB5NefVKvZqZjbo/Jvzb/n9G1/juAuJDrD3CZ8T5+Ocj6vcx8XV/s7POT9XhJ9r0vOIzsc5H/dYfJyYT3P+zfm3VfzbMWS7pPe+8idYzp2Hcx6ucg9nzpCn9'"</definedName>
    <definedName name="_AMO_SingleValue_15410102_TaskState.9" hidden="1">"'3H2JzP74HXC+HOYYi5daFk9Y2T3G+s7uls0D3Xlchc3sh/FyA7fCXSZi8tcVvdtn+ipazf75Lxb1d7NXGHg/Jvzb9WuHZPvVthlf7LHtkqs3NVZ67D+Jds9Fb1v08Q1841MyurTxbBoXMofj5J4XxZBskUOO6VsFeQpE/9hM9DeU3Go+bv1eI9RPaMeH4ePq2t5gL3dHs0YzHFuRHA3Fnj7uz64pW0k4msR/72Iv30YG+34/85UX4GnsH/s'"</definedName>
    <definedName name="_AMO_SingleValue_205779628_TaskState" hidden="1">"'Partitions:13'"</definedName>
    <definedName name="_AMO_SingleValue_205779628_TaskState.0" hidden="1">"'SASUNICODE7V1ZbxpJEO7nlfY/IK+UhyhrfB/KJQw+omDsBcfRPiEMOEHLFQbstVb73/fr6uk5eu5hmIFsawTMUV1XV1dVH9O8Yx/Z32zEhqzEnlifzZjBBmzCxuw922K7bJvt4LeEJ2PWxf0eno7ZN3q6YHP2yH5nJzj/yD6wX9kv7B27Yx3g+AtlxjgboSSHbQF6hKMDCi94xqEeQLUP2C2LNoc8AM19oitpc3wjE0sFn212zi7xLSkZO'"</definedName>
    <definedName name="_AMO_SingleValue_205779628_TaskState.1" hidden="1">"'K8Rpi5wDIC3z96g3L0izyHgdoFzx8LOoargbAhJFoDlvI7xzSWbAfuQIG5xzXkdAP9nPH0B5Qno9gkrp3YIHfShiy44f2Cn+D5ge6B1iqstSzP3JP3AkrwKLEM664Ke4FLV2hxXc1y1IXmNzjsmHiMEsxtLl2T7QTIJfXJ5G/SMX3dxbdCVpGCg5Nzkj9fbmODKMenNUO45F0pNovREdBa4lwfNuXWf19mczvKlO6bSedCcUpt4ytF23BR3'"</definedName>
    <definedName name="_AMO_SingleValue_205779628_TaskState.10" hidden="1">"'I4LrxeLcudcU9xdbofhuyQq7Ho2vxtO0zfWX5SV4cke5tjW6wscsVoFf7BaeBWbVT9j/0NCmY07fy9ORtWBjzQoj31nbPd6THQ1V71lqJKkdB9Mux26VdgSUuV2ytmuXc8dTebcVgsfuqZUUPCXiXsTUx1CvFY/SBUXVOe5NiO9oCguK4nWrp+m3r7+q83Ad2v01b/4bV9s31Mprrt6fE5u7pPAJW2aP8AHtQ8r6FZiayCntZzJ3cz4Z4f7'"</definedName>
    <definedName name="_AMO_SingleValue_205779628_TaskState.11" hidden="1">"'M5EFkusE9bTsT3gefJzi3MdwDxruf4cysk8ZSFHqm/HeAnppyCy1N6fuW2oxhjtqKEePgnrOdsUlNt5QRA9urqLXvrok49eOMCWKkYkEttuHRFefvySxToc8URzY1y+/e4eC70k4dGle5S1KXcXFG1Z7EwEsJiwjX+qraHY8ocVtd0H86qDVVh1fiVl9jFbJtb40JiCaT/0S7oPhgc+vmwlBqNnmL9KsNLvnU8iPpNN+k9jOhvTe7zNlLkS'"</definedName>
    <definedName name="_AMO_SingleValue_205779628_TaskState.12" hidden="1">"'3vmnVIogcTn23pcf5HdxtXTq9hj1gYVFLsu2yY2pP/kZf8/3q3oSEuo2iR4t+H1cibTiK1p5+eZxWTl+M9n7w/qH7KFr4P7D8='"</definedName>
    <definedName name="_AMO_SingleValue_205779628_TaskState.2" hidden="1">"'C6C5VwDN/QJoHhRA87AAmkcF0DwugOZJATRPC/EJOzlR5VG5y77jHs948vLy31FyASycas/MjpanWo6VfUjoW4rhU8qf5sh3kmUqsrQzQ1ExnuFqQlmnE8sZnjTpfh8YJwTL8fFSj3Q9su5vOTLOGUV/mQM28T3Db4lytBfCLGHcWrkgzRoRZW0oVadBUgVJfYNzqb86fg1cqXr8TjlNneqpT3RtSZ3ljdAadEK6KVyixAS4uUxcHoOo8Ce'"</definedName>
    <definedName name="_AMO_SingleValue_205779628_TaskState.3" hidden="1">"'PAXIG42qY54aCae6r7XIC/r269dNdMuuSlnOD7x7BVqjO+9TSRL9mE61K9KWucc8tr31/i54Ij7FNh7s/pvbG7B6XgFZ7VxxmTiV4ux/hw2HL7DX1ljrkLUsoNSBexlYfrASIMnvFfkOfs8bemmcVnPll1W98IQUVkfkno6H2Ft6zf2BJFej3HL/vAfkD9yeg/tZ1/m8oJ06fm4wfb1x77QtXwiHqqxQDz2kmWE4ywXKcCZajTLAcZoLlIB'"</definedName>
    <definedName name="_AMO_SingleValue_205779628_TaskState.4" hidden="1">"'Ms+5lg2csEy24mWNLhcI5MpMPQULxnvEgwoRGeniu2bo6/95dJQl1TlOv7eKKfUdoG2UafIlPXGhn7BNiKmVU8EaciSxYjjR1PlrJ5WmnQqGWQVip0dwg4gzIloRdnTmmfi/7EhHKg4NwteSYbn5dgDrLMe6t4Vmdf0D4aMWUOxtXEs69LY7mFbi6ReyyL5wr2XsNxHluy/DLxcDu1reAWnw7l4sJnzXO00DAu8rHNC9RgE3HubmlbqNMMS'"</definedName>
    <definedName name="_AMO_SingleValue_205779628_TaskState.5" hidden="1">"'Vw8q7MDu491SaUWgPXXvvAHcvzALufts8j5nhZs/TP1YUT/RYx7jEnGidJjVnluEZTo67n5CeLDWcIdP17RqMxbqxd8b/UseB9oQJGoRLn/N4Lz6t6ro3RR8ArUOCZnX+QK1x0T/88Y+aXMolf3f5FW9q5VeaO81OboIb7flrqo4HpmjdLm67kbiLpR/jZqXCw8Z2ngu7IGHj1ZZJd1c0djKJ2cc04/6nnZww3ZxLJx/BKtrAJMNdaGFDf4'"</definedName>
    <definedName name="_AMO_SingleValue_205779628_TaskState.6" hidden="1">"'VCDzZtmArf0sex7BETycblzdxZn7kNByriLZ/Igs5YxT8p53fcOQMosKzjmnI5Jc9nM5zI4PluQrTeKUUNebhK8yGRImOWP1aI0S8ysuw4XrTtp5tKj1CsVzsbsmfOytCR/7a8LHwZrwcbgmfBytCR/Ha8LHyZrwcbomfMh1F6vmpJwoigWtqnBH8QFF2/TlXzx5+Rdw+QcyDRGVp0yORnujtns9hA175xjZCJ6N3Q4YPw2X1EmnEjmXK3W'"</definedName>
    <definedName name="_AMO_SingleValue_205779628_TaskState.7" hidden="1">"'QhlJYvqJKnvUMdBfHGe42TMgqjnYqKdoRnIeto1EtJZ1F3YLqOcpom9I2tRqb2tVWpa0qc6va01alrSpzq9rXVqWtKnOrOtBWpa0qc6s61FalrSpzqzrSVqWtKnOrOtZWpa0qc6s60ValrSpzqzrVVqWtagWjoDvarrRd+dpVFGT0LKI9dxlvXU/VXK/dIp7Xd22P394jRcxIB+29UgQv3DKeC6PeZN6db4pZI+C3S0IxtuG3c4JereB8W8'"</definedName>
    <definedName name="_AMO_SingleValue_205779628_TaskState.8" hidden="1">"'k/6tleaNnIV2VD0pkRqJXsYl86WlF+uJgImE6WdiT/QWtog97Jsfmosz69OTl0YPGu/x+SF3aXLBFHomzJ9R698JjOO+62pHJ5w6J3yxA7OvB9Q7Jdx+18YzT9+v0vuJL7lnB8fP1vT8EZtOvG6lZxe6G97x+VU9rkqrN54ct4zsff5TzXXk17tYK9mpqJaf+m/Vt6/8bf8zmDROc4+4RPXfs47eMK93F+/W7t57Sfy8LPNWhPDu3jtI9bF'"</definedName>
    <definedName name="_AMO_SingleValue_205779628_TaskState.9" hidden="1">"'x8nxji1f9P+bZlZpypaYJVdMf4W96XO4rSHW9rDqViCdwzpo/yE8f1BxPi2kNx+9z24LW9ui7tDW7uBJ2sxsW9CS7c43eIKzynUOan4WcXP3rrzn22Xu8KcsT/Zus2r5zufvQmzlslGwpx1G8enq3vJ2VYfz397fXJ6XxzGe5T3TOY1gykl80LXTPxn0sCxw86Fo/+wGTuwlRPqcRN8HP99Do0Iefm9uDEpmXyqT9tUKcuKRP61X6XcYY57'"</definedName>
    <definedName name="_AMO_SingleValue_222545728_TaskState" hidden="1">"'Partitions:11'"</definedName>
    <definedName name="_AMO_SingleValue_222545728_TaskState.0" hidden="1">"'SASUNICODE7V1bb+I4FD7PK+1/QF1pH0azpaV37VxEodOOhqEs0I72CVFKd9By6UCY2Wq1/30/H8e5kYQkDUmKLAQk9vG52J+Pj2MneUPv6R+a0JhK9J2GNKcFjWhGU3pLO7RPu7SH/xJypjRA+j1yp/QX5y7JoAf6jU5x/J7e0c/0E72hLvXB42+UmeJogpKCtgPqCT59SHhCnqC6g9QhaHcs2YLyEDIPWK6SLfhNTC5VfHfpgi7xqyQtc'"</definedName>
    <definedName name="_AMO_SingleValue_222545728_TaskState.1" hidden="1">"'FxnTgPwGIHvkF6j3K3HniPQ7YPnnsVdUNWg2RiWLEErdJ3iV1g2B/cxU7RwLnQdgf8n5D5B8gxyh8xVSDtCHQxRFwNofkdn+D2kCmSd4WzHqplbtn5kWV4DlzEfDSBPaumtNQNnBs56sLzOx32TzyKEs5vLgG37xjbJ+hT2NjlPnA9wvuAzJWGBkoapn2i3KdOVI8qbo9yPTCS1WdJ3lrNEWhYyDStdtJnBR9nKnXLpLGQ+cp/4niF23BL3'"</definedName>
    <definedName name="_AMO_SingleValue_222545728_TaskState.10" hidden="1">"'d7/0a29h+6OF9eA2CX8mk2jjGT+NaOCKSxU6PlOfbboz+ckWiPrOq12cOZFtkHM+3CX5zLmFWX/qLQPx3621ixoa09icMcg3hXlHh2QWeeOe5Dp7Oa1qXPGJOoPap2zxe0f/Aw=='"</definedName>
    <definedName name="_AMO_SingleValue_222545728_TaskState.2" hidden="1">"'c5BZyUHmQQ4yD3OQeZSDzOMcZJ7kIPM0B5lnufiEvYykilF5QF+RJiKerLz8V5RcgouQem9GR5uW+g3xhfhmba2Sm09dPyGvZ/7mKXtT1pcjRZyKusVx2yPHzAY0ixedqtLOqNTLUcb8n5Hm5mOn73COtHKXP+55g3fWYM8MJLV3FiBoDC4hdJ3gK2jL9Iqj+j7XdQmlRqzL1JorlEBRpl/pF8yN6vS7eVTFkV/099qXUkqREWo8Gd6o9i3'"</definedName>
    <definedName name="_AMO_SingleValue_222545728_TaskState.3" hidden="1">"'9Sw3knGPe08DZr+gzS9AYXMo+/i9UEydO4umz6n9f+dKV8JHtFV3jYE4lbjuvN4zOueTL2TkXerlWuFtkW+zY3xpLKltjycHWWHK4NZYcbY0lx1tjycnWWHK6NZacvQhL3DG7N2Y+x9mMr847I2ZF1WQrhhzvDqzrwh9BWzWjdnFdXc0XhCQZVcqZ5ty6Zhosv8lXx4PkVzl1DDoRRS5MDRocIw95vmIfyznMjOsnuvxrHKvZR4NlGIl1Cd'"</definedName>
    <definedName name="_AMO_SingleValue_222545728_TaskState.4" hidden="1">"'ZASXdKW4TOlpyUbn1qyGvQDeYzzYg2B/NqI+/Ls7m0UDeXwOFz+VwBWXV8LiJbVo5Ro+VIbZ8MpzYKWvj2IX1ozn6MDBEapkU22PyAFmzD93WfjQXh26LzyQ4H4f7yCqXvkabm/lf49jllHuof0ml/JbWK87l1rSdbBDTRe9Nof+HlmvitFhAD4b5AtUKXR+B+xqOUn/SsWv6aW/+5LX8JD1IFpzr1YMU1vlXY/LIwYNd+mrFKh+nk/og4c'"</definedName>
    <definedName name="_AMO_SingleValue_222545728_TaskState.5" hidden="1">"'qPWXZQrtIq6zXlx9xioUs6ruCptdeVdpN6i9dus6YQtVzGooNnz4RJ/D0SUEt6dEOH7H8bMSV1Xf7CuC4szYcMHV0rSK//rVtLz12K/IHpUCqLHQUH0OCyIHkcF0eO4IHqcFESP04LocVYQPdSOgE1rUo41igWtA7tH8RGPtsnLP63E5TfQ8g9EGnJUfrSuFK2O2u5VW5u2S1HWX3cDrriEW+qUU127eqvqIImksHjFa3naa84DfM6R2jQp'"</definedName>
    <definedName name="_AMO_SingleValue_222545728_TaskState.6" hidden="1">"'a/j0ElnRW6N52Gq/FynJENWC1AuU0ZjSmNoMpvY1qjSqUkdVRaNKoyp1VB1oVGlUpY6qQ40qjarUUXWkUaVRlTqqjjWqNKpSR9WJRpVGVeqoOtWo0qhKHVVnGlUaVRu4CrqncaVx5YurdZTrVxHttcto+3pq5g7PDutc3L09fk/FyGNFOuipIHnoIpDxIzfpbVp9Jks+LeJ3J73eIyDut76ia7rhpymJfZydkHHH9gPPHXtqNOb6WwTWUHq'"</definedName>
    <definedName name="_AMO_SingleValue_222545728_TaskState.7" hidden="1">"'jTzJZ6zxhPmNQMlt6a/UP2sV6yedLpHh3lig9GjTk+4rGDi7KnjZ+5/gXPW1k9iS7ZIk1kmVLrvugVnurM9fdx7waB+/5H0LXGYkd/rJfy1q2d9o+kNyBvX6vrV0rNk2yltl0VGnfM6R7tO7R+fVoGYVE78XXtO4eig7yBO05qNO9N8J5h+SCbZERRLw7I25w9sA6Tpif2FN/7+EZ7HGi2xHvzoiX78vEPErcUXmhvZr2ajl7Ne/sRvs37d'"</definedName>
    <definedName name="_AMO_SingleValue_222545728_TaskState.8" hidden="1">"'+S+zdx79w5LLrA0Ud8G9rHaR+Xu4/zu5al/Zz2c2n4uSY/GUP7OO3jiuLj5LqB9m/av+W74qaeDHFOf1LR1tayXdN6GWsocSJ3Z9tGGdfUmy06qLNPrrEs2hi2Oi4lH4/CdF83gsQbOcIkFWXVvOwY54LL1Xglw0DahOnuI/VY55M4RE3uhPJrsf6DFX+ymTbombtTyi5fHM1KVaJreZF4dWGXc2LbTu2E8LHjopKHT4m1H3Ik8RA65kWT9'"</definedName>
    <definedName name="_AMO_SingleValue_222545728_TaskState.9" hidden="1">"'IFmHD9M+XcYQcKSY5eGFdf5PWHQW+fhdWhHR6ueNmptX5N4+03dFWs5ublLzph6x4y/7oAjZesXcGrDe9l5yks4cyZIn5s6SJ8aHNfaPrcCPQ9wbHO4Bc3q03PmZps0nyXh3rS/C+pH025ZS4/82+K+tDDjGRlLBcep4r1BTw4edX6jkTM+t2Mkb+u7WyIofVPIEM+VjIqLoOdPelHSQL8R7VKnKtf+KlokRZvUO6OW7Nlsbd1aLDyoioYZ'"</definedName>
    <definedName name="_AMO_SingleValue_225272241_TaskState" hidden="1">"'Partitions:13'"</definedName>
    <definedName name="_AMO_SingleValue_225272241_TaskState.0" hidden="1">"'SASUNICODE7V3pb+I4FPfnlfZ/QF1pPoxmSy96aC5Reo2G0i4wHe0nRCmdQcs1BNqtVvu/78/PcQ7nDiGBWSsCEuf5XX5+79lxzDv2kf3NRmzISuyJ9dmMGWzAJmzM3rMttsu22Q5+S7gzZj2UP+DumH2juws2Z4/sd3aM84/sA/uV/cLesTbrAsdfqDPG2Qg1OWwL0CMcXVB4wT0OdQ+qfcBuWbQ55AFo7hNdSZvjG5lYqvhss3N2iW9Jy'"</definedName>
    <definedName name="_AMO_SingleValue_225272241_TaskState.1" hidden="1">"'cD5GWHqAccAePvsDerdKfJUALcLnDsWdg5VA2dDSLIALOd1jG8u2QzYhwRxi2vO6wD4P+PuCyhPQLdPWDm1CnTQhy564PyeneD7gO2B1gmutizN3JH0A0vyGrAM6awHeoJLVWtzXM1x1YHkZ3TeNfEYIZjdWHok2w+SSeiTy9uge/y6h2uDriQFAzXnJn+83cYEV45Jb4Z6z7lQahKlJ6KzQFkeNOdWOW+zOZ3lS3dMtfOgOaU+8ZSj7bgp'"</definedName>
    <definedName name="_AMO_SingleValue_225272241_TaskState.10" hidden="1">"'KBsR3EMszp17TXF/sRWK75assOfR+Go8Tcdcf1legid3lOtY2SDPsVaBX+wWngVm1U/Y/8TQoWNO38vTka1gY80KI99Z252fZkdD1XuWGklqx8G0y7F7pR0BZW6XrO/a9dzxVJa2QvDYI9aSgqdE3IuY+hjqteJRuqCoOkfZhPiOprCgKF63Rtx++/urOg/XoT1u9ea/cbV9Q738zDUKdmJz1xQ+YcscGd+jf0hZvwJTEzmlfU/mbs47I5T'"</definedName>
    <definedName name="_AMO_SingleValue_225272241_TaskState.11" hidden="1">"'PTB5Ephs842Bnwvvgs+KofwcI726GM7NFGkvgfzBlbwN2asosNDSl71vqL4Y5whSj2+DZAztbk1puKbMmtkdRW97dCnHaxhkPxGzNgnprw6Mpzt+TWadKnymObFqVl7Zx8B1ppw59q9wlacm4OKNaT2LgtYQ9hGt9VX2OR5O4PS7o/xzUlqrDI3GbP2NVsmxviwmIJpP/Nrug2GBz6+bCUFo2aW/0awsu99TyIOn03qTeM6FdN3vMOT6R/e'"</definedName>
    <definedName name="_AMO_SingleValue_225272241_TaskState.12" hidden="1">"'6adUmeexOfbedx/il3G1dOj2HPVRhUU+y4bJi6k/+Cl/wfebehIS6j6I/i/4XVmJtOInWMn55nFZOX4z2fjD+ofcoWvg/sPw=='"</definedName>
    <definedName name="_AMO_SingleValue_225272241_TaskState.2" hidden="1">"'7hZAc68AmvsF0DwogGalAJqHBdA8KoDmcQE0TwrxCTs5UeVRuce+o4xnPHl5+e+ouQAWTvXBzI6Wp1qOlX1I6FuK4VPKn+bId5JlKrK2M0NRMZ7iakJZpxPLKe40qbwPjBOC5fh4rUe6HlnlW46Mc0bRX+aATXzP8FuiHO2FMEsYt1YuSLNGRF0bStVpkFRBUt/gXOqvjl8DV6oev1NOU6d26hNdW1JnfSO0BZ2QbgqXqDEBbi4Tl8cgKvz'"</definedName>
    <definedName name="_AMO_SingleValue_225272241_TaskState.3" hidden="1">"'OY4Ccwbga5rmhYJr7arucgH+vbv10l8y6pOXc4PuBYKvU5n3qaWJcs4lWJcZS1yhzy2uXb9Ed4TG26XCPx9TRmD3iEtDq6IrDzKkG7/cjfDhsmb2m0VKXvGUJtQbEy9gag5UAUWav2G8Yc56xt+ZZFWd+WfUbX0hBRWT+yWioo4X37B9YUhX6Pcfve0D+QPkE1N+6zv8N5cTpc5Px441rr33hSjhEe5Vi4DnJBMtxJliOMsFymAmWSiZYDj'"</definedName>
    <definedName name="_AMO_SingleValue_225272241_TaskState.4" hidden="1">"'LBsp8Jlr1MsOxmgiUdDufMRBQGt5eM5/EnNJPz4Iqhm+PX/WWSUNcUzfo+HudnlLZBNtCnCNSzZsA+AbZqZg9PxKnIhsWMYteTjWyeVho0OxmklSqVDgFnUEYk9OLMHe1zMW6YUK4TnKMlz1jj8xLMQZb5bQ336uwL+kcjpszBuJq493VpLLfQzSVyjGXxXMHez3Ccx5Ysv4w73E5tK7jFp0s5t/BZ8xwtNIyLfGzzAi3YRDxrL20LdXoSE'"</definedName>
    <definedName name="_AMO_SingleValue_225272241_TaskState.5" hidden="1">"'hfP6uzAHktdUq0FYP21L/yBnCew63nHJvK5Tgu2/pnGKmKcIuY3xiTjRBkZqzy3CEqM6dz8BPHhrOGOH69o9uWtNdq9s0YQfKwzoEhUohz/G8F5de/VUbooeAVqHJNzzHGF666J/2eM/FJmMXr7v0grR9GqvFFeanP0EN9vS11UcT2zZmPz9dwNRN0ofxs1/xWeszTwXV0Dj54sssu2adNcSTfnnNOPel72cEM2sWwcv0QvqwLTGetAiht8'"</definedName>
    <definedName name="_AMO_SingleValue_225272241_TaskState.6" hidden="1">"'qpB5s2zA1n6WI4/gCB5ON67u4jzjkNDymUSy5yCyljNOyTLvOoYhZRZVnHNORyS5HOdymB0fLMlXlMSpoa4rCV9NMiRM8snUozUbzK+4DBeukrTPy6LWJRTPxe6a8LG3JnzsrwkfB2vCR2VN+DhcEz6O1oSP4zXh42RN+JDrK1bNSTlRFAtaPeGO4gOKtunrv3jy8i/g8g9kGiIqT5mcjfZGbfe6Bxu27ZjZCH7quh0wfxouqZNONfKZrdR'"</definedName>
    <definedName name="_AMO_SingleValue_225272241_TaskState.7" hidden="1">"'BGkph+YoqedZPmns4TlHaMCFrODqppOhEcB62Xka1lHQWdQuq56ijbUrb1GpsaldblbaqzK1qT1uVtqrMrWpfW5W2qsyt6kBblbaqzK2qoq1KW1XmVnWorUpbVeZWdaStSltV5lZ1rK1KW1XmVnWirUpb1QpmQXe0XWm78rWrKMjop4j2s8t463pq5nrtFvG8vmt7/PYYKeKJdNAeK0Xwwi3juTDqTebd4aaYNQJ+uyEUYxt+OyTo1QrOt5'"</definedName>
    <definedName name="_AMO_SingleValue_225272241_TaskState.8" hidden="1">"'X8o57thZaNfDU2JJ0ZgVrJLvaloxXlh4uJgOlk6UTyH7SGNuidHJuPOuvTm5NDBxbv+v8heWF3zRJxJOqWXO/LC4/pLHH3JZXLGxa9K4bYuYHvD5LtOm7nG6Pp1+9/wZXcn4Tj4+t/HxScQbtrrG4Vtxfa+/5ROaVNrjqbF76M53z8Xc5z7dW0VyvYq6mZmPZv2r+l92/8PZ9TSMTf5ebvqmv/pv1bsf5NHftr/6b92zKzsTX0wBq7Yvztx'"</definedName>
    <definedName name="_AMO_SingleValue_225272241_TaskState.9" hidden="1">"'kudwWkPt7SHU7EEv0nfR/0J4+/Ni3kfIbn9TmhwX97cHtdGX7uBJ2sx8T5xS/c43eMKzynUudr4WYXu3f7jhTb7hE9dR1Tdv9egf3uf0+lxgx43FPu0Xe4Kc8r+ZOv2XD3f59mb8NQyWWRztm2c2KbuJWdbfbw45o1N6WNSGO9RUSRZ9AimlCzbumbiv5EGjh12Lhz+bjN2YCsn1OMm+Dj++xya+ebl9+Lm3snkU33apkpZViTyb/0ajZHm'"</definedName>
    <definedName name="_AMO_SingleValue_242095788_TaskState" hidden="1">"'Partitions:11'"</definedName>
    <definedName name="_AMO_SingleValue_242095788_TaskState.0" hidden="1">"'SASUNICODE7V3rb+JGEJ/Plfo/oFS6D6dryIskqPcQgTxOxxEKJKd+igghPVQeKZhco6r/e3876/UTG9sY25FWKMRez85vZnd2ZrzrNe/pE/1DExpTiZ5pSHNa0IhmNKUPtEP7tEt7+F/ClSkNUP6Aq1P6k68uyaBH+pVOcfyJPtLP9BO9px71weMv1JniaIKagrYL6gk+fSC84JqgugfqELQ7FragPALmIeMqbMFvYnKp4W+XzukS3wppg'"</definedName>
    <definedName name="_AMO_SingleValue_242095788_TaskState.1" hidden="1">"'eMGcxqAxwh8h/QO9W49+lRAtw+eexZ3QVWHZGNosgStkHWKb6HZHNzHTNHGuZB1BP5fcPUFyDPgDpmrQKugDYZoiwEkv6cqvo/oAFhVnO1YLXPL2o8szevgMuajAfCklN5WM3Bm4OwOmjf4uG/yWYRwdnMZsG5/s06yPYW+Lb4mzgc4X/CZQligpmHKJ/ptynTliHhz1PuRCVKHkZ4ZZ4myLDANq1z0mcFH2eJOuXYWmE88Jp4ztB034n4O'"</definedName>
    <definedName name="_AMO_SingleValue_242095788_TaskState.10" hidden="1">"'N2V2cea0ZoOc8xM9ku//W5gtp94XH/+3a3bRQmMam3dv8pd4vD4+mUbeHDS5zF5OfokPVkTsoP4pW/w+0v8='"</definedName>
    <definedName name="_AMO_SingleValue_242095788_TaskState.2" hidden="1">"'mAc5YB7mgHmUA2YlB8zjHDBPcsA8zQGzmotP2MsIVUTlAX1Hmch4svLy31FzCS4C9cHMjjZHLUfKPhR1m2P4E+dPBvKdeJmKqu3MULwcZf73FWVuPnb5Dl+RWu7yx51DejNIO0uU1N6MUNAYXEPIOsGfoC3TW87w+tzDJdQasSxTK28sgaJMb+gX5MkN+s08quFoVSbwbiWlRJHZSjwMb4bzgf6lJq6cIQdu4uwNRsUSNAbXso//C5XEaSf'"</definedName>
    <definedName name="_AMO_SingleValue_242095788_TaskState.3" hidden="1">"'x5PGPxbcr6Ur4yP6KLnEpAmI1Y7zTjPFOMsY7zhivkjHeUcZ4hxnjHWSMt58x3rbRnPfG6WG5Y6839p3hbMYzLs7Ip6hajDXkuDWw7vU/g7ZmRl8xV6Livpw7EdFBZg9z6z44GL/FMx5B+DUuHYNORIOFKUGTY92Q8w77WOYiM85UouNf41hlEU3GMBLLEiyBQneiLUKzHielW546rjXpBnlJK6LOwbw6uPZtYy5ttM0l7HBTPlewrAY+55'"</definedName>
    <definedName name="_AMO_SingleValue_242095788_TaskState.4" hidden="1">"'E1K8do0XKkvk9mp7YVtPHXB/rQzGKMDC00TIpsbPMCPdiBh+ptbAtNnl2Nyic7Owj3l1eo/YAylcNf4a/PJfNQ/5BO/yvUGs7n1p1ithbQwuhNo/+Fl2vhu1ZAGwj3BaoXehyB+xlHqVXoWfX8Nff+pj1/CQ9SA6cG7t57oOvhrPnKbMBu/TRzlS7TyTWvOLhR2y7KTIui7vC1uOtGqpZzNkaV+VdTROkter/Dkk5Yc5WDCpq9FVzir2tFq'"</definedName>
    <definedName name="_AMO_SingleValue_242095788_TaskState.5" hidden="1">"'eFd3Qpf0xozJzU/9mjN74gzocOFqyTprN261ZH8pdgviBwHBZHjsCByHBVEjkpB5DguiBwnBZHjtCByVAsih1rl2bYk5VhRLGgNxx3FRxxtk9d/8eXlN5Dyd2QaMio/WTNF/qjtXn2xaXsUZR1lN2DGJVxTJ05t7SqMaoMkSGH5ilfztNeOBvicobRlUtbxuUukxd0aycNW7byWksyi2kA9Rx1tU9qmtmNT+9qqtFWlblUH2qq0VaVuVYfa'"</definedName>
    <definedName name="_AMO_SingleValue_242095788_TaskState.6" hidden="1">"'qrRVpW5VR9qqtFWlblUVbVXaqlK3qmNtVdqqUreqE21V2qpSt6pTbVXaqlK3qqq2Km1VW5gF3dN2pe1qpV2to1y/imivXUZ7rqduPuHZZZmL+2zPqp3OeaxIB+30zkMWYRk/ckPvkH+ffT49smp3pH5GwLmrYHWsscf+pvGmTmNus0Vgq6QXcZJhrfN++cSdZLrcrZU/6MnVSz5fosT7NImSo0lD3ks0dnBR+nTwPcd/MbpG5uixa5ZYIlm'"</definedName>
    <definedName name="_AMO_SingleValue_242095788_TaskState.7" hidden="1">"'35Nr7JP2Us8Q9lrxSXtO6p6y7uCZoz0Cd7tPTzj1UC9ZF+ph4z07f4OyRZZwwP/HU7YOH5yPJp8Kze3baT23bg02TzCa3nUNLXyYyLbHn6lx7Ne3VcvZq3vxH+zft35L7N7G75gwaiT2XYk+p9m/av+Xr37x33Nq/af+2iX+7gm43/LZGsaewqz2c9nC5ezjvzFF0Hxe8/3wIWWckdpvLOSbZyvauz2C/8ZpHt8peevQZf019h6bHdwHGt3'"</definedName>
    <definedName name="_AMO_SingleValue_242095788_TaskState.8" hidden="1">"'+uXmcxOovJd8VNvRnijP6goq2tZbum9RrWUOJFNmffRolt6m3lXbTZF1c8ixbH/LEpeUwKk31dFIkXPcKQXsequZz7C8vsshrXUXPLePp5x+xr1bLs0Wh179f5HsBA2YTpHiJJ7nyfihgPO6H82myFA1+Lb2ck3ZnPGJVdETWalqpGz4oF8drCruf0UHZpN4SPneGWPHxKLP2Qc8LHUCuIhnTB928GymYsdxyE8pq2sfNXfxyM2orXJH5vo'"</definedName>
    <definedName name="_AMO_SingleValue_242095788_TaskState.9" hidden="1">"'uHKhp3c3DVnTL1jZsj3sA+lwzdw6iC22NeUD3demaB8bsogI17wnYcdEU8cdW9x1f9Wo7nZyq2EvB9MnXugezJ1lS3zxN9tHhcLM8OU2W3w3YP4dY4XB48G/26I867Jzlq9Pe5u/aDybVmDeNNnVFsIeiOo1zKaGAOiRxpU43b3W4ik6JD6ZZYleylbWrcUC48lrbMT9+ha1dNC6yfLsoN7I/z9WKJ3Z/xmqAE57xGUXXylPmtzb/KTbR/1'"</definedName>
    <definedName name="_AMO_SingleValue_247862661_TaskState" hidden="1">"'Partitions:13'"</definedName>
    <definedName name="_AMO_SingleValue_247862661_TaskState.0" hidden="1">"'SASUNICODE7V3pb+I4FH+fV9r/AXWl/TCaLb0PzSVKr9G0tAudjvYTopTOoOUaAp2pVvu/78/PMUmcgwRCAqwVERLn+V1+frafHectfaCf1KUOFeiZWjQki9rUpx69ow3apk3awn8BT3rURPojnvboKz8d04ie6A86wvUHek+/0i/0lu6oARx/I08PV13kFLA1QHdxNEDhBc8E1AOotgC7MaEtIPdAc5fpKtoCX9fGUsJvk87oAmdFycL1K'"</definedName>
    <definedName name="_AMO_SingleValue_247862661_TaskState.1" hidden="1">"'WNqAkcbeFv0GvnuNXn2AbcNnFsT7AKqDM46kGQMWMFrD2ch2RDYOwxxi3vBaxv4P+HpCyj3QbfFWAW1feigBV00wfkDHeO8RzugdYy7jYlm7ln69kTyMrB0+KoJepJLXWsj3I1wV4fkp3zdsPFYEZi9WJos23eWSepTyFvhZ+K+iXuL7xQFCzlHNn+i3HoMV4xJb4h8PzKhVGVKz0xnjLQsaI4m6aLMRnyVLd0e586CpqwXokZ0aZAJRYda'"</definedName>
    <definedName name="_AMO_SingleValue_247862661_TaskState.10" hidden="1">"'eJ/mPZN5zXBKybzQNcnvRLZdO+ycu8YPq7EDWzGhHpfDxxVdbWB4vjK3OiOkdRnuMQQ+fJciYWkbkfhumf+mz98uxkbr9sq94hw8ef1jfTIuF6PdReCX+0yngVm3MOebL3U+Rnyen44qBQdrWhjFnszeSEF6NHS9p6mRpHYcTrsYu1Y6vlP1CpLVXSef1xOr1FoEHqePX9DwFJh76Y2fInua8Sidsz8eIa3PfE+nMGb/fzUZowTtKa/rPFq'"</definedName>
    <definedName name="_AMO_SingleValue_247862661_TaskState.11" hidden="1">"'HTk/f33OKq+0bruWnnnGDG5s3p/QJG/ZY4gH1Q8n6BZiq6I04z1Sr737SRfrQ5kH2kcLHaE4fas+V9x5P/XvgDe3SqMyI+9GW+Q5wA1tWqZkBn2+5nlh2jE/GF8PHWU77rrRb08aXjifRS9yr/Thl4m4H5Lh2zLW04tOS4O/ZzlPi34AGKZWmSL3DIb/56+ha5y5JKcbFOa30FAaRS9pCtNYXVddEKxK3poV9AUAvqSt4ImHvp1Riq/aXmI'"</definedName>
    <definedName name="_AMO_SingleValue_247862661_TaskState.12" hidden="1">"'SokvpW+5jbBIdbLxeWVrJJamFQOQiZBxOvMZvOq1xz+rxHY5PcvVlV566pwbI82PgcG4/zjflN3Lk9hTOytTin3J/XsvWmvnaZ/Fv2m9BQh9QXDXucW29nZ5NIHxHOzrOOyc/xTsB4PKx8ihN87+k/'"</definedName>
    <definedName name="_AMO_SingleValue_247862661_TaskState.2" hidden="1">"'Bxhe6DATqgOu+88Z1hEvxe0caO7kQHM3B5p7OdDcz4HmQQ4086idRznQPM7FJ2xlRFX0Ppr0DWmiZ5dVa/YNOcfAIqg+2r3ARVP9jn6U+OUj8wue1e1zPhwo+fOUPH3axVg9awV9y/3TAY8NRuApWS9c5Xb3vnWMJ7jr84jKjeUET6qc3gLGPsMKfCLXE993J+kbrtHUkHu2anxTxXmI/wKPP14Ys4LxauWcNWtNyetA6ToNkypM6htcK/1'"</definedName>
    <definedName name="_AMO_SingleValue_247862661_TaskState.3" hidden="1">"'d4d/Cna7Hb9xfv+JyajFdR1J3fiuyBN2QXgoX3Gt8YJmEPBZTEU+eQuQMx1Wxry0N0yhQ28UE/Pt1G6S7ZNalLOcG50eGLXGZt9i7yjH7KlqVjBNcI80rr5O+wU+kx9jkwxtr0CMNTjRBQuuRAwEz4hyi3nfxE7BFesWRgAb7rQJytZmX3iS+UABEkX6n3+gnnr6xr0q4Choxvg6ElFTkqDYZDX0k/I7+gSWVoN8z/L8D5Hek90H9jef630'"</definedName>
    <definedName name="_AMO_SingleValue_247862661_TaskState.4" hidden="1">"'hO3D43GT/+vsyrQLgCDlle8TkOx1TgstN7FvExF2LIcrw2khytjSSHayPJwdpIsr82kuytjSS7ayPJztpIsr02kqyuHO4ZklWQwturjjdC6POs1qNnzLU644BgmRTUNY9+WgE91HWUtsJ22OIRS3MyG/gRsCV7tPnMnMroieBFjgu8o9fV00qFZ2rDtFLi1A7gLB5BS724Yw3OtYwz9bnehY/pk0c44vMSzkGa8ZAynl3RZ9SPSkyZw3FV8'"</definedName>
    <definedName name="_AMO_SingleValue_247862661_TaskState.5" hidden="1">"'ezL3FhuoZsL+Ld58VzC3k9xnMWWLLsITbSdOlZwi1+DYzTSZ40ytNAoLrKxzXOUYBVt6t3ctiDazPh4FmcHTuztgnONARusfekPVFzZyeePZak1LjXY+ieObcm4loyH91jGvhZJ1XmuMZSMAXr5CePDncPbfvzO0fo3k+jo/STiJGJjbW6JChwT+spwft37dTRbK3gJagKTO0Z1ifuGjX8dW34ls4z2/V+kVVFXXd5pXmp19BDfbytdlHA/'"</definedName>
    <definedName name="_AMO_SingleValue_247862661_TaskState.6" hidden="1">"'nMyjZeu5K2h1p/nbafMl0X2WCs6lJfDoyVp2VTZ3PE5rZNznDKKelT3csE3M245foJaVgOmU6pDiBr8SZF4tG3C0n+bII7wFj6YbV3dx5sQVtJrDTjZvrnK52ymV5l/T2eGeRQnXgtMuS67GuQJmKwBL8tW1cXLoa2yjV9Z2GJNayfA0mT0Ud0KGc0/KrKsspq1dzJ+L7SXhY2dJ+NhdEj72loSP/SXh42BJ+DhcEj6OloSP4yXhQ63BXDQ'"</definedName>
    <definedName name="_AMO_SingleValue_247862661_TaskState.7" hidden="1">"'nxUStWNiaO28r3ubWdvb8L75++Wdw+Sd6GrJVHpCKRvtbbe86OQf2zhXZCF+lsxkSP42W1E1HrH2KXuOjdDALpaj+ii552iuTmjhOkFqxIcs46jNJUZ/CedT6St1SZrOoW1A9Qx5jU8amFmNT28aqjFWlblU7xqqMVaVuVbvGqoxVpW5Ve8aqjFWlblX7xqqMVaVuVQfGqoxVpW5Vh8aqjFWlblVHxqqMVaVuVcfGqoxVLSAKumXsythVoF'"</definedName>
    <definedName name="_AMO_SingleValue_247862661_TaskState.8" hidden="1">"'1Ng5w+i+jMXcZb11O212vXmOflXdsTtN9aHjPSYfvN5cGLsIwfuVGvkn+3v3zWCATt3ZOPbQTtomRWK7jfVgpu9RwvNG/LV6YO68wK1Up6bd9stKb54XxawNlkqU/lP2wNbdg7OQ4fV9TiNyc7Liz+9f8d9sLenAXmSOYteN7VlR7TneKtSzqXNzR9FyW504/YTyrdddzuN0ZnX7//GXdqPyuBT6z/fdRwhu3GtLhV3H5o//tHxRltctG9e'"</definedName>
    <definedName name="_AMO_SingleValue_247862661_TaskState.9" hidden="1">"'enLRJ9PvMt5Zrya8Wo5ezW9J2b8m/Fvs/s38Z7PCSQ6w9VH/K6MjzM+LncfFzTuNn7O+Lk0/FyF9+QwPs74uGXxcTLGafyb8W/zzDqVUQPLdEniLe4L04szHm5uD6djCd8xpIX8fRL7g8j4tpTcefc9vC6vbo27Q127gSerkdw3oWZqnKlxufcp9Dmp+L2Kda/d2c+2q11hTugvWrZ59Wzns1dh1jJZJMxdtnF8ur6XnGP18fy33yfP7ouj'"</definedName>
    <definedName name="_AMO_SingleValue_30194841_TaskState" hidden="1">"'Partitions:11'"</definedName>
    <definedName name="_AMO_SingleValue_30194841_TaskState.0" hidden="1">"'SASUNICODE7V1bb+I4FD7PK+1/QF1pHkaz0HuLdi6i0MtoGMoC7WifKkrpDlpuC6Gz1Wr/+34+jnODhCSkSYosBCT28bnYn4+P7Vze0yf6h0Y0pAI9UZ9mNKcBTWhMH2iH9qhIu/gvIGdMPaQ/IHdMf3Luggx6pF/pFMef6CP9TD/Re+pQFzz+QpkxjkYoKWjboB7h04WEZ+QJqntI7YN2x5ItKA8h84DlKtmC38jkUsG3SOd0iV8laY7jG'"</definedName>
    <definedName name="_AMO_SingleValue_30194841_TaskState.1" hidden="1">"'nPqgccAfPv0DuVuPfYcgW4PPHct7oKqCs2GsGQBWqHrGL/Cshm4D5miiXOh6wD8vyD3GZInkNtnrkLaEeqgj7roQfN7KuP3kPYhq4yzHatmbtn6gWV5FVyGfNSDPKmlt9YMnBk4u4PlNT7umnzmAZzdXHps299sk6xPYW+D88R5D+dzPlMS5ihpmPqJdhszXSmkvBnK/UhFUoslPbGcBdLSkGlY6aLNDD5KV+6YS6chc8p94ilF7Lgl7mUg'"</definedName>
    <definedName name="_AMO_SingleValue_30194841_TaskState.10" hidden="1">"'cyLaIOe8rkPy+XFzs+7UewqivzOpiBoa0tCc28s3QHk9fTyLvDFMfJ29nJY13l8RQfq1T8ni95H+Bw=='"</definedName>
    <definedName name="_AMO_SingleValue_30194841_TaskState.2" hidden="1">"'cz8DmQcZyDzMQOZRBjKPM5B5koHM0wxkljPxCbspSRWjco++I01EPGl5+e8ouQAXIfXBjI42l1oKFX0o6iaP4VOOnwzEO9EiFVXaGaF4Ocr47yvS3Hzs9B3OkVYW+eOOIb0RpB0lSmpvRChoDC4hdB3hK2hL9JYjvC63cAGlBqzL2IobC6Ao0Rv6BXFyjX4zjyo4WhUJvFtJKaXIaCWaDG+E84H+pTpyzhAD13H2Br1iARqDS9nH/wVq4sR'"</definedName>
    <definedName name="_AMO_SingleValue_30194841_TaskState.3" hidden="1">"'JNH2W++LblXQFfGR7hdfYn1OB287bM8JzLoSwpbw1lpxujSUnW2PJ8dZYcrQ1lhxujSUHW2PJ/tZYsrc1lrxeO5wrX6/BCnfM7o2Zz3A24ZVaZ8SsqBpsRZ/j3Z61RvgZtBUzahdrrGq+INdcRVQpZx0za/3MX36DV0r95Fc4dQg6EUXOTQ3qHCP3eb5iH8s5zITrJ7z8axyr2UedZRixdfHXQEl3SpsHzpaclG59qsir0w3mM42QNvvzai'"</definedName>
    <definedName name="_AMO_SingleValue_30194841_TaskState.4" hidden="1">"'Hv28ZcmqibS+BwUz5XQFYNn/PQlpUi1GgpVNvHw6mNgia+XUjvm7MfI0WEBmmRDjYv0IIt+L7OxlgQvi08n/RwEOwvr1D6AWlq7n+Fb5dTZoH+IZn2V1IrOJ9ZK0zpIqCB3ptE+wsv18BvJYcYCPYFqhU6PAJ3Ux6lVklPq+WvufU3bflLeJAKONXoDlZc41uBza8LA3btJxmrtJlO7pVHkRu27sKs0CrqFudF3W9WpZyruCpteRdWpN6i9'"</definedName>
    <definedName name="_AMO_SingleValue_30194841_TaskState.5" hidden="1">"'Vus6YgtVzGooNldwSX6fniYEt5d8eC98CFzUuvqj9a6sDgTNly4UuKu9q/bVc1ei72c6LGfEz0OcqLHYU70OMqJHsc50eMkJ3qc5kSPck70ULvDL61JKdIo5rf36x7FBzzaxi//vBSX30DL3xFpyFF5aq0ULY/a7l1bm7ZDYfZfiz4rLsGWOuVU1u7eqjqIIykoXvFanvSecw+fM6Q2TMoqPnexrLhbo3nQbr8XKfEQ1YTUc5TRmNKYehlM'"</definedName>
    <definedName name="_AMO_SingleValue_30194841_TaskState.6" hidden="1">"'7WlUaVQljqp9jSqNqsRRdaBRpVGVOKoONao0qhJH1ZFGlUZV4qg61qjSqEocVScaVRpViaPqVKNKoypxVJU1qjSqXmAVdFfjSuNqJa7WUa7fRbT3LsNd11M1r/Bss875vbZn1RMSstiR9ntCRBa6CGT8yEx6i5afz5FNi6y6q1pfI+C8q2D1WGP3/U3HmyoNuc7mvrWS3IgTT9Y675fNuBPPlru1+vtduXrJ5wukeK8mUXrUqc/3Eg0dXJQ'"</definedName>
    <definedName name="_AMO_SingleValue_30194841_TaskState.7" hidden="1">"'9LfzO8C9618DsPXbJAmskyxZc9z5JP+VMcfclr5bXtO4q6zbyBO0ZqJO9etp5D9WcbZE+Jtq10zc4e2QdR8xPXHX74OH5SPKq8PSunV6mtvFg08TD5EvH0NKXiUhL3HN1rr2a9moZezVv/KP9m/Zv8f2buLvmDBad4+gzvnXt47SPy9zHrZrtaj+n/VwSfq7B985rH6d9XF58nFxZ1P5N+7dN/NsVbLvhp1mLe6fb2sNpD5e5h/OukIf3cf'"</definedName>
    <definedName name="_AMO_SingleValue_30194841_TaskState.8" hidden="1">"'7P2ehD1wmJp2rItXRZy/bd7f5+I0+9O/0dN/VkiDP6g/K2t5buntZr2EOJNi93tm0Yn67ectBGnX1x+fFw/nvZJ8f3xUG6r/Oe0bxmkKS87JqXHD7ev1yVvaqBtBHTPYTqsc4ncYia3Ank12T9e0v+5GXa4M68OqXk8sXhrFQlOpYXiVYXdjkntu3UdgAfOyYoePgUWPs+j6KPgSNTOEkXPCIaSJuw3lEklNbUjT3iL3vQsLV4TeINJzVX/'"</definedName>
    <definedName name="_AMO_SingleValue_30194841_TaskState.9" hidden="1">"'ODk5i45YeodM6a4Bz6UDd/AqQWvZOep3u/MGSF9ZuogfaV/rGb70mP826Vvkb/8RJyZWc+N2NwfTLs7oJya9sramfJvk/vG3Jx9yJmPf8wl3gnz7OBR47fVOGNNe0bjbXV3C/ilvxQixHMiw+LB73mSXnTU0Q9Em9SowjW/jBJJ0SL1PqAFeypbW7cWcw+a1mPF3cdWtbWwe2rh2789gp+vJNp3wk8W6rliTIWMrxxVF6Cd5CdrP+y7jIo4'"</definedName>
    <definedName name="_AMO_SingleValue_37461558_TaskState" hidden="1">"'Partitions:11'"</definedName>
    <definedName name="_AMO_SingleValue_37461558_TaskState.0" hidden="1">"'SASUNICODE7V1bb9pIFD7PK+1/QFmpD1U3JITctL2IQJpUpYQFkmqfECVki5ZLCqZttNr/vt+c8fgGNrYxtoNGCLBnzpzLzOczZy62X9M7+kljGlGBvtOAZjSnIU1pQm9ojw5pnw7wX0DOhPpIv0fuhP7m3AUZ9EC/0xmO39Fb+pV+odfUoR54/IMyExyNUVLQtkE9xqcHCU/IE1RfIHUA2j1LtqAsQ+YRy1WyBb+xyaWC7z5d0hV+laQ5j'"</definedName>
    <definedName name="_AMO_SingleValue_37461558_TaskState.1" hidden="1">"'mvMqQ8eQ/Ad0CuUu/PYcwy6Q/A8sLgLqio0G8GSBWiFrhP8Cstm4D5iiibOha5D8P+I3CdInkLugLkKaceogwHqog/Nv9A5fstUgqxznO1ZNXPH1g8ty6vgMuKjPuRJLb21ZuDMwFkXltf4uGfymQdwdnPps23f2CZZn8LeBueJ8z7O53ymJMxR0jD1E+02YbpiSHkzlPuRiqQWS/rOchZIS0OmYaWLNjP4KF25Ey6dhsxHvia+p4gdt8TD'"</definedName>
    <definedName name="_AMO_SingleValue_37461558_TaskState.10" hidden="1">"'U36+UN8VaSpsfOLYugDtJD9Z/2HfYrWPMyeqDXKO7joknyI3N2tPvTcg+tuy9lFDIxqZI3z57i+vv49nkTeSia+zl9OyxqUVcaRf+xQtfm/pfw=='"</definedName>
    <definedName name="_AMO_SingleValue_37461558_TaskState.2" hidden="1">"'DGSWMpB5lIHMcgYyjzOQeZKBzNMMZJ5lIPM8E59wkJJU0Sv36SvSRMSTlpf/ipILcBFS783oaNtSvyG+EN+0rVVys6nrJ+R1zd8sZW/L+mKoiFNRNzlue+SY2YBm0aJTVdoZlXo5ypj/E9LcfOz0Pc6RVu7zxz1u8I4a7JGBpPaOAgSNwSWErmN8BW2RXnJU3+O6LqDUkHWZWGOFAiiK9IJ+w9ioRn+YRxUcrYr+Xq2klFJkhBpNhjeqfUP'"</definedName>
    <definedName name="_AMO_SingleValue_37461558_TaskState.3" hidden="1">"'/Uh05Fxj31HH2AtfMAjQGl7KP/wvUxImTaPos+9+XK+kK+Mj2Cq+xP6cCt53XG4bnXAhhy/nOWHK2M5ac7owlJztjyfHOWFLeGUuOdsaS0s5YcrgzljxfO5yznc/BCnfM7o2ZL3A25dl5Z8SsqBpsxYDj3b41L/wBtBUzahfz6mq8ICTJqFKONGfWnKm//AbPjvvJr3DqCHQiipybGtQ5Rh7weMU+lmOYKddPePk3OFajjzrLMGLr4q+Bku'"</definedName>
    <definedName name="_AMO_SingleValue_37461558_TaskState.4" hidden="1">"'6UNg8cLTkp3fpUkVenW4xnGiFt9ufVQt7njbk0UTdXwOGmfK6BrBo+l6EtK0ao0WKoto+HUxsFTXx7kD4wRz9GiggN0iIdbL5HC7bg+zobY0H4tvB80sNBsL+8Rul7pKmx/zW+PU6ZBfqHZNpfSa3gfGbN9aSLgAau3iTaX3i5Bn4rOcRAsC9QrdDhHriXci+1SnpaLX/Drb9py1/Bg1TAqUZdWHGDbwU2Py8M2LWfZKzSZjq5PyKK3LB1F'"</definedName>
    <definedName name="_AMO_SingleValue_37461558_TaskState.5" hidden="1">"'2aGVlG3OC/qHgNVyjmLq9KWV95F6h1av8WajtlyFYMKmoMVXKLvgQhTwrsTInj/w4g5qXn1B2teWJwJG967UuLO/K9bSc9ei8Oc6FHKiR5HOdGjnBM9jnOix0lO9DjNiR5nOdHjPCd6qB0B29akGKkX81sHdvfiQ+5t45d/WorLb6Hln4g0ZK/8aM0ULffa7lVbm7ZDYdZf931mXIItdcqprF29VXUQR1JQvOK1POk15z4+F0htmJRVfLqx'"</definedName>
    <definedName name="_AMO_SingleValue_37461558_TaskState.6" hidden="1">"'rOiu0Txotd+LlHiIakLqJcpoTGlMbQdThxpVGlWJo6qkUaVRlTiqjjSqNKoSR1VZo0qjKnFUHWtUaVQljqoTjSqNqsRRdapRpVGVOKrONKo0qhJH1blGlUbVFmZBDzSuNK5W4mod5fpVRHvtMty+nqq5w7PNOud3b8+qp2JksSLt91SQLHQRyPiRmfQWLT+TJZsWWXUnvd4j4LyrYHVfY1/7m/Y3VRpxnc19ayW5HieerHXeL5t+J54t3bX'"</definedName>
    <definedName name="_AMO_SingleValue_37461558_TaskState.7" hidden="1">"'6++1cveLzBVK8u0mUHnUa8L1EIwcXZU8LvzP8i6traF49dskCayTLFlz3Pkk/5UxxX0teLW9o3S7rNvIE7QWok9097byHas62SB8Tbe/0Lc4eWMcx8xO7bu89PB9I7gpPb+/0MrWNB5smHia3HUNLXyYiLXHP1aX2atqrZezVvPGP9m/av8X3b+LumgtYdImjD/jWtY/TPi5zH7dqtKv9nPZzSfi5Bt87r32c9nF58XFyZlH7N+3fNvFv17'"</definedName>
    <definedName name="_AMO_SingleValue_37461558_TaskState.8" hidden="1">"'Dtlp9gLu6dbmsPpz1c5h7OO0Me3sf5P2djAF2nJJ6qIefSZS3bd7f7+408Xd3pr7ipJ0Nc0F+Ut7W1dNe0nsMaSrRxubNtw/h09WaLNurso8uPh/Pfyz45vi8O0n2d94zmNYMk5WXVvOjw8f7lquxVDaSNme4+1BXrfBKHqMm9QH5N1r+/5E+20wZdc3dK0eWLw1mpSnQsLxKtLuxyTmzbqe0APnZMUPDwKbD2A+5FHwJ7pnCS3nOPaCBty'"</definedName>
    <definedName name="_AMO_SingleValue_37461558_TaskState.9" hidden="1">"'npHkVBcUzd2j7/sQcPW4g2Jt9rUXPGDk5u75JSp98yY4gvwoWz4DE4teCU7T139zpwx0memDtJX+sdqti8tQc+yo/wdKJafiTMza7qxAf970/YOaB9Nm2UNPfJvk6+PuTkCkaMf/7hLvAvoycGjxm8pcsab9qjG2/LuVvBL3xYqxLMiw2LC75mSXoTUcS2IVqlRhet+GSmSokXqPVAL9la2tm4t5h5EhcGL+0pb1drC8kcL5f4tEvyUJdHC'"</definedName>
    <definedName name="_AMO_SingleValue_390982613_TaskState" hidden="1">"'Partitions:13'"</definedName>
    <definedName name="_AMO_SingleValue_390982613_TaskState.0" hidden="1">"'SASUNICODE7V3pb+I4FPfnlfZ/QF1pPoxmS+9Dc4nSazQt7UKno/2EKKUzaLmGQGer1f7v+/NznMOJQxJCAqwVAYnz/C4/P7/nOOYd+8j+Zn3WYyX2zDpszCzWZUM2YO/ZBttmm2wLvyXcGbA2yh9xd8C+0d0pm7An9js7wvlH9oH9yn5h79gdawHHX6gzwFkfNTlsA9B9HC1QeME9DvUAqh3Abji0OeQeaO4SXUmb4+vbWCr4bLIzdoFvS'"</definedName>
    <definedName name="_AMO_SingleValue_390982613_TaskState.1" hidden="1">"'cnC+SlhagNHF3g77A3q3Svy7ANuGzi3HOwcqgrOepBkCljO6wDfXLIxsPcI4hbXnNcu8H/G3RdQHoJuh7ByavvQQQe6aIPzB3aM7z22A1rHuNpwNHNP0ncdyavA0qOzNugJLlWtTXA1wVUTkp/SecvGY0Vg9mNpk2w/SCahTy5vje7x6zauLbqSFCzUnNj88XYbEFw5Jr0x6v3MhVKdKD0TnSnK8qA5ccp5m03oLF+6A6qdB80R9YnnHG3H'"</definedName>
    <definedName name="_AMO_SingleValue_390982613_TaskState.10" hidden="1">"'6utVadSZoKxPcI8aeP0uRdzSNiLx3RL/7YC/XYyNNu2Ve+U5ePL7x6aTl/NsdxH4xT7TWWBWLcz9z5cmHRP6np+ObAUXa1YY+Z7M/pmC7Gioes9SI0ntWE+7HLtXur5TRgXJ+q5bz++JZWkjAo8b45cUPCXiXnjjp8hIMx6lc/LHE5QNie/ZFKbk/6+cHCVsT3lV59E6dCP9YOQUV9s31MtPfXmDF5u/pvAJG3Yu8YD+IWX9Ckx1RCPuPTn'"</definedName>
    <definedName name="_AMO_SingleValue_390982613_TaskState.11" hidden="1">"'qe+/0UT62eRAxkj5Hc2OoA0/de9wN7oE3tlujlhL3oy3zHeBGtqxCMyP6vqV+YtlzfGJ+UZ9nueO71G5DyS9dT6K2uF/7cdrEOw6IvHZKvbQW0BLn79muU6HPCEc2rclL73DwPUxHHl2r3CVpxbg4Z7WexMBrCVuI1vqi+hofReL2NN0/AKgtdQVPxO39lFXIqoMtJiDqTP6f9ZTGBJdbPxeW0rJJemFYO3CZR47XSKfzOvWcIe3R2GbeaF'"</definedName>
    <definedName name="_AMO_SingleValue_390982613_TaskState.12" hidden="1">"'b2uWvWIlkebHyujcf5H+5NXHk9hZvZWlRT7M9r2XqT/7GZ/P++N6GhHpP/aCj+vVwdZ9NJpGaE6XlWMQU53gnJx3XtU3bwfWD/AQ=='"</definedName>
    <definedName name="_AMO_SingleValue_390982613_TaskState.2" hidden="1">"'T3G7AJo7BdDcLYDmXgE09wugeVAAzcMCaB4VQPO4EJ+wlRNVPiq32XeU8YgnLy//HTWnwMKpPtrR0fxUy7GiDwl9S2P4iOKnCeKdZJGKrO2NUFSMJ7gaUtTpxXKCO3Uq7wDjkGA5Pl7ria77TvmGJ+Ic0+gvY8A6vsf4LVGM9kKYJYxfK+ekWWtGXRdK1alOKp3UNziX+rvCr4UrVY/fKaa5onbqEF1XUm99K7IFvZB+CheoMQRuLhOXxyI'"</definedName>
    <definedName name="_AMO_SingleValue_390982613_TaskState.3" hidden="1">"'q/M6TRk49rpp9bimYJqHaLifgP6jbMN0lsy5pOTf4fiTYCrV5h3qayGtW0apELnWNMr+8bvkG3REeY5MOfz6mZmNuxiWg1eyKw0yoBu/3fXw4bJm9pmypRd6yhFpd4mXg5GAlQJTZK/Ybcs5T9tY+q+AsLKp+EwopqIjIPxkNNVt4z/6BJVWg3zP8vgfkD5QPQf2t7/zfSE68PjcZP8Fx7XUoXAmHaK/4HOsxlajt1FEmPuZSDFmO10aSo7'"</definedName>
    <definedName name="_AMO_SingleValue_390982613_TaskState.4" hidden="1">"'WR5HBtJDlYG0n210aSvbWRZHdtJNlZG0m210aS1ZXDO4u8ClL4o+p4GcKQZv4ffTnX6uQB4TJJqGvKfjohEeo6SlsjO+xQxtJ2nph8AmzFzjafiVMxe8J5EXmBP3tdPa3U6GmWTisVKu0BzqIMWujFO9fgnot5piH1O31On3yGIz4veg6ynA+p4t4V+4L+UYspsx5XHfe+zo3lFrq5gH+bF88l7P0Ux1lsyfKboYm2U9cKbvFp0RyN8FmTH'"</definedName>
    <definedName name="_AMO_SingleValue_390982613_TaskState.5" hidden="1">"'C00iot8bPMcLVjHmHo3ty3wMTM+nsXZgTv3dkG1poAN177wB3Je2a0XnMuS6wAasPXPNLcl5rXEfPiAZBwqM6kqzw2CEnOAfn50fHhr+MePVzRb/9aZHb13Zpz43FiXRqISzQl9I7ig7oM6SjcKXoIax+Sdo7rEdcvGv44jv5RZzPb9X6SVs66qvLO81OroIb7flrqo4HrsPL3L13PXMOrO8reznpdExyw1fFeWwKMnG9ll29xRntbKOeYM'"</definedName>
    <definedName name="_AMO_SingleValue_390982613_TaskState.6" hidden="1">"'o56XPdyQTcw7jl+gl1WA6ZQ1IcUNPhXIvFo24Go/y8xDP4JH042ruzjPxCW0fIad7Lm5rOUdp2RZcN1bjyKLCs45p32SXOa5HGYrBEvyFYhxaqjrEKNXH/YIk1zJ8OQ8PeRXXIZzX0na9RWz1rEVz8X2kvCxsyR87C4JH3tLwsf+kvBxsCR8HC4JH0dLwsfxkvAh1+MtmpNyolFMt9rOP4p3abRNX/8lEJd/AZd/INIQo/KIydno4KjtXyf'"</definedName>
    <definedName name="_AMO_SingleValue_390982613_TaskState.7" hidden="1">"'nwt55Zjb0q3Q2NfOn0ZJ66fC1T9FrfKQO0lCKildUybNemdTGcYLSmg1ZxdFMJUVzBudR6ytVS0lnUbegeoY6xqaMTS3GpraNVRmrytyqdoxVGavK3Kp2jVUZq8rcqvaMVRmrytyq9o1VGavK3KoOjFUZq8rcqg6NVRmrytyqjoxVGavK3KqOjVUZq1rALOiWsStjV6F2NQty9lNE99llvHU9VXu9doN4Xt61PWF7UhXxRFq3J1cRvHDL+F'"</definedName>
    <definedName name="_AMO_SingleValue_390982613_TaskState.8" hidden="1">"'kY9ToL7ohWzBqBsN1zirGNsB11zGoF79tK4aOe64XmHfmqrEc6s7RayW7sS0drlh8uZgRMJ0tzJv+6NbS6d3JcPq5Yh96c7HmwBNf/98gL+2uWiCNRt+R7V1d4TG+Jvy+pXN6w2bsoiZ1++H5S2a7j9r4xmn79/hdcyf2sOD6+/vdRwanbjWlxq7iD0MH3j8opbXLR0bzwZTzm4+9ynhmvZrxawV5NjcSMfzP+Lb1/4+/5nECiM5x9wufK+'"</definedName>
    <definedName name="_AMO_SingleValue_390982613_TaskState.9" hidden="1">"'Djj4wr3cWF5t/Fzxs9l4edqtCeH8XHGxy2LjxNznMa/Gf82z1OnKnpglV0y/hb3hYnijIeb28OpWPQ7hnRQf8j4/iBifltI7r77ru/Lq9vj7tDXbuDJGkzsm9AwPc70uMJjCvWZVPyoYt17d/5P2+WuMCfsT7Zsz9XzfZ69Ck8tk82Eeds2jk9X95JzrT6e/w765PS+OIr3Wd4zmdfUU0rmha6Z+C+9rmeHnXNP/rAaO7CVE+pxOXxc2TMG'"</definedName>
    <definedName name="_AMO_SingleValue_398675413_TaskState" hidden="1">"'Partitions:13'"</definedName>
    <definedName name="_AMO_SingleValue_398675413_TaskState.0" hidden="1">"'SASUNICODE7V1Zb9s4EJ7nBfY/GFmgD0U3zn2gFxznKpo4WTtNsU+G6zhtsL5qOekGi/3v+3EoWhJ1y7JkdwnBto7hXBwOZ0iKfkPv6W8aUJ8q9EQ9mpBFDzSiIb2lNdqkddrAbwVPhtTF/Ts8HdJXfvpIU7qn3+kA5+/pHf1Kv9AbuqEOcPyFMkOcDVBSwLYAPcDRAYVnPBNQX0C1B9i1GW0BuQOa20xX0Rb4BjaWGj7rdEJn+FaULJwfM'"</definedName>
    <definedName name="_AMO_SingleValue_398675413_TaskState.1" hidden="1">"'6YucDwAb49eodytJs8u4DaBc2OGXUDVwVkfkjwCVvA6xLeQbALsfYa4xrXg9QH4P+LpMyiPQLfHWAW1XeigB110wfkXOsT3Dm2B1iGu1maauWXpH2aS14Glz2dd0JNc6lqb4mqKqzYkP+bzjo3HisDsxdJl2b6zTFKfQt4GPxPXXVxbfKUoWCg5tfkT9TZkuGpCehOU+1EIpSZTemI6j7hXBM3p7L6osymfFUt3yKWLoDnmNvFUoO14KW6W'"</definedName>
    <definedName name="_AMO_SingleValue_398675413_TaskState.10" hidden="1">"'MNxdIs7de00Jf7EWie+arbDr0/hiPE3bXn9ZnYMnby/Xno2uiDGLReCXu4XngVn3E84/MbT5mPL3/HRULThY88Iodtb2jvfkRyOtrYVrrJq45Ti9lIq/0rUvp5y3z1N3WxF4nGyqouGpMPey37uP9CzJKJ1yzzfFvRHznYZCNUY3Tq7kjz2TavGKW9ixJ/NyY/OWlO1xzc7GvsA2lQyfgamJeM55puIm95MB7k9sHmSUGZ7lOlHoNvjcc5W'"</definedName>
    <definedName name="_AMO_SingleValue_398675413_TaskState.11" hidden="1">"'/BYR/J8GJrenGHPjvbNlvADu2ZZYaGvP3NbcDyx4tlSO14RmrEykpLbe0TN1pzXrNe2shSd24fbEcIXjkVtjwaUrw92SXqfFnjCOfWhV3b3CI3WDHLn3r3KWpyaQ442pPYRClpD1Ea31RbU548qQtLuy/FPSauoCnETZ/TDW2bH+NSYgmqX96fWSf73Dr5cLSajZtawyqCyH3eOZBsum9ya1nxDtedsmdG6h2d0kdlueLjc+x8yT/UruOK7'"</definedName>
    <definedName name="_AMO_SingleValue_398675413_TaskState.12" hidden="1">"'fHcMYJLC4pdzu2bN2pf6BL/2+469CQkFG2R/nfvnpfmk0iPb/OzrOOyc/xVkC0HVY/1Rm+d/Qf'"</definedName>
    <definedName name="_AMO_SingleValue_398675413_TaskState.2" hidden="1">"'QHOrBJrbJdDcKYHmbgk090qguV8CzYMSaB6W4hM2CqIqeuUufcM9EfEU5eW/oeQjsAiqd3Z0ND/VaqLoQ0Ffcx8+5vhpingnXaSiSrsjFB3jEa5GHHW6sRzhSZPv94BxxLACnyh1z9eD2f01V8Q54d5fxYBNfE/wW+EY7ZkxKxivVk5Zs1ZMWQdK12mYVGFSX+Fc6e8CvxaudD1+45jmguupx3QdSd3lrcgadEN6KZyhxAi4hUxCHoupiCf'"</definedName>
    <definedName name="_AMO_SingleValue_398675413_TaskState.3" hidden="1">"'3IXKG42rY55aGaRqo7WoK/v26DdJdOutSlnOF7zuGrXGd97ilybxmFa1K5lKXuOeV17m/xk+kx1jnw5uP6dmYk3FJaD27EjBTLiHa/QAfAVull5wtddhbVlDqgXkZznKwCiCq9IJ+Q855TK/tsxrOgqLqV4GQkoqM/NPR0LOFt/QPLKkG/Z7g9y0gv+P+CNRfe87/jeTE7XPT8ePv114GwlVwyPqqJMBzmAuWg1yw7OeCZS8XLLu5YNnJBc'"</definedName>
    <definedName name="_AMO_SingleValue_398675413_TaskState.4" hidden="1">"'t2Lli2csGymQuWbDjcIxNxGLxeMpnHH/FIzp2nD10dvx4sk4K65N6sF+BxfkZpG2wDPe6BurMRsA+ArdnRwxNzKqNhOaLY8UUjq6eVBo9Ohmmlxnf7gLM4IpJ6cceOzrnMG0Yc64THaOkj1uS8hHOQZ3xbx7ML+oT20UgocziuJp59nhvLNXRzhhhjXjznsPdjHCeJJSsu4o62U8cKrvHpcMwtfda0QAuN4qIY2zxFDTbRn93MbQsXPBOSF'"</definedName>
    <definedName name="_AMO_SingleValue_398675413_TaskState.5" hidden="1">"'M/i7MDJpc641CNgg7Uv/YEaJ3DK+XMTNa/Tgq1/5FxF5ilyfGPIMo60zFjnucVQMqfz8hPGh7uEt/94waMvr2fZ7u0sgxC5zgP3RBWO8b8ynF/3fh1l6wXPQU1gcucc57ju2Ph/xp5fySyzt/+LtCqL1uWN81Kro4fkflvpoobryWw0tljP3UCvG+dv48a/omOWBr5rS+DR0/Xsqm5ueKykU3DMGUS9KHu4YpuYtx8/QyurAdMxtSHFFT41'"</definedName>
    <definedName name="_AMO_SingleValue_398675413_TaskState.6" hidden="1">"'yLxaNuBoP8/MI7wHj6abVHdJ5jgUtJqTSDcPokq5+yl1z7+Ooc+RRQ3ngtMBS67yXAGzEYAl/YqSJCX0dSXRq0n6jEnNTN3PRoPFlZDh1HMn63xZ3LqE8rnYXBI+tpaEj+0l4WNnSfjYXRI+9paEj/0l4eNgSfg4XBI+1PqKRXNSTdWLha2e8PbiD9zbZi//7IvLP4HLPxBpyF55TGo02t9re9c9OLA3rpGN8FnX9ZDx02hJ3XRqsXO2Sgd'"</definedName>
    <definedName name="_AMO_SingleValue_398675413_TaskState.7" hidden="1">"'ZKEXFK7rkec80d3Ec4W7DhqzjaGeSoh3DedR6Gd1SslnUNaieoIyxKWNTi7GpTWNVxqpyt6otY1XGqnK3qm1jVcaqcreqHWNVxqpyt6pdY1XGqnK3qj1jVcaqcreqfWNVxqpyt6oDY1XGqnK3qkNjVcaqFjAKumHsythVoF3FQcbPIjpzl8nW9dTt9dot5nl51/YE7TFSxox02B4rZfAiLONHadSb5N/hppw1AkG7IZRjG0E7JJjVCu63lY'"</definedName>
    <definedName name="_AMO_SingleValue_398675413_TaskState.8" hidden="1">"'J7PccLzdvz1anPOrNCtZJf35eNVpwfLqcHzCZLO5b/sDW0Ye/kOHxcUI/fnOy7sPjX//fZC3tLVpgjWbbieV9eekz3HW9b0rm8ovhdMeTODWJ/kHzXcbvfGM2+fv8TrtT+JAKfWP97p+EM211jcau4/dD+94+qGW1y0dG89GUi5hPvcp4Yr2a8WsleTY/EjH8z/i27fxPv+RxBohOcfcDnwvg44+NK93FBebfxc8bP5eHnGrwnh/Fxxscti'"</definedName>
    <definedName name="_AMO_SingleValue_398675413_TaskState.9" hidden="1">"'4+TY5zGvxn/Ns+sUx0tsE7nJN7iPjNRnPFwc3s4HUv4jiE9lB+R2B9Ejm9LyZ1338Pb8uq2uBu0tSt4shbJfRNapsWZFld6TKHPSSWPKn721l38bLvaFeaI/qRlm1cvdj57FWYt042Eues2iU/X95JzrD6Z//b75Oy+OIr3OO+ZzmuGU0rnhS5J/jfSg2uHnVNX/rAaO7BVU+pxFXyc+P0R2SMU5feS9knp5NN92qpKWdUkCq79OscOU9wb'"</definedName>
    <definedName name="_AMO_SingleValue_416626384_TaskState" hidden="1">"'Partitions:11'"</definedName>
    <definedName name="_AMO_SingleValue_416626384_TaskState.0" hidden="1">"'SASUNICODE7V1bb9pIFD7PK+1/QFlpH6puSMhd24sIpElVSligqfYJUUK2aLmkYNqNVvvf95szHt+wjW2M7aARAuzxmXOZ+ebMmYvtV/SW/qEJjalE32lIc1rQiGY0pde0R4e0Twf4L+HKlAZIv8fVKf3FV5dk0AP9Ruc4fktv6Gf6iV5Rl/rg8TfyTHE0QU5B2wH1BJ8+JDzhmqD6AqlD0O5ZsgXlMWQesVwlW/CbmFyq+O7TFV3jV0la4'"</definedName>
    <definedName name="_AMO_SingleValue_416626384_TaskState.1" hidden="1">"'LjOnAbgMQLfIb1EvjuPPSegOwTPA4u7oKpBszEsWYJW6DrFr7BsDu5jpmjhXOg6Av8PuPoEyTPIHTJXIe0EZTBEWQyg+Re6wO8xVSDrAmd7VsncsfUjy/IauIz5aAB5UktvqRk4M3DWg+V1Pu6bfBYhnN1cBmzbN7ZJlqewt8nXxPkA5ws+UxIWyGmY+ol6mzJdOaK8OfL9yERSmyV9ZzlLpGUh07DSRZ0ZfJSt3CnnzkLmI7eJ7xlixy3x'"</definedName>
    <definedName name="_AMO_SingleValue_416626384_TaskState.10" hidden="1">"'gVuyx7K1dWux8KAqGmbc7c2vvoXtjxbWg+sk/Dlroo5n/ISxgSveVOj4yBF2CdpJfrIGor7Hbh9nTmQb5BzjdUk+R3Jhlp96c0j89+Xto4TGNDZn1uTb/7xeP5lF3ngmuc5eTqsaV3yiyaD6KVv83tD/'"</definedName>
    <definedName name="_AMO_SingleValue_416626384_TaskState.2" hidden="1">"'MAeZlRxkHuUg8zgHmSc5yDzNQeZZDjLPc5B5kYtPOMhIquiVB/QVaSLiycrLf0XOJbgIqfdmdLRtqd8QX4hv1tYqufmU9ROu9czfPGVvy/pypIhTUbc4bnvkmNmAZvGiU5XbGZV6OcqY/yPS3Hzs9D2+Iq3c54973OAdNdgjA0ntHQUIGoNzCF0n+AraMr3gqL7PZV1CrhHrMrXGCiVQlOlX+gVjozr9bh5VceQX/b30pZRSZIQaT4Y3qn1'"</definedName>
    <definedName name="_AMO_SingleValue_416626384_TaskState.3" hidden="1">"'N/1IDVy4x7mng7Fe0mSVoDM5lH/8XqokTJ/H0WfW/L3zpSvjI+oqucTCnEted1xtG51yKYMvFzlhyvjOWnO2MJac7Y8nJzlhyvDOWHO2MJZWdseRwZyx5vnY4ZzufgxXumN0bM1/ibMaz886IWVE12Yohx7sDa174PWirZtQu5tXVeEFIklGlHGnOrTnTYPlNnh0Pkl/l1DHoRBS5MDVocIw85PGKfSzHMDMun+jyb3GsRh8NlmEk1iVYAy'"</definedName>
    <definedName name="_AMO_SingleValue_416626384_TaskState.4" hidden="1">"'XdKW0ROlpyUrr1qeFagz5hPNOMaHMwrzaufd6YSwtlcw0cbsrnBsiq43MV2bJyjBItR6r7ZDi1UdDCtw/pQ3P0Y2SI0DAtssHmO9RgG76vuzEWhG+Lzic7HIT7yxvkvkeaGvvf4NvnlHmof0in/pXUKs7n1lxPtghoovWmUf/CyzXxWy0gBsJ9gaqFLvfA/Yx7KT/pWdX8Ldf+pjV/DQ9SBac69WDFLb5V2Py8MGCXfpqxSofp5P6IOHKjl'"</definedName>
    <definedName name="_AMO_SingleValue_416626384_TaskState.5" hidden="1">"'l2UGVpF3eZrcfcYqFzOWVyVtrryLlLvUPtt1nTClqsYVNAc+HCJvwciSg7vTojw/Q9j5qTm1R+seWFxJmx450pJOvO/biU9fy0OC6JHpSB6HBVEj+OC6HFSED1OC6LHWUH0OC+IHhcF0UPtCNi2JuVYvVjQOrC7Fx9xb5s8/9NKXP4JWv6BSEP2yo/WTNFqr+1etbVpuxRl/XU/YMYl3FKnnOra1VtVBkkkhcUrXsvTXnMe4HOJ1KZJWcOn'"</definedName>
    <definedName name="_AMO_SingleValue_416626384_TaskState.6" hidden="1">"'l8iK3hrNw1b7vUhJhqgWpF4hj8aUxtR2MHWoUaVRlTqqKhpVGlWpo+pIo0qjKnVUHWtUaVSljqoTjSqNqtRRdapRpVGVOqrONKo0qlJH1blGlUZV6qi60KjSqNrCLOiBxpXGlS+u1lGuX0W01y6j7eupmTs8O6xzcff2+D0VI48V6aCnguShi0DGj9ykt2n1mSz57BHwu6s6H2z43dOvdys472/w7/VsL7Rpz1ejMZfZIrBU0uv7ksla54f'"</definedName>
    <definedName name="_AMO_SingleValue_416626384_TaskState.7" hidden="1">"'z6QGT2dJbq3/QHtprPl8ixbuvRenRoCHf1TR2cFH2tPE7x79oXSOz9dg5S6yRzFty3YUlPaYzxd2WvFre0rr93h1cE7SXoE53H7fzbq4F2yJ9TLxd3J9w9sA6Tpif2P977+H5QHJ/ena7uFepbTzYNMkwue1oXvoyEfOJu7+utFfTXi1nr+aNxLR/0/4tuX8T9/lcwqIrHL3Ht6F9nPZxufs4v3G39nPaz6Xh55p8F7/2cdrHFcXHyTlO7d'"</definedName>
    <definedName name="_AMO_SingleValue_416626384_TaskState.8" hidden="1">"'+0f9tk1amGFlijGxJ3cV/rKE57uI09nJdL8FM4hsg/I/HMDTm/LS23730PbsvPt8V10dZu4ck6JJ+b0NEtTre43GMK75pU9Khi11t39qvt6qkwl/QnFW1dPdv17OewahlvJsxZt1F8unqrTQdl9sHlx6P571WfnNwXh+m+znvG85phkoqyY6bs8PHB+WrsVQ2kTZjuPlKLdT6FR5TkXii/Fus/WPEn26mDnrkzrezyxdGsVDm6lheJVxZ2P'"</definedName>
    <definedName name="_AMO_SingleValue_416626384_TaskState.9" hidden="1">"'ie27dROCB87Jih5+JRY+yH3og+hPVM0Se+4RzSQNmO940gorykbu8df9aBRS/GWxBut6q74wcnNnXPG1HtmTPEF+FA2fAanNrySfU21fueVCdLnpg7SVwbHarYvrUDPM5zZHO5As/pErLlZ1s2NJNyb9ndB/WjaLUvpkX9b3EYW5rhfzjkEx17iXWBPDh51fkuZM+a05xK8te+uiaD0bSFDPCs2Ki6CninrRUkD7UHUS52qXPqraJEUbVLv'"</definedName>
    <definedName name="_AMO_SingleValue_472893794_TaskState" hidden="1">"'Partitions:13'"</definedName>
    <definedName name="_AMO_SingleValue_472893794_TaskState.0" hidden="1">"'SASUNICODE7V1Zb9s4EJ7nBfY/GFmgD0U3zn2gFxznKpo4WTtNsU+G6zhtsL5qOekGi/3v+3EoWhJ1y7JkdwnBto7hXBwOZ0iKfkPv6W8aUJ8q9EQ9mpBFDzSiIb2lNdqkddrAbwVPhtTF/Ts8HdJXfvpIU7qn3+kA5+/pHf1Kv9AbuqEOcPyFMkOcDVBSwLYAPcDRAYVnPBNQX0C1B9i1GW0BuQOa20xX0Rb4BjaWGj7rdEJn+FaULJwfM'"</definedName>
    <definedName name="_AMO_SingleValue_472893794_TaskState.1" hidden="1">"'6YucDwAb49eodytJs8u4DaBc2OGXUDVwVkfkjwCVvA6xLeQbALsfYa4xrXg9QH4P+LpMyiPQLfHWAW1XeigB110wfkXOsT3Dm2B1iGu1maauWXpH2aS14Glz2dd0JNc6lqb4mqKqzYkP+bzjo3HisDsxdJl2b6zTFKfQt4GPxPXXVxbfKUoWCg5tfkT9TZkuGpCehOU+1EIpSZTemI6j7hXBM3p7L6osymfFUt3yKWLoDnmNvFUoO14KW6W'"</definedName>
    <definedName name="_AMO_SingleValue_472893794_TaskState.10" hidden="1">"'MNxdIs7de00Jf7EWie+arbDr0/hiPE3bXn9ZnYMnby/Xno2uiDGLReCXu4XngVn3E84/MbT5mPL3/HRULThY88Iodtb2jvfkRyOtrYVrrJq45Ti9lIq/0rUvp5y3z1N3WxF4nGyqouGpMPey37uP9CzJKJ1yzzfFvRHznYZCNUY3Tq7kjz2TavGKW9ixJ/NyY/OWlO1xzc7GvsA2lQyfgamJeM55puIm95MB7k9sHmSUGZ7lOlHoNvjcd5W'"</definedName>
    <definedName name="_AMO_SingleValue_472893794_TaskState.11" hidden="1">"'/BYR/J8GJrenGHPjvbNlvADu2ZZYaGvP3NbcDyx4tlSO14RmrEykpLbe0TN1pzXrNe2shSd24fbEcIXjkVtjwaUrw92SXqfFnjCOfWhV3b3CI3WDHLn3r3KWpyaQ442pPYRClpD1Ea31RbU548qQtLuy/FPSauoCnETZ/TDW2bH+NSYgmqX96fWSf73Dr5cLSajZtawyqCyH3eOZBsum9ya1nxDtedsmdG6h2d0kdlueLjc+x8yT/UruOK7'"</definedName>
    <definedName name="_AMO_SingleValue_472893794_TaskState.12" hidden="1">"'fHcMYJLC4pdzu2bN2pf6BL/2+469CQkFG2R/nfvnpfmk0iPb/OzrOOyc/xVkC0HVY/1Rm+d/Qf'"</definedName>
    <definedName name="_AMO_SingleValue_472893794_TaskState.2" hidden="1">"'QHOrBJrbJdDcKYHmbgk090qguV8CzYMSaB6W4hM2CqIqeuUufcM9EfEU5eW/oeQjsAiqd3Z0ND/VaqLoQ0Ffcx8+5vhpingnXaSiSrsjFB3jEa5GHHW6sRzhSZPv94BxxLACnyh1z9eD2f01V8Q54d5fxYBNfE/wW+EY7ZkxKxivVk5Zs1ZMWQdK12mYVGFSX+Fc6e8CvxaudD1+45jmguupx3QdSd3lrcgadEN6KZyhxAi4hUxCHoupiCf'"</definedName>
    <definedName name="_AMO_SingleValue_472893794_TaskState.3" hidden="1">"'3IXKG42rY55aGaRqo7WoK/v26DdJdOutSlnOF7zuGrXGd97ilybxmFa1K5lKXuOeV17m/xk+kx1jnw5uP6dmYk3FJaD27EjBTLiHa/QAfAVull5wtddhbVlDqgXkZznKwCiCq9IJ+Q855TK/tsxrOgqLqV4GQkoqM/NPR0LOFt/QPLKkG/Z7g9y0gv+P+CNRfe87/jeTE7XPT8ePv114GwlVwyPqqJMBzmAuWg1yw7OeCZS8XLLu5YNnJBc'"</definedName>
    <definedName name="_AMO_SingleValue_472893794_TaskState.4" hidden="1">"'t2Lli2csGymQuWbDjcIxNxGLxeMpnHH/FIzp2nD10dvx4sk4K65N6sF+BxfkZpG2wDPe6BurMRsA+ArdnRwxNzKqNhOaLY8UUjq6eVBo9Ohmmlxnf7gLM4IpJ6cceOzrnMG0Yc64THaOkj1uS8hHOQZ3xbx7ML+oT20UgocziuJp59nhvLNXRzhhhjXjznsPdjHCeJJSsu4o62U8cKrvHpcMwtfda0QAuN4qIY2zxFDTbRn93MbQsXPBOSF'"</definedName>
    <definedName name="_AMO_SingleValue_472893794_TaskState.5" hidden="1">"'M/i7MDJpc641CNgg7Uv/YEaJ3DK+XMTNa/Tgq1/5FxF5ilyfGPIMo60zFjnucVQMqfz8hPGh7uEt/94waMvr2fZ7u0sgxC5zgP3RBWO8b8ynF/3fh1l6wXPQU1gcucc57ju2Ph/xp5fySyzt/+LtCqL1uWN81Kro4fkflvpoobryWw0tljP3UCvG+dv48a/omOWBr5rS+DR0/Xsqm5ueKykU3DMGUS9KHu4YpuYtx8/QyurAdMxtSHFFT41'"</definedName>
    <definedName name="_AMO_SingleValue_472893794_TaskState.6" hidden="1">"'yLxaNuBoP8/MI7wHj6abVHdJ5jgUtJqTSDcPokq5+yl1z7+Ooc+RRQ3ngtMBS67yXAGzEYAl/YqSJCX0dSXRq0n6jEnNTN3PRoPFlZDh1HMn63xZ3LqE8rnYXBI+tpaEj+0l4WNnSfjYXRI+9paEj/0l4eNgSfg4XBI+1PqKRXNSTdWLha2e8PbiD9zbZi//7IvLP4HLPxBpyF55TGo02t9re9c9OLA3rpGN8FnX9ZDx02hJ3XRqsXO2Sgd'"</definedName>
    <definedName name="_AMO_SingleValue_472893794_TaskState.7" hidden="1">"'ZKEXFK7rkec80d3Ec4W7DhqzjaGeSoh3DedR6Gd1SslnUNaieoIyxKWNTi7GpTWNVxqpyt6otY1XGqnK3qm1jVcaqcreqHWNVxqpyt6pdY1XGqnK3qj1jVcaqcreqfWNVxqpyt6oDY1XGqnK3qkNjVcaqFjAKumHsythVoF3FQcbPIjpzl8nW9dTt9dot5nl51/YE7TFSxox02B4rZfAiLONHadSb5N/hppw1AkG7IZRjG0E7JJjVCu63lY'"</definedName>
    <definedName name="_AMO_SingleValue_472893794_TaskState.8" hidden="1">"'J7PccLzdvz1anPOrNCtZJf35eNVpwfLqcHzCZLO5b/sDW0Ye/kOHxcUI/fnOy7sPjX//fZC3tLVpgjWbbieV9eekz3HW9b0rm8ovhdMeTODWJ/kHzXcbvfGM2+fv8TrtT+JAKfWP97p+EM211jcau4/dD+94+qGW1y0dG89GUi5hPvcp4Yr2a8WsleTY/EjH8z/i27fxPv+RxBohOcfcDnwvg44+NK93FBebfxc8bP5eHnGrwnh/Fxxscti'"</definedName>
    <definedName name="_AMO_SingleValue_472893794_TaskState.9" hidden="1">"'4+TY5zGvxn/Ns+sUx0tsE7nJN7iPjNRnPFwc3s4HUv4jiE9lB+R2B9Ejm9LyZ1338Pb8uq2uBu0tSt4shbJfRNapsWZFld6TKHPSSWPKn721l38bLvaFeaI/qRlm1cvdj57FWYt042Eues2iU/X95JzrD6Z//b75Oy+OIr3OO+ZzmuGU0rnhS5J/jfSg2uHnVNX/rAaO7BVU+pxFXyc+P0R2SMU5feS9knp5NN92qpKWdUkCq79OscOU9wb'"</definedName>
    <definedName name="_AMO_SingleValue_539372770_TaskState" hidden="1">"'Partitions:11'"</definedName>
    <definedName name="_AMO_SingleValue_539372770_TaskState.0" hidden="1">"'SASUNICODE7V1Zb+JIEK7nlfY/oKw0D6PZkJBbO4cI5BgNQ1ggGe0TYgjZQcuRAZOZaLX/fb+udvsCG9sY20EtBNjd1XV0f66uPmy/pQ/0k0Y0pAI9UZ+mNKMBTWhM72iH9mmX9vBfQM6Yeki/R+6Y/ubcORn0QL/TKY4/0Hv6lX6ht9SmLnj8gzJjHI1QUtC2QD3CpwsJz8gTVF8htQ/aHUu2oDyEzAOWq2QLfiOTSxnfXbqgK/wqSTMcV'"</definedName>
    <definedName name="_AMO_SingleValue_539372770_TaskState.1" hidden="1">"'5lTDzwG4NunNyh357HnCHT74LlncRdUFWg2hCVz0Apdx/gVlk3BfcgUDZwLXQfg/wm5z5A8gdw+cxXSjlAHfdRFD5p/pTP8HlIJss5wtmPVzB1bP7Asr4DLkI96kCe19NaagTMDZx1YXuXjrslnFsDZzaXHtn1nm2R9CnvrnCfOezif8ZmSMENJw9RPtNuY6Yoh5U1R7kcqkpos6YnlzJGWhkzDShdtZvBRunLHXDoNmY98TTyliB23xP0M'"</definedName>
    <definedName name="_AMO_SingleValue_539372770_TaskState.10" hidden="1">"'POGnDPVc8aZCx2eOsAvQTvKTLRD2XVa7OHMi2yDnGK9N8llyM7P+1NsDor8zaxc1NKShOc6XbwDzev14Fnnjmfg6ezktalxaEk36tU/R4vee/gc='"</definedName>
    <definedName name="_AMO_SingleValue_539372770_TaskState.2" hidden="1">"'ZJYykHmQgczDDGQeZSDzOAOZJxnIPM1A5lkmPmEvJamiV+7RN6SJiCctL/8NJefgIqTem9HRpqV+R3whvmlbq+RmU9fPyOuYv1nK3pT1xVARp6JucNz2yDGzAc2iRaeqtDMq9XKUMf9npLn52Ok7nCOt3OWPe9zgHTXYIwNJ7R0FCBqDSwhdR/gK2iK95qi+y3VdQKkB6zK2xgoFUBTpFf2GsVGV/jCPyjhaFv29WUoppcgINZoMb1T7jv6'"</definedName>
    <definedName name="_AMO_SingleValue_539372770_TaskState.3" hidden="1">"'lGnLOMe6p4ewVrpk5aAwuZR//F6iJEyfR9Fn0v6+X0hXwke0VXmN/TgVuO683DM+5EMKWs62x5HRrLDnZGkuOt8aSo62x5HBrLDnYGktKW2PJ/tZY8nLtcM52vgQr3DG7N2Y+x9mEZ+edEbOiqrMVfY53e9a88EfQls2oXcyrq/GCkCSjSjnSnFpzpv7y6zw77ie/zKlD0IkocmZqUOMYuc/jFftYjmEmXD/h5d/gWI0+aizDiK2LvwZKul'"</definedName>
    <definedName name="_AMO_SingleValue_539372770_TaskState.4" hidden="1">"'PaLHC05KR061NBXo1uMZ6ph7TZn1cTeV/W5tJA3VwBh+vyuQayqvhchLasGKFGi6HaPh5ObRQ08O1Cet8c/RgpIjRIi3SweYkWbML3tdfGgvBt4fmkh4Ngf3mN0vdIU2P/a3y7nDIN9A/JtL+SWsb51JrrSRcBdVy9SbS/8HJ1/JZziIFgX6Baoc09cDflXmqZ9LRa/oZbf92Wv4IHKYNTlTqw4gbfMmx+WRiwaz/JWKXFdHJ/RBS5Yesuz'"</definedName>
    <definedName name="_AMO_SingleValue_539372770_TaskState.5" hidden="1">"'Aytom5yXtQ9BqqUcxZXpS2uvIvUO7R+kzUdseUqBhU0e0u4RN8DEaaEdydE8P6HIXNS8+oP1rywOBM2XLpS4s78r1pJz16L/ZzoUcqJHgc50eMwJ3oc5USP45zocZITPU5zosdZTvRQOwI2rUkxUi/mtw7s7sUH3NvGL/+8EJffQss/EWnIXvnRmila7LXdq7Y2bZvCrL/u+sy4BFvqlFNeuXqr6iCOpKB4xWt50mvOPXzOkVo3KSv4dGJZ'"</definedName>
    <definedName name="_AMO_SingleValue_539372770_TaskState.6" hidden="1">"'0VmhedBqvxcp8RDVgNQLlNGY0pjaDKb2Nao0qhJHVUmjSqMqcVQdaFRpVCWOqkONKo2qxFF1pFGlUZU4qo41qjSqEkfViUaVRlXiqDrVqNKoShxVZxpVGlUbmAXd07jSuFqKq1WUq1cR7bXLcPt6KuYOzxbrnN+9PcueipHFirTfU0Gy0EUg40dm0pu0+EyWbFpk2Z30eo+A866C5X2Nfe2v299UaMh1NvOtleR6nHiyVnm/bPqdeLZ0Vur'"</definedName>
    <definedName name="_AMO_SingleValue_539372770_TaskState.7" hidden="1">"'vt3P1is/nSPHuJlF61KjP9xINHVyUPU38TvEvrq6BefXYJQuskSxbcN37JP2UM8V9LXm1vKFVu6xbyBO056BOdve08x6qGdsifUy0vdO3OHtgHUfMT+y6vffwfCC5Kzy9vdOL1DYebJp4mNx0DC19mYi0xD1XF9qraa+WsVfzxj/av2n/Ft+/ibtrzmHRBY4+4lvTPk77uMx93LLRrvZz2s8l4efqfO+89nHax+XFx8mZRe3ftH9bx79dw7'"</definedName>
    <definedName name="_AMO_SingleValue_539372770_TaskState.8" hidden="1">"'ZbfoK5uHe6pT2c9nCZezjvDHl4H+f/nI0+dJ2QeKqGnEuXtWzf3e7vN/J0dae/4qaeDHFOf1He1tbSXdN6CWso0cblzrYN49PVmy1aqLNPLj8ezn8v+uT4vjhI91XeM5rXDJKUl1XzosPH+5ersFc1kDZiuvtQV6zzSRyiJncC+TVY/96CP9lMG3TM3SlFly8OZ6Uq0ba8SLS6sMs5sW2ntgL42DFBwcOnwNr3uRd9COyZwkm65B7RQNqE9'"</definedName>
    <definedName name="_AMO_SingleValue_539372770_TaskState.9" hidden="1">"'Y4iobiibuwef9GDhq3FGxJvtam64gcnN3fJCVPvmDHFV+BD2fAFnJrwSnaeuvqdOSOkT00dpK/0j9VsX1qCngc4szncgWbxqThTs67ra0m4N+1vg/rRtFvW0iP/NvgamZmjEDkC8o+9xPuAnh08qvymImfMaY9svK3vbgm/9E0hQzwvMiwu/J4r6UVJDdeDaJcqlbn2F9EiKZqk3gU1Z49la+vWYuZBVTjMuK+3Ze0tbH+0sO7fJsHPWhJt'"</definedName>
    <definedName name="_AMO_SingleValue_572615156_TaskState" hidden="1">"'Partitions:11'"</definedName>
    <definedName name="_AMO_SingleValue_572615156_TaskState.0" hidden="1">"'SASUNICODE7V1bb+I4FD7PK+1/QKw0D6NZKL1XOxdR6GU0DGWBdrRPFaV0By2XLoTOVqv97/v5OM4NEpKQJimyEJDYx+difz4+tnN5T5/oHxrTiAr0RAOa0ZyGNKUJfaAiVahEO/gvIGdCfaTfI3dCf3Luggx6oF/pGMef6CP9TD/Re+pSDzz+QpkJjsYoKWg7oB7j04OEZ+QJqjtIHYC2aMkWlPuQucdylWzBb2xyqeJbojO6wK+SNMdxn'"</definedName>
    <definedName name="_AMO_SingleValue_572615156_TaskState.1" hidden="1">"'Tn1wWMIvgN6h3I3HnsOQFcBzx2Lu6CqQbMRLFmAVug6wa+wbAbuI6Zo4VzoOgT/L8h9huQp5A6Yq5B2gDoYoC760PyOTvC7T7uQdYKzolUzN2z90LK8Bi4jPupDntTSW2sGzgyc3cLyOh/3TD7zAM5uLn227W+2SdansLfJeeK8j/M5nykJc5Q0TP1Eu02YrhxS3gzlfqQiqc2SnljOAmlpyDSsdNFmBh+lK3fCpdOQ+ch94ilF7LglVjKQ'"</definedName>
    <definedName name="_AMO_SingleValue_572615156_TaskState.10" hidden="1">"'0WyQc0bXJfnkuLlZc+oNBdHfllRCDY1oZM7q5bufvD4+nkXe6CW+zl5Oyxrvrogd/dqnbPH7SP8D'"</definedName>
    <definedName name="_AMO_SingleValue_572615156_TaskState.2" hidden="1">"'uZuBzL0MZO5nIPMgA5mHGcg8ykDmcQYyTzLxCTspSRWjcp++I01EPGl5+e8ouQAXIfXejI42l1oOFX0o6haP4Y8cPxmId6JFKqq0M0LxcpTx31ekufnY6UXOkVaW+OOOIb0RpB0lSmpvRChoDC4hdB3jK2jL9JYjvB63cAGlhqzLxIobC6Ao0xv6BXFynX4zj6o4WhUJvFtJKaXIaCWaDG+E84H+pQZyThEDN3D2Br1iARqDS9nH/wVq4sR'"</definedName>
    <definedName name="_AMO_SingleValue_572615156_TaskState.3" hidden="1">"'JNH2W++LblXQFfGR7hdfYn1OB287bM8JzLoSw5WRrLDneGkuOtsaSw62x5GBrLNnfGkv2tsaS3a2xpLI1lrxeO5wrX6/BCnfM7o2ZT3E25ZVaZ8SsqJpsxYDj3b61RvgZtFUzahdrrGq+INdcRVQpZx0za/3MX36TV0r95Fc5dQQ6EUXOTQ0aHCMPeL5iH8s5zJTrJ7z8Kxyr2UeDZRixdfHXQEl3SpsHzpaclG59ashr0DXmM82QNvvzai'"</definedName>
    <definedName name="_AMO_SingleValue_572615156_TaskState.4" hidden="1">"'Pv28ZcWqibC+BwUz6XQFYdn7PQlpUj1Gg5VNvHw6mNgha+PUgfmLMfI0WEBmmRDjbP0YJt+L7uxlgQvi08n/RwEOwvL1H6Hmlq7n+Jb49TZoH+IZn2V1KrOJ9ZK0zpIqCJ3ptE+wsv18RvNYcYCPYFqhW6PAL3Uh6lVklPq+WvuPU3bfkLeJAqONXpFlZc4VuFza8LA3btJxmrdJhO7pVHkRu27sKs0CrqNudF3W9WpZyruCpteRdWpN6g9'"</definedName>
    <definedName name="_AMO_SingleValue_572615156_TaskState.5" hidden="1">"'dus6ZgtVzGooNlZwSX6fniYEt5d8eC98BFzUuvqD9a6sDgTNpy7UuKu9q/bVc1ei0pO9NjNiR57OdFjPyd6HOREj8Oc6HGUEz2Oc6LHSU70ULvDL61JOdIo5rf36x7Fhzzaxi//vBSXX0PL3xFpyFH50VopWh613bu2Nm2Xwuy/lnxWXIItdcqprt29VXUQR1JQvOK1POk95z4+p0htmpQ1fG5jWXG7RvOg3X4vUuIhqgWpZyijMaUx9TKY'"</definedName>
    <definedName name="_AMO_SingleValue_572615156_TaskState.6" hidden="1">"'qmhUaVQljqpdjSqNqsRRtadRpVGVOKr2Nao0qhJH1YFGlUZV4qg61KjSqEocVUcaVRpViaPqWKNKoypxVJ1oVGlUvcAq6I7GlcbVSlyto1y/i2jvXYa7rqdmXuHZYZ3ze23PqickZLEj7feEiCx0Ecj4kZn0Ni0/nyObFll1V7W+RsB5V8Hqscbu+5uONzUacZ3NfWsluREnnqx13i+bcSeeLbdr9fe7cvWCzxdI8V5NovRo0IDvJRo5uCh'"</definedName>
    <definedName name="_AMO_SingleValue_572615156_TaskState.7" hidden="1">"'72vid4V/0rqHZe+ySBdZIli247n2SfsqZ4u5LXi2vaN1V1h3kCdpTUCd79bTzHqo52yJ9TLRrp69x9sA6jpmfuOr23sPzgeRV4eldO71MbePBpomHyZeOoaUvE5GWuOfqTHs17dUy9mre+Ef7N+3f4vs3cXfNKSw6w9FnfBvax2kfl7mPWzXb1X5O+7kk/FyT753XPk77uLz4OLmyqP2b9m+b+LdL2HbNT7MW9053tIfTHi5zD+ddIQ/v4/'"</definedName>
    <definedName name="_AMO_SingleValue_572615156_TaskState.8" hidden="1">"'yfszGArlMST9WQa+mylu272/39Rp56d/o7burJEKf0B+Vtby3dPa3XsIcSbV7ubNswPl295aCDOvvi8uPh/PeyT47vi4N0X+c9o3nNIEl52TUvO3y8f7kae1UDaWOmuw/VY51P4hA1WQzk12L9+0v+5GXa4Na8OqXs8sXhrFQlupYXiVYXdjkntu3UTgAfOyYoePgUWPsBj6IPgSNTOEnnPCIaSJuy3lEklNfUjT3iL3vQsLV4ReINJ3VX/'"</definedName>
    <definedName name="_AMO_SingleValue_572615156_TaskState.9" hidden="1">"'ODk5i45ZeqiGVPcAR/Khm/g1IZXsvNU73fmjJE+M3WQvtI/VrN9acVR9ga5y8/DmZm13IzJ+960uQu6R9NWWTOP/NvifjE3Zx5y1uMfb4n3wTw7eNT5TTXOONOezXhb3F37fukvhQbxjMiwWPB7lqQXGQ30AdEidapyvS8jRFK0Sb0LaMFeytbWrcXcg6R1OHH3rlUtLax+tJDt3xrBT1YSrTvlZwr1XdGlwsVXjqcL0E7yk3Uf9i1GJZw5'"</definedName>
    <definedName name="_AMO_SingleValue_576762798_TaskState" hidden="1">"'Partitions:13'"</definedName>
    <definedName name="_AMO_SingleValue_576762798_TaskState.0" hidden="1">"'SASUNICODE7V1Zb9tGEJ7nAv0PggvkIUgt3wdyQZavILbsSo6DPgmKLCdGdUWUnRpF/3u/neWK5PKmKFJKF4Qocjk7187Ozh5cvqH39DcNqE8VeqIeTciiBxrRkN7SGm3SOm3gv4InQ+oi/Q5Ph/SVnz7SlO7pdzrA9Xt6R7/SL/SGbqgDHH8hzxBXA+QUsC1AD3B0QOEZzwTUF1DtAXZtRltA7oDmNtNVtAW+gY2lht86ndAZzoqShetjx'"</definedName>
    <definedName name="_AMO_SingleValue_576762798_TaskState.1" hidden="1">"'tQFjgfg7dEr5LvV5NkF3CZwbsywC6g6OOtDkkfACl6HOAvJJsDeZ4hr3AteH4D/I54+g/IIdHuMVVDbhQ560EUXnH+hQ5x3aAu0DnG3NtPMLUv/MJO8Dix9vuqCnuRS19oUd1PctSH5MV93bDxWBGYvli7L9p1lkvoU8jb4mbjv4t7iO0XBQs6pzZ8otyHDVRPSmyDfj0IoNZnSE9N5RFoRNKezdFFmU74qlu6QcxdBc8x14qlA2/FS3CyB'"</definedName>
    <definedName name="_AMO_SingleValue_576762798_TaskState.10" hidden="1">"'AcPdJeLcvdeU8Bdrkfiu2Qq7Po0vxtO07fWX1Tl48rZy7dnoihizWAR+uVt4Hph1P+F8iaHNx5TP89NRpeBgzQuj2FnbO96THw1d73lqJK0dh9OuJq6VTguoYrt0ddfJ521PVWorAo/TU6toeCrMvWxT7yO9VjJKp9yqTpE2Yr7TUKjG6Mbph/nj2qRavOLae+zp1bmxeXPKur5m9/S+wO6VDJ+BqYlY0XmmYjL3kwHSJzYPMoIN70E7Ee4'"</definedName>
    <definedName name="_AMO_SingleValue_576762798_TaskState.11" hidden="1">"'2+Nx25b8FhH+Xwomt6cYc+O9s2W8AO7Zllhoa8/ma64Flj8TKUeDw3rAThSktt7RRAMdT6CXvLYUkZeP283L04ZFrYcOnKcHfk52nxr8xjnxKVaTe4BA7zY5d+ta5S1OSSXHGlZ7CIHJJe4jW+qLqnGglkta4sO806CV1AU8jbP6YamzZ/hKTEE1SX5F9ZJ/vcOvlwtJKNm1tDCoLIfd45kGy6b3JtWfEu2l2yd3vUPXukjoszxcbn2PnSb'"</definedName>
    <definedName name="_AMO_SingleValue_576762798_TaskState.12" hidden="1">"'6Au447t8dwxiAszil3UrZs3amv26X/0u46NCRklPVRfjdYb0uzSaT33bPzrGPyc7wVEMmHlU91hu8d/Qc='"</definedName>
    <definedName name="_AMO_SingleValue_576762798_TaskState.2" hidden="1">"'5lYJNLdLoLlTAs3dEmjulUBzvwSaByXQPCzFJ2wURFW0yl36hjQR8RTl5b8h5yOwCKp3dnQ0P9VqouhDQV9zGz7m+GmKeCddpKJyuyMUHeMR7kYcdbqxHOFJk9N7wDhiWIFP5Lrn+8Esfc0VcU649VcxYBPnCf4rHKM9M2YF49XKKWvWisnrQOk6DZMqTOorXCv9XeDfwp2ux28c01xwOfWYriOpO78VWYJuSC+FM+QYAbeQSchjMRXx5D5'"</definedName>
    <definedName name="_AMO_SingleValue_576762798_TaskState.3" hidden="1">"'EznBcDfva0jBNA7VdTcG/X7dBuktnXcpyrnC+Y9gal3mPa5rs16yiVcm+1CXSvPI66Wv8RHqMdT68/TG9N+b0uCS03rsSMFPOIer9AD8BW6WX3FvqsLesINcD8zKc9cEqgKjSC/oNfc5jem1f1XAVFFW/CoSUVGTkn46G3lt4S//AkmrQ7wn+3wLyO9JHoP7ac/1vJCdun5uOH3+79jIQroJDllclAZ7DXLAc5IJlPxcse7lg2c0Fy04uWL'"</definedName>
    <definedName name="_AMO_SingleValue_576762798_TaskState.4" hidden="1">"'ZzwbKVC5bNXLBkw+EemYjD4PWSyTz+iEdy7jxt6Or49WCZFNQlt2a9AI/zM0rbYBvocQvUnY2AfQBszY4enphTGQ3LEcWOLxpZPa00eHQyTCs1Tu0DzuKISOrFHTs617LfMOJYJzxGSx+xJuclnIM849s6nl3QJ9SPRkKZw3E18ezz3FiuoZszxBjz4jmHvR/jOEksWXERd7SdOlZwjV+HY27ps6YFWmgUF8XY5ilKsIn27GZuW7jgmZCke'"</definedName>
    <definedName name="_AMO_SingleValue_576762798_TaskState.5" hidden="1">"'BZnB05f6oxzPQI2WPvSH6hxAiefv2+i5nVasPWP3FeR/RQ5vjFkGUdaz1jnucVQsk/n5SeMD3cOb/vxgkdfXs96u7ezHoTo6zxwS1ThGP8rw/l179dRtlbwHNQEJnef4xz3HRv/z9jyK5ll7+3/Iq3qRevyxnmp1dFDcr+tdFHD/WQ2Glus526g1Y3zt3HjX9ExSwPn2hJ49HQtuyqbGx4r6RQccwZRL8oertgm5m3Hz1DLasB0TG1IcYVf'"</definedName>
    <definedName name="_AMO_SingleValue_576762798_TaskState.6" hidden="1">"'DTKvlg042s+z5xHegkfTTaq7JHMcClrNSaSbB1G53O2USvOvY+hzZFHDteB0wJKrfq6A2QjAkn5FSZIc+rqS6NUkfcakZqbuZ6PB4k7IcOpJyTpfFrcuoXwuNpeEj60l4WN7SfjYWRI+dpeEj70l4WN/Sfg4WBI+DpeED7W+YtGcVFO1YmGrJ7yt+AO3ttnzP/vi8k/g8g9EGrJVHpMajfa32t51Dw7sjWtkI3zWdT1k/DRaUjedWuycrdJ'"</definedName>
    <definedName name="_AMO_SingleValue_576762798_TaskState.7" hidden="1">"'BFkpR8Youed4zzV0cR0ht2JB1HO1MUrRjOI9aL6NbSjaLugbVE+QxNmVsajE2tWmsylhV7la1ZazKWFXuVrVtrMpYVe5WtWOsylhV7la1a6zKWFXuVrVnrMpYVe5WtW+sylhV7lZ1YKzKWFXuVnVorMpY1QJGQTeMXRm7CrSrOMj4WURn7jLZup66vV67xTwv79qeoD1GypiRDttjpQxehGX8KI16k/w73JSzRiBoN4RybCNohwSzWsH9tl'"</definedName>
    <definedName name="_AMO_SingleValue_576762798_TaskState.8" hidden="1">"'Jwq+d4oXlbvjr1WWdWqFbya/uy0Yrzw+W0gNlkacfyH7aGNuydHIePC+rxm5N9Fxb/+v8+e2FvzgpzJPNWPO/LS4/pTvHWJZ3LK4rfFUPu3CD2B8l3Hbf7jdHs6/c/4U7tTyLwifW/dxrOsN01FreK2w/tf/+omtEmFx3NS18mYj7xLueJ8WrGq5Xs1fRIzPg349+y+zfxns8RJDrB1Qf8LoyPMz6udB8X1O82fs74uTz8XIP35DA+zvi4Z'"</definedName>
    <definedName name="_AMO_SingleValue_576762798_TaskState.9" hidden="1">"'fFxcozT+Dfj3+aZdaqjBtbpnMRb3GcmijMebm4Pp2MJ3zGkh/wjEvuDyPFtKbnz7nt4XV7dGneDunYFT9YiuW9Cy9Q4U+NKjyn0OankUcXPXruLn21Xu8Ic0Z+0bPPqxc5nr8KsZbqRMHfZJvHp+l5yjtUn899+n5zdF0fxHuc903nNcErpvNAlyW8jPbh22Dl19R9WYwe2ako9roKPE/8/IluEovxe0jYpnXy6T1tVKauaRMGlX+fYYYq0'"</definedName>
    <definedName name="_AMO_SingleValue_576788546_TaskState" hidden="1">"'Partitions:11'"</definedName>
    <definedName name="_AMO_SingleValue_576788546_TaskState.0" hidden="1">"'SASUNICODE7V1Zb+JIEK7nlfY/oKw0D6PZkJBbO4cI5BgNQ1ggGe0TYgjZQcuRAZOZaLX/fb+udvsCG9sY20EtBNjd1XV0f66uPmy/pQ/0k0Y0pAI9UZ+mNKMBTWhM72iH9mmX9vBfQM6Yeki/R+6Y/ubcORn0QL/TKY4/0Hv6lX6ht9SmLnj8gzJjHI1QUtC2QD3CpwsJz8gTVF8htQ/aHUu2oDyEzAOWq2QLfiOTSxnfXbqgK/wqSTMcV'"</definedName>
    <definedName name="_AMO_SingleValue_576788546_TaskState.1" hidden="1">"'5lTDzwG4NunNyh357HnCHT74LlncRdUFWg2hCVz0Apdx/gVlk3BfcgUDZwLXQfg/wm5z5A8gdw+cxXSjlAHfdRFD5p/pTP8HlIJss5wtmPVzB1bP7Asr4DLkI96kCe19NaagTMDZx1YXuXjrslnFsDZzaXHtn1nm2R9CnvrnCfOezif8ZmSMENJw9RPtNuY6Yoh5U1R7kcqkpos6YnlzJGWhkzDShdtZvBRunLHXDoNmY98TTyliB23xP0M'"</definedName>
    <definedName name="_AMO_SingleValue_576788546_TaskState.10" hidden="1">"'/HyhnivSVNj4zLF1AdpJfrL+w77FahdnTlQb5BzdtUk+RW5m1p56b0D0t2XtooaGNDRH+PLdX15/H88ibyQTX2cvp0WNS0viSL/2KVr83tP/'"</definedName>
    <definedName name="_AMO_SingleValue_576788546_TaskState.2" hidden="1">"'ZJYykHmQgczDDGQeZSDzOAOZJxnIPM1A5lkmPmEvJamiV+7RN6SJiCctL/8NJefgIqTem9HRpqV+R3whvmlbq+RmU9fPyOuYv1nK3pT1xVARp6JucNz2yDGzAc2iRaeqtDMq9XKUMf9npLn52Ok7nCOt3OWPe9zgHTXYIwNJ7R0FCBqDSwhdR/gK2iK95qi+y3VdQKkB6zK2xgoFUBTpFf2GsVGV/jCPyjhaFv29WUoppcgINZoMb1T7jv6'"</definedName>
    <definedName name="_AMO_SingleValue_576788546_TaskState.3" hidden="1">"'lGnLOMe6p4ewVrpk5aAwuZR//F6iJEyfR9Fn0v6+X0hXwke0VXmN/TgVuO683DM+5EMKWs62x5HRrLDnZGkuOt8aSo62x5HBrLDnYGktKW2PJ/tZY8nLtcM52vgQr3DG7N2Y+x9mEZ+edEbOiqrMVfY53e9a88EfQls2oXcyrq/GCkCSjSjnSnFpzpv7y6zw77ie/zKlD0IkocmZqUOMYuc/jFftYjmEmXD/h5d/gWI0+aizDiK2LvwZKul'"</definedName>
    <definedName name="_AMO_SingleValue_576788546_TaskState.4" hidden="1">"'PaLHC05KR061NBXo1uMZ6ph7TZn1cTeV/W5tJA3VwBh+vyuQayqvhchLasGKFGi6HaPh5ObRQ08O1Cet8c/RgpIjRIi3SweYkWbML3tdfGgvBt4fmkh4Ngf3mN0vdIU2P/a3y7nDIN9A/JtL+SWsb51JrrSRcBdVy9SbS/8HJ1/JZziIFgX6Baoc09cDflXmqZ9LRa/oZbf92Wv4IHKYNTlTqw4gbfMmx+WRiwaz/JWKXFdHJ/RBS5Yesuz'"</definedName>
    <definedName name="_AMO_SingleValue_576788546_TaskState.5" hidden="1">"'Aytom5yXtQ9BqqUcxZXpS2uvIvUO7R+kzUdseUqBhU0e0u4RN8DEaaEdydE8P6HIXNS8+oP1rywOBM2XLpS4s78r1pJz16L/ZzoUcqJHgc50eMwJ3oc5USP45zocZITPU5zosdZTvRQOwI2rUkxUi/mtw7s7sUH3NvGL/+8EJffQss/EWnIXvnRmila7LXdq7Y2bZvCrL/u+sy4BFvqlFNeuXqr6iCOpKB4xWt50mvOPXzOkVo3KSv4dGJZ'"</definedName>
    <definedName name="_AMO_SingleValue_576788546_TaskState.6" hidden="1">"'0VmhedBqvxcp8RDVgNQLlNGY0pjaDKb2Nao0qhJHVUmjSqMqcVQdaFRpVCWOqkONKo2qxFF1pFGlUZU4qo41qjSqEkfViUaVRlXiqDrVqNKoShxVZxpVGlUbmAXd07jSuFqKq1WUq1cR7bXLcPt6KuYOzxbrnN+9PcueipHFirTfU0Gy0EUg40dm0pu0+EyWbFpk2Z30eo+A866C5X2Nfe2v299UaMh1NvOtleR6nHiyVnm/bPqdeLZ0Vur'"</definedName>
    <definedName name="_AMO_SingleValue_576788546_TaskState.7" hidden="1">"'vt3P1is/nSPHuJlF61KjP9xINHVyUPU38TvEvrq6BefXYJQuskSxbcN37JP2UM8V9LXm1vKFVu6xbyBO056BOdve08x6qGdsifUy0vdO3OHtgHUfMT+y6vffwfCC5Kzy9vdOL1DYebJp4mNx0DC19mYi0xD1XF9qraa+WsVfzxj/av2n/Ft+/ibtrzmHRBY4+4lvTPk77uMx93LLRrvZz2s8l4efqfO+89nHax+XFx8mZRe3ftH9bx79dw7'"</definedName>
    <definedName name="_AMO_SingleValue_576788546_TaskState.8" hidden="1">"'ZbfoK5uHe6pT2c9nCZezjvDHl4H+f/nI0+dJ2QeKqGnEuXtWzf3e7vN/J0dae/4qaeDHFOf1He1tbSXdN6CWso0cblzrYN49PVmy1aqLNPLj8ezn8v+uT4vjhI91XeM5rXDJKUl1XzosPH+5ersFc1kDZiuvtQV6zzSRyiJncC+TVY/96CP9lMG3TM3SlFly8OZ6Uq0ba8SLS6sMs5sW2ntgL42DFBwcOnwNr3uRd9COyZwkm65B7RQNqE9'"</definedName>
    <definedName name="_AMO_SingleValue_576788546_TaskState.9" hidden="1">"'Y4iobiibuwef9GDhq3FGxJvtam64gcnN3fJCVPvmDHFV+BD2fAFnJrwSnaeuvqdOSOkT00dpK/0j9VsX1qCniVH+TtQLD4TZ2rWdH0N/vem7W3QPpo2yxp65N8GXx8zcwQiRz/+cZd4F9Czg0eV31LkjDftUY235d2t4Je+KVSIZ0WGxYTfMyW9CKnhWhCtUqUy1/0iUiRFk9R7oObsrWxt3VrMPIgKgxf3lbastYXljxbK/Vsk+ClLooUn'"</definedName>
    <definedName name="_AMO_SingleValue_587946619_TaskState" hidden="1">"'Partitions:13'"</definedName>
    <definedName name="_AMO_SingleValue_587946619_TaskState.0" hidden="1">"'SASUNICODE7V1Zb9s4EObzAvsfjCzQh6Ib5z7QC45zFU2crJ2m2CfDcZzWWF+1nGSDxf73/TgURYm6ZVmyu4RgWaKGc3E4HB6i3rGP7G82ZANWYU+sx6bMYn02ZiP2nq2xTbbONvBfwZMR6yL9Hk9H7Bs9fWQz9sB+Zwe4/sg+sF/ZL+wdu2Ed4PgLeUa4GiInh20BeoijAwoveMah7kC1B9g1hzaH3AHNbaIraXN8QxtLDb91dsLOcJaUL'"</definedName>
    <definedName name="_AMO_SingleValue_587946619_TaskState.1" hidden="1">"'FwfE6YucPSBt8feIN+tJs8u4DaBc8PBzqHq4GwASR4By3kd4cwlmwL7gCCucc957QP/Zzx9AeUx6PYIK6e2Cx30oIsuOL9jhzjvsC3QOsTdmqOZW5K+70heB5YBXXVBT3Cpa22Guxnu2pD8mK47Nh4rArMXS5dk+0EyCX1yeRv0jN93cW/RnaRgIefM5o+X24jgqgnpTZHvuRBKTaL0RHQekVYEzZmTzstsRlfF0h1R7iJoTqhOPBVoO16K'"</definedName>
    <definedName name="_AMO_SingleValue_587946619_TaskState.10" hidden="1">"'kDYkuPtEnLv3muL+Yi0S3zVZYden8cV4mra9/rI6B0/eVq7tjK7wMYtF4Be7heeBWfcT6ksMbTpmdJ6fjiwFhTUvjHxnbe94T340dL3nqZG0dhxOu5q4VqoWUMZ26equyudtT2VqKwKP6qlVNDwV4l60qQ+RXisZpVNqVWdIGxPfaShUY3Sj+mH+uDapFq+o9h57enVubN6coq6v2T29O9i9lOErMDURK6pnMiZzPxkifWrzICLY8B60inC'"</definedName>
    <definedName name="_AMO_SingleValue_587946619_TaskState.11" hidden="1">"'3wecWrhWGW8D49ymc2rpuzEXh3pb/BtATW26hpQmdr6kuWPZorBgJDu8Rq0hMarqljQQob6GXvrckkpSP29eLEYhHqokNn644f092nhr9JjjyKVmeeoOD7zY7cWlc5y5NWSbFGVd6EgPPJSwiWuuLqne8pUha68K+1aCX1AW8Dbf6Y1Yj2/aXmIBoMvkl2Ufy+4pbLxeWVrLpa2RQaXDJJ44fyab5JtWfMe2p2WXu3oeseZesQxLd2fiUpS'"</definedName>
    <definedName name="_AMO_SingleValue_587946619_TaskState.12" hidden="1">"'f5Du467txeQ41EWJRT7Kds2dqT37hL/73ddWiIyyhqpPh6sN6iZpNI78Fn51nH5Od4KyCeDyufqoPvA/sP'"</definedName>
    <definedName name="_AMO_SingleValue_587946619_TaskState.2" hidden="1">"'myXQ3CqB5nYJNHdKoLlbAs29Emjul0DzoASah6X4hI2CqPJWucu+I41HPEV5+e/I+QgsnOq9HR3NT7WaKPqQ0NfUhk8ofpoh3kkXqcjc7ghFx3iEuzFFnW4sR3jSpPQeMI4JluPjuR7ofuikr7kizim1/jIGbOI8xX+FYrQXwixhvFo5Jc1aMXkVlK7TMKnCpL7CtdTfBf4t3Ol6/E4xzQWVU4/oKknd+a3IEnRDeimcIccYuLlMXB6LqPA'"</definedName>
    <definedName name="_AMO_SingleValue_587946619_TaskState.3" hidden="1">"'nDyFyhuNq2NeWhmkWqO1qCv79ug3SXTrrkpZzhfM9wdaozHtU00S/ZhWtSvSlLpHmlVelr9ET4THW6fD2x/TemOpxCWi9d8VhZpSD1/shfhy2yl5Tb6lD3rKCXH3iZeT0wSqAqLJX7Df0OY/ZW/uqhqugqPpNIKSgIiL/dDT03sJ79g8sqQb9nuD/PSB/IH0M6m891/9GcuL2uen48bdrrwPhKjhEeVUS4DnMBctBLlj2c8GylwuW3Vyw7O'"</definedName>
    <definedName name="_AMO_SingleValue_587946619_TaskState.4" hidden="1">"'SCZTsXLFu5YNnMBUs2HO6RiTgMXi+ZzOOPaSTn3tOGro5fD5ZJQl1Sa9YL8Dg/o7QNsoEetUBdZwTsE2BrdvTwRJyKaFiMKHZ80cjqaaVBo5NhWqlR6gBwFkVEQi/u2FFdi37DmGKd8BgtfcSanJdwDvKMb+t4dsG+oH40EsocjquJZ1/nxnIN3ZwhxpgXzzns/RjHSWLJiou4o+1UWcE1fh2KuYXPmhVooVFcFGObpyjBJtqzm7lt4YJmQ'"</definedName>
    <definedName name="_AMO_SingleValue_587946619_TaskState.5" hidden="1">"'pLiWZwdqL7UGeV6BGyw9oU/kOMEKp+/byLndVqw9c/UVxH9FDG+MSIZx1rPWOe5RVCiT+flJ4wPdw5v+/GKRl/eOr3dW6cHwfs6fWqJKhTjfyM4v+79OsrWCp6DGsfk7nOc475j4/8ZW34ps+i9/V+klb1oXd44L7U6ekjut6UuarifOqOxxXruBlrdOH8bN/4VHbM0cK4tgUdP17LLsrmhsZJOwTFnEPWi7OGKbGLedvwMtawGTMesDSmu'"</definedName>
    <definedName name="_AMO_SingleValue_587946619_TaskState.6" hidden="1">"'8KtB5tWyAaX9PHse4S14NN2kuksyxyGh5ZxEunkQmcvdTsk0/zqGAUUWNVxzTockuezncpiNACzpV5QkyaGvK4leTTIgTHJm6sEZDeZ3XIZTT0rW+bK4dQnlc7G5JHxsLQkf20vCx86S8LG7JHzsLQkf+0vCx8GS8HG4JHzI9RWL5qSaqhULWz3hbcX71Npmz//ii8u/gMs/EGmIVnnC5Gi0v9X2rntQsDeukY3wWdf1kPHTaEnddGqxc7Z'"</definedName>
    <definedName name="_AMO_SingleValue_587946619_TaskState.7" hidden="1">"'SB1koRcUruuR5zzR3cRwhtWFD1nG0M0nRjuE8ar2MbinZLOoaVE+Qx9iUsanF2NSmsSpjVblb1ZaxKmNVuVvVtrEqY1W5W9WOsSpjVblb1a6xKmNVuVvVnrEqY1W5W9W+sSpjVblb1YGxKmNVuVvVobEqY1ULGAXdMHZl7CrQruIg42cR1dxlsnU9dXu9dot4Xt61PUF7jJQxIx22x0oZvHDLeC6NepP5d7gpZ41A0G4I5dhG0A4JZrWC+2'"</definedName>
    <definedName name="_AMO_SingleValue_587946619_TaskState.8" hidden="1">"'2l4FZPeaF5W746G5DOrFCt5Nf2ZaMV54fLaQGzydKO5T9sDW3YOzmKjwvWozcnBy4s/vX/A/LC3pwV4kjkrXjelxce053irUs6l1csflcMsXMD3x8k33Xc7jdGs6/f/4I7uT8Jx8fX/95rOMN211jcKm4/tP/9o2pGm1x0NC98GY/5+LucJ8arGa9WslfTIzHj34x/y+7f+Hs+R5DoBFef8LswPs74uNJ9XFC/2/g54+fy8HMN2pPD+Djj4'"</definedName>
    <definedName name="_AMO_SingleValue_587946619_TaskState.9" hidden="1">"'5bFx4kxTuPfjH+bZ9apjhpYZ+eMv8V9ZqI44+Hm9nA6lvAdQ3rIP2Z8fxAxvi0kV+++h9fl1a1xN6hrV/BkLSb2TWiZGmdqXOkxhT4nlTyq+Nlrd/Gz7XJXmCP2J1u2efVi57NXYdYy3UiYu2yT+HR9Lzll9cn8t98nZ/fFUbzHec90XjOcUjovdMnEt5H6rh12Tl39h9XYga2aUo+r4OP4/3Nki1CU30vaJqWTT/dpqyplVZMouPTrFDvM'"</definedName>
    <definedName name="_AMO_SingleValue_617623402_TaskState" hidden="1">"'Partitions:13'"</definedName>
    <definedName name="_AMO_SingleValue_617623402_TaskState.0" hidden="1">"'SASUNICODE7V3pb+I4FPfnlfZ/QF1pPoxmS+9Dc4nSazQt7UKno/2EKKUzaLmGQGer1f7v+/NzHCfOQRJCAqwVAYnz/C4/Pz+/OOYd+8j+Zn3WYyX2zDpszCzWZUM2YO/ZBttmm2wLvyXcGbA2yh9xd8C+0d0pm7An9js7wvlH9oH9yn5h79gdawHHX6gzwFkfNTlsA9B9HC1QeME9DvUAqh3Abji0OeQeaO4SXUmb4+vbWCr4bLIzdoFvS'"</definedName>
    <definedName name="_AMO_SingleValue_617623402_TaskState.1" hidden="1">"'cnC+SlhagNHF3g77A3q3Wvy7ANuGzi3HOwcqgrOepBkCljO6wDfXLIxsPcI4hbXnNcu8H/G3RdQHoJuh7ByavvQQQe6aIPzB3aM7z22A1rHuNpwNHNP0ncdyavA0qOzNugJLnWtTXA1wVUTkp/SecvGY0Vg9mJpk2w/SCahTy5vje7x6zauLbqSFCzUnNj88XYbEFw5Jr0x6v3MhVKdKD0TnSnK8qA5ccp5m03oLF+6A6qdB80R9YnnHG3H'"</definedName>
    <definedName name="_AMO_SingleValue_617623402_TaskState.10" hidden="1">"'OSLk5ffijknJ5NN92qpKWdYkCm79KsUOE5T1Ce4xFufuvaa4v9iIxHdLVtj2aXwxnqZpr78sz8GTd5RrOtkVnrNYBH6xW3gWmHU/of65p0nHhL7npyNbQWHNCiPfWdub78mOhq73LDWS1I7DaZdj90o1AsrYLlnfVfW846ksbUTgUTO1koanRNyLMfUp0mvFo3ROo+oEZUPiezaFKY3iV85MM+ifAXSdR+tQzdf88W9cbd9QLz/1zP7c2Lw'"</definedName>
    <definedName name="_AMO_SingleValue_617623402_TaskState.11" hidden="1">"'1hU/YsGeED+gfUtavwFRHTKnuydjNfaeP8rHNg4h0w2faKhLeBZ87uFIY7gHj389wbLdJbS4Kj7b8d4Ae2XILLY3o+5b6jGVnbUXGOHzmrCI2qemGljFQXkVvfW9LxGkf95ggMhVT6rE1n644f892nQp9RjiyaVleeoeD70o7cmlc5y5JW8bFOav1JAZeS1hEtNYX1e/4iBK314X9p4PeUlfwStzqT1mFbNvfYgKizuQ/lE9pfFDcermwtJ'"</definedName>
    <definedName name="_AMO_SingleValue_617623402_TaskState.12" hidden="1">"'ZN3iODWoNLPnL8SDrN16n/DGnvzTZzz1Jkz7tmLZLowcanLD3O/6tv4srtNVTGwqKaYt9ly9ae/O/U5P/jvgkNcRlFjxT/Sq+PvOkk0mf66XnWMfk53gmI+8Pap+zg+8D+Aw=='"</definedName>
    <definedName name="_AMO_SingleValue_617623402_TaskState.2" hidden="1">"'S3G7AJo7BdDcLYDmXgE09wugeVAAzcMCaB4VQPO4EJ+wlRNVPiq32XeU8YgnLy//HTWnwMKpPtrR0fxUy7GiDwl9S2P4iOKnCeKdZJGKrO2OUHSMJ7gaUtTpxnKCO3Uq7wDjkGA5Pl7ria77TvmGK+Ic0+gvY8A6vsf4LVGM9kKYJYxXK+ekWWtGXQWl6zRMqjCpb3Au9XeFXwtXuh6/U0xzRe3UIbpKUnd9K7IF3ZBeCheoMQRuLhOXxyI'"</definedName>
    <definedName name="_AMO_SingleValue_617623402_TaskState.3" hidden="1">"'q/M5TiJzhuGr2uaVhmgRqu5yAf79ug3SXzLqk5dzg+5FgK9TmHeppYl6zilYl5lLXKPPKq8o36I7wGJt0eOdj+mxMzbgEtD674jATqsH7fR8fDltmr2m21CJvWUKtLvEycOZgJUCU2Sv2G+acp+ytfVbBWVBU/SYQUlARkX8yGvps4T37B5ZUgX7P8PsekD9QPgT1t57zfyM5cfvcZPz4x7XXgXAlHKK94nMcjqlEbaePMvExl2LIcrw2kh'"</definedName>
    <definedName name="_AMO_SingleValue_617623402_TaskState.4" hidden="1">"'ytjSSHayPJwdpIsr82kuytjSS7ayPJztpIsr02kqyuHO4s8ipI4Y2q480QhpT5f/TMuVZnHhAsk4S6ptlPJyBCXUdpa2SHHZqxtJ0nJp8AW7Fnm8/EqciecF7EvMA7e109rdToaVaYVipU2gOcRTNooRd3rkGdizzTkPpd+Jw+eYYjPi/hHGSZD6ni3hX7gv5RiylzOK467n2dG8stdHMB/zYvnkvY+ymOs9iS5ZehibZTZQW3+LQoRyN81'"</definedName>
    <definedName name="_AMO_SingleValue_617623402_TaskState.5" hidden="1">"'iRHC43iIh/bPEcL1jGm3s1tC3zMjI9ncXagcm8XVGsK2GDtC38g88qqnj+XJdcBNGDrnym3JfJaIh8+IBmHWiZV57lBUCIH6OUnjA93De/48Yqy9W+d7Oi9k3HiubEujUQlygl9Izi/7v06SjcKXoIax+TOUV3iumXjX8eRX8ossn3/F2ll1lWXd5aXWh09xPfbUhcVXI+dp3f5eu4aRt1Z/nbW85LomKWG78oSePRkI7tsmzuap7VyjjmD'"</definedName>
    <definedName name="_AMO_SingleValue_617623402_TaskState.6" hidden="1">"'qOdlDzdkE/OO4xfoZRVgOmVNSHGDTwUyr5YNKO1nOfMIH8Gj6cbVXZxn4hJaPsNO9txc1nKPU7LMv+6tR5FFBeec0z5JLue5HGYrAEvyFYhxaujrEKNXH/YIk1zJ8OQ8PeRXXIZzT0na9RWz1rEVz8X2kvCxsyR87C4JH3tLwsf+kvBxsCR8HC4JH0dLwsfxkvAh1+MtmpNyolEsbLWddxTv0mibvv6LLy7/Ai7/QKQhRuURk9lo/6jtXSe'"</definedName>
    <definedName name="_AMO_SingleValue_617623402_TaskState.7" hidden="1">"'nYO9cmY3wVTqbIfnTaEnddPjap+g1PlIHaShFxSu65FmvTGrjOEFpzYas4mimkqI5g/Oo9ZW6paSzqFtQPUMdY1PGphZjU9vGqoxVZW5VO8aqjFVlblW7xqqMVWVuVXvGqoxVZW5V+8aqjFVlblUHxqqMVWVuVYfGqoxVZW5VR8aqjFVlblXHxqqMVS0gC7pl7MrYVaBdzYKc/RRRPbuMt66naq/XbhDPy7u2J2hPqiKeSIftyVUEL9wyfh'"</definedName>
    <definedName name="_AMO_SingleValue_617623402_TaskState.8" hidden="1">"'ZGvc78O6IVs0YgaPecYmwjaEcds1rB/bZS8KinvNC8I1+V9UhnVqhWshv70tGa5YeLGQHTydKcyX/YGtqwd3IUH1esQ29O9lxY/Ov/e+SFvTVLxJGoW/K8qys8prvE25d0Lm/Y7F2UxE4/fD+pbNdxu98YTb9+/wuu5H5WHB9f//uo4QzbjWlxq7j90P73j8opbXLR0bzwZTzm4+9ynhmvZrxawV5Nj8SMfzP+Lb1/4+/5nECiM5x9wufK+'"</definedName>
    <definedName name="_AMO_SingleValue_617623402_TaskState.9" hidden="1">"'Djj4wr3cUHzbuPnjJ/Lws/VaE8O4+OMj1sWHydynMa/Gf82z1OnKnpglV0y/hb3hYnijIeb28PpWMJ3DOmg/pDx/UFEfltIrt59D+/Lq9vj7tDXbuDJGkzsm9AwPc70uMJjCv2ZVPyoYt17d/5P2+WuMCfsT7Zsz9XzfZ69Ck8tk2XC3G0bx6fre8kpq4/nv/0+Ob0vjuJ9lvdM5jXDKSXzQtdM/Jde17XDzrlr/rAaO7CVE+pxFXwc//0Z'"</definedName>
    <definedName name="_AMO_SingleValue_621796666_TaskState" hidden="1">"'Partitions:13'"</definedName>
    <definedName name="_AMO_SingleValue_621796666_TaskState.0" hidden="1">"'SASUNICODE7V1ZbyI5EPbzSvsfUFaah9FsyH1oLhHIMRpCspDJaJ8QATKDlmtoSDZa7X/fz+V2H+67abph1moBfZTrcrlcZbvNO/aR/c1GbMhK7In12YwZbMAmbMzesy22y7bZDn5LeDJmXdzv4emYfaOnCzZnj+x3doLzj+wD+5X9wt6xO9YBjr9QZoyzEUpy2BagRzg6oPCCZxzqAVT7gN2yaHPIA9DcJ7qSNsc3MrFU8Nlm5+wS35KSg'"</definedName>
    <definedName name="_AMO_SingleValue_621796666_TaskState.1" hidden="1">"'fMaYeoCxwB4++wNyt0r8hwCbhc4dyzsHKoKzoaQZAFYzusY31yyGbAPCeIW15zXAfB/xtMXUJ6Abp+wcmqH0EEfuuiC8wd2iu8Dtgdap7jasjRzT9IPLMmrwDKksy7oCS5Vrc1xNcdVG5LX6Lxj4jFCMLuxdEm2HyST0CeXt0HP+HUX1wZdSQoGSs5N/ni9jQmuHJPeDOWec6HUJEpPRGeBe3nQnFv3eZ3N6SxfumMqnQfNKbWJpxxtx01x'"</definedName>
    <definedName name="_AMO_SingleValue_621796666_TaskState.10" hidden="1">"'iOB6sTh37jXF/cVWKL5bssKuR+Or8TRtc/1leQme3L1c2xpd4WMWq8AvdgvPArPqJ+x/YmjTMafv5enIWrCxZoWR76ztHu/JjkZSWwvWWDl2y7F7KRl/JWtfdjl3nyfvtkLw2NlUScFTIu5Fv/cY6lniUbqgnm+OexPiO5rCgnraupUN+u3Br+o8XId2TuWNUeNq+4ZaYs2VoTmxuUuKdrtlZm0PsGEp61dgaiLus5/J+Mr5ZIT7M5MHEY0'"</definedName>
    <definedName name="_AMO_SingleValue_621796666_TaskState.11" hidden="1">"'GZ8N2tLoPPk9wZWO4B4x3z8GZWSeNpSj0TPnvAD015RZamtL3LbUZwxxZFaO6wdmtHVVJTbeUrN5u+Wrtu2siTv04/bYYTVhQi214dMX5ezLLVOgzxZFNzfK7dzj4zrFTh8ZV7pLUZVycUbUnMfBSwiLCtb6qdse9ftxWF/S/C2pN1eGVuNXXWIVs21tjAqLJ5L/CLqh/sLl1c2EoNZu8RfrVBpd8avmRdJpvUvuZ0P6YXebMJGTLu2Ydku'"</definedName>
    <definedName name="_AMO_SingleValue_621796666_TaskState.12" hidden="1">"'jBxGdbepz/tN3GldNr2KMKBpUUeyMbpvbk/9Ul/+/cbWiIyyhapPgnYLXnTSeRmo2n51nF5OV4zyc2D6qfsoXvA/sP'"</definedName>
    <definedName name="_AMO_SingleValue_621796666_TaskState.2" hidden="1">"'twCaewXQ3C+A5kEBNA8LoHlUAM3jAmieFEDztBCfsJMTVd4rd9l33OMRT15e/jtKLoCFU+2Z0dHyVMuxog8JfUt9+JTipzninWSRiiztjFBUjGe4mlDU6cRyhidNut8HxgnBcny81CNdj6z7W46Ic0a9v4wBm/ie4bdEMdoLYZYwbq1ckGaNiLI2lKrTIKmCpL7BudRfHb8GrlQ9fqeYpk711Ce6tqTO8kZoDToh3RQuUWIC3FwmLo9BVPi'"</definedName>
    <definedName name="_AMO_SingleValue_621796666_TaskState.3" hidden="1">"'TxwA5g3E1zHNDwTT31XY5Af9e3frpLpl1Scu5wXePYCtU531qaSKv2USrErnUNe655bXvb9ET4TG26XDnY2o2ZmdcAlrNrjjMnErwdj/Ch8OW2WvKljrkLUsoNSBexlYOVgJEmb1ivyHnrLG35lkFZ35R9RtfSEFFRP7JaKjZwnv2DyypAv2e4/c9IH/g/gTU37rO/w3lxOlzk/Hj7dde+8KVcIj6KsXAc5oJlpNMsBxnguUoEyyHmWA5yA'"</definedName>
    <definedName name="_AMO_SingleValue_621796666_TaskState.4" hidden="1">"'TLfiZY9jLBspsJlnQ4nCMTURjcXjKex5/QSE7P1Ydujl/3l0lCXVNv1vfxOD+jtA2ygT71QF1rBOwTYCtm9PBEnIpoWIwodjzRyOZppUGjk0FaqdDdIeAMioiEXpyxo30u8oYJxTrBMVryiDU+L8EcZBnfVvGszr6gfTRiyhyMq4lnX5fGcgvdXCLGWBbPFey9huM8tmT5RdzhdmpbwS0+HYq5hc+a52ihYVzkY5sXqMEm+rO7pW2hTjMhc'"</definedName>
    <definedName name="_AMO_SingleValue_621796666_TaskState.5" hidden="1">"'fGszg7sXOqSSi0A66994Q/kOIFdzpubyHmdFmz9M+UqIk8R4xtjknGiZMYqzy2CEjmdm58gPpwl3P3HKxp9eWtlu/dWBsFznQH1RCWK8b8RnFf3Xh2l6wWvQI1jcuYcV7jumPh/xp5fyiyyt/+LtDKLVuWN8lKbo4f4flvqooLrmTUam6/nbqDXjfK3UeNf4TFLA9+VNfDoyXp2WTd3NFbSyTnm9KOelz3ckE0s249fopVVgKnG2pDiBp8K'"</definedName>
    <definedName name="_AMO_SingleValue_621796666_TaskState.6" hidden="1">"'ZN4sG7C1n2XmEdyDh9ONq7s4cxwSWs5JJJsHkaWc/ZS8513HMKTIooJzzumIJJd5LofZ8cGSfEVJnBLqupLw1SRDwiRnph6t0WB+xWW4cN1JO18WtS6heC5214SPvTXhY39N+DhYEz4O14SPozXh43hN+DhZEz5O14QPub5i1ZyUE/ViQasn3L34gHrb9OVfPHH5F3D5ByIN0StPmRyN9vba7nUPNuydY2QjeNZ1O2D8NFxSJ51K5Jyt1EE'"</definedName>
    <definedName name="_AMO_SingleValue_621796666_TaskState.7" hidden="1">"'aSmHxiip51jPNXRxnuNswIas42qmkaEdwHrZeRrWUdBZ1C6rnKKNtStvUamxqV1uVtqrMrWpPW5W2qsytal9blbaqzK3qQFuVtqrMrepQW5W2qsyt6khblbaqzK3qWFuVtqrMrepEW5W2qsyt6lRblbaqFYyC7mi70nbla1dRkNGziPbcZbx1PVVzvXaLeF7ftT1+e4wUMSMdtMdKEbxwy3gujHqTeXe4KWaNgN9uCMXYht8OCXq1gvNtJf'"</definedName>
    <definedName name="_AMO_SingleValue_621796666_TaskState.8" hidden="1">"'9ez/ZCy/Z8VTYknRmBWsmu70tHK8oPF9MDppOlHcl/0BraoHdybD7qrE9vTg4dWLzr/4fkhd0lS8SRKFtyvS8vPKbzjrstqVzesOhdMcTODXx/kGzXcTvfGE2/fv8LruT+JBwfX//bU3AG7a6xulXcXmjv+0fllDa56mhe+DIe8/F3Oc+1V9NerWCvpkZi2r9p/5bev/H3fM4g0TnOPuFT1z5O+7jCfZxf3q39nPZzWfi5Bu3JoX2c9nHr4'"</definedName>
    <definedName name="_AMO_SingleValue_621796666_TaskState.9" hidden="1">"'uPEGKf2b9q/LTPrVEULrLIrxt/ivtRRnPZwS3s4FUvwjiF9lJ8wvj+IGN8Wktvvvge35c1tcXdoazfwZC0m9k1o6RanW1zhMYU6JxU/qvjZW3f+s+1yV5gz9idbt3n1fOezN2HWMtlImLNu4/h0dS852+rj+W+vT07vi8N4j/KeybxmMKVkXuiaif9GGjh22Llw5A+bsQNbOaEeN8HH8d/n0B4hL78Xt09KJp/q0zZVyrIikX/tVyl2mOPe'"</definedName>
    <definedName name="_AMO_SingleValue_65748969_TaskState" hidden="1">"'Partitions:11'"</definedName>
    <definedName name="_AMO_SingleValue_65748969_TaskState.0" hidden="1">"'SASUNICODE7V1bb9pIFD7PK+1/QFlpH6puSMhd24sIpElVSligqfYJUUK2aLmkYNqNVvvf95szHt+wjW2M7aARAuzxmXOZ+ebMmYvtV/SW/qEJjalE32lIc1rQiGY0pde0R4e0Twf4L+HKlAZIv8fVKf3FV5dk0AP9Ruc4fktv6Gf6iV5Rl/rg8TfyTHE0QU5B2wH1BJ8+JDzhmqD6AqlD0O5ZsgXlMWQesVwlW/CbmFyq+O7TFV3jV0la4'"</definedName>
    <definedName name="_AMO_SingleValue_65748969_TaskState.1" hidden="1">"'LjOnAbgMQLfIb1EvjuPPSegOwTPA4u7oKpBszEsWYJW6DrFr7BsDu5jpmjhXOg6Av8PuPoEyTPIHTJXIe0EZTBEWQyg+Re6wO8xVSDrAmd7VsncsfUjy/IauIz5aAB5UktvqRk4M3DWg+V1Pu6bfBYhnN1cBmzbN7ZJlqewt8nXxPkA5ws+UxIWyGmY+ol6mzJdOaK8OfL9yERSmyV9ZzlLpGUh07DSRZ0ZfJSt3CnnzkLmI7eJ7xlixy3x'"</definedName>
    <definedName name="_AMO_SingleValue_65748969_TaskState.10" hidden="1">"'gVuyx7K1dWux8KAqGmbc7c2vvoXtjxbWg+sk/Dlroo5n/ISxgSveVOj4yBF2CdpJfrIGor7Hbh9nTmQb5BzjdUk+R3Jhlp96c0j89+Xto4TGNDZn1uTb/7xeP5lF3ngmuc5eTqsaV3yiyaD6KVv83tD/'"</definedName>
    <definedName name="_AMO_SingleValue_65748969_TaskState.2" hidden="1">"'MAeZlRxkHuUg8zgHmSc5yDzNQeZZDjLPc5B5kYtPOMhIquiVB/QVaSLiycrLf0XOJbgIqfdmdLRtqd8QX4hv1tYqufmU9ROu9czfPGVvy/pypIhTUbc4bnvkmNmAZvGiU5XbGZV6OcqY/yPS3Hzs9D2+Iq3c54973OAdNdgjA0ntHQUIGoNzCF0n+AraMr3gqL7PZV1CrhHrMrXGCiVQlOlX+gVjozr9bh5VceQX/b30pZRSZIQaT4Y3qn1'"</definedName>
    <definedName name="_AMO_SingleValue_65748969_TaskState.3" hidden="1">"'N/1IDVy4x7mng7Fe0mSVoDM5lH/8XqokTJ/H0WfW/L3zpSvjI+oqucTCnEted1xtG51yKYMvFzlhyvjOWnO2MJac7Y8nJzlhyvDOWHO2MJZWdseRwZyx5vnY4ZzufgxXumN0bM1/ibMaz886IWVE12Yohx7sDa174PWirZtQu5tXVeEFIklGlHGnOrTnTYPlNnh0Pkl/l1DHoRBS5MDVocIw85PGKfSzHMDMun+jyb3GsRh8NlmEk1iVYAy'"</definedName>
    <definedName name="_AMO_SingleValue_65748969_TaskState.4" hidden="1">"'XdKW0ROlpyUrr1qeFagz5hPNOMaHMwrzaufd6YSwtlcw0cbsrnBsiq43MV2bJyjBItR6r7ZDi1UdDCtw/pQ3P0Y2SI0DAtssHmO9RgG76vuzEWhG+Lzic7HIT7yxvkvkeaGvvf4NvnlHmof0in/pXUKs7n1lxPtghoovWmUf/CyzXxWy0gBsJ9gaqFLvfA/Yx7KT/pWdX8Ldf+pjV/DQ9SBac69WDFLb5V2Py8MGCXfpqxSofp5P6IOHKjl'"</definedName>
    <definedName name="_AMO_SingleValue_65748969_TaskState.5" hidden="1">"'l2UGVpF3eZrcfcYqFzOWVyVtrryLlLvUPtt1nTClqsYVNAc+HCJvwciSg7vTojw/Q9j5qTm1R+seWFxJmx450pJOvO/biU9fy0OC6JHpSB6HBVEj+OC6HFSED1OC6LHWUH0OC+IHhcF0UPtCNi2JuVYvVjQOrC7Fx9xb5s8/9NKXP4JWv6BSEP2yo/WTNFqr+1etbVpuxRl/XU/YMYl3FKnnOra1VtVBkkkhcUrXsvTXnMe4HOJ1KZJWcOn'"</definedName>
    <definedName name="_AMO_SingleValue_65748969_TaskState.6" hidden="1">"'l8iK3hrNw1b7vUhJhqgWpF4hj8aUxtR2MHWoUaVRlTqqKhpVGlWpo+pIo0qjKnVUHWtUaVSljqoTjSqNqtRRdapRpVGVOqrONKo0qlJH1blGlUZV6qi60KjSqNrCLOiBxpXGlS+u1lGuX0W01y6j7eupmTs8O6xzcff2+D0VI48V6aCnguShi0DGj9ykt2n1mSz57BHwu6s6H2z43dOvdys472/w7/VsL7Rpz1ejMZfZIrBU0uv7ksla54f'"</definedName>
    <definedName name="_AMO_SingleValue_65748969_TaskState.7" hidden="1">"'z6QGT2dJbq3/QHtprPl8ixbuvRenRoCHf1TR2cFH2tPE7x79oXSOz9dg5S6yRzFty3YUlPaYzxd2WvFre0rr93h1cE7SXoE53H7fzbq4F2yJ9TLxd3J9w9sA6Tpif2P977+H5QHJ/ena7uFepbTzYNMkwue1oXvoyEfOJu7+utFfTXi1nr+aNxLR/0/4tuX8T9/lcwqIrHL3Ht6F9nPZxufs4v3G39nPaz6Xh55p8F7/2cdrHFcXHyTlO7d'"</definedName>
    <definedName name="_AMO_SingleValue_65748969_TaskState.8" hidden="1">"'+0f9tk1amGFlijGxJ3cV/rKE57uI09nJdL8FM4hsg/I/HMDTm/LS23730PbsvPt8V10dZu4ck6JJ+b0NEtTre43GMK75pU9Khi11t39qvt6qkwl/QnFW1dPdv17OewahlvJsxZt1F8unqrTQdl9sHlx6P571WfnNwXh+m+znvG85phkoqyY6bs8PHB+WrsVQ2kTZjuPlKLdT6FR5TkXii/Fus/WPEn26mDnrkzrezyxdGsVDm6lheJVxZ2P'"</definedName>
    <definedName name="_AMO_SingleValue_65748969_TaskState.9" hidden="1">"'ie27dROCB87Jih5+JRY+yH3og+hPVM0Se+4RzSQNmO940gorykbu8df9aBRS/GWxBut6q74wcnNnXPG1HtmTPEF+FA2fAanNrySfU21fueVCdLnpg7SVwbHarYvrUDPMxzbHO5As/pErLlZ1s2NJNyb9ndB/WjaLUvpkX9b3EYW5rhfzjkEx17iXWBPDh51fkuZM+a05xK8te+uiaD0bSFDPCs2Ki6CninrRUkD7UHUS52qXPqraJEUbVLv'"</definedName>
    <definedName name="_AMO_SingleValue_662231970_TaskState" hidden="1">"'Partitions:11'"</definedName>
    <definedName name="_AMO_SingleValue_662231970_TaskState.0" hidden="1">"'SASUNICODE7V1Zbxs3EJ7nAv0PggvkoUgtHwnaoDkgW74QRVYl2UGfDFmWG6G6osOuUfS/9+NwufeuuKs1VwYIQSsewznI4cyQS9Pv6RP9Q2MaUYUeaEBzWtCQpjShD7RD+7RLe/itoGZCfZTfoXZCf3HtipZ0T7/Qb0h/oo/0I/1A76lLPeD4G20mSI3RUsB2AD3GpwcKT6gTULegOgDsjktbQL4BzUOmq2gLfGMHSw3fXTqhMzwVpQXSd'"</definedName>
    <definedName name="_AMO_SingleValue_662231970_TaskState.1" hidden="1">"'cbUB44h8A7oNdpdh+R5C7h94NxzsQuoY3A2giQrwApeJ3gKyebAPmKIFvKC1yHwf0btEyhPQXfAWAW1t+iDAfqiD85v6R2eb+gAtN4ht+P2zDVLP3QlPwaWEaf6oCe5DPfaErklcjeQvM7pnoNnkYI5iKXPsn1nmWR/CnmbXCfyfeQXnFMUFmi5dPgT4zZhuKomvTnaPRqh1GZKD0xnhTITNJduuRizJadM0J1xvz7w/Osbl3XCrU3QbDly'"</definedName>
    <definedName name="_AMO_SingleValue_662231970_TaskState.10" hidden="1">"'I9b8PIcxRTk+iPHvSeNTdfF9pP8B'"</definedName>
    <definedName name="_AMO_SingleValue_662231970_TaskState.2" hidden="1">"'mqPonx/7xikeGKd4aExfBxhHc3YnSNHMSAZpmhnLIE1Toyl8VJ++oUz4f1P25xtaroBFUL1zYoXNqVa1fLGClhZpxtHEEt4/m99Wrf3+OoxRRkNfUBbE45XvcI2Ucpc/wYgqHE95MZOEDsdHAmbJLQSvY3wFbJV+5ninxyNcQash8zJxo6gKIKr0in5C1Fin351UDak4v/g6FlJSkb47G42wD/xA/1IDNUeICBvIvcKcWAFiya289H/AGIe'"</definedName>
    <definedName name="_AMO_SingleValue_662231970_TaskState.3" hidden="1">"'v4vLhxRD6ONOk8+tedhn9szuZc6kB+vxWNOgdGKa3b5jec1ML+lmT1J5/5IJxkklqxdEK+oGwHT5Cbspr4WhEOoPHWXHZnFeCahV2Adia4wnEKlb5ILmqFVZFerK5u0JJpt/ktWgS/RqXjgAnrMjC4aDBdnfAPtBLS784Za+pT/8SaeXRGkxjmZuXZA4UdT+1RaoH9kMG+TlGXYOu4CObmjIn42qj7uvGWFromzPo4aZ4zqFZdXxOtCWrZu'"</definedName>
    <definedName name="_AMO_SingleValue_662231970_TaskState.4" hidden="1">"'jRqtbY59NTTwta+PbYU0vvtzSooWlcmNHNU4xgGxaqu7EuNHjfSxePOT1It5fnaH2HMhVPnuPb45J5qn0oZvwV1Rryc3fVYlYDmpi9RYy/sHJNPGtbqAPptkCNQpc9cM+wl4qjbmrkL3n0Nx35M1iQGjDVsZLsAq6LXOOF6YDX+0XGKh2Gk28jstDV7TudVb+CbnNd1h191cq/M6DKovvcovQao99mTscsuYpBBcxeDJbsbxx0WoTfO6S/b'"</definedName>
    <definedName name="_AMO_SingleValue_662231970_TaskState.5" hidden="1">"'RgxJrVXc+/uNYickOE0UJJ3B2ndjm7ZXBxsBReHpXER3Q0un4vyNCNu17h8PsxoRzWTdUraJw5a5yFb0fztnyLx1hW4/AMeRFrbmbsDELXGwR1eD7artVe7m7CSTpfUT6e2dqdX9UEeSml+KCx50fvTfXyOUNp0II/xucklxc0aztPeDIQ1ZXON2rc6ZXWqYJ06sDpldapgnTq0OmV1qgCdaoHqCdrYeMrq1PPolI2orFYVr1U2prJaVbxW'"</definedName>
    <definedName name="_AMO_SingleValue_662231970_TaskState.6" hidden="1">"'2ajKalW8Vq2DXL/L5e2t6b1POHbeLHeY5+19pxB3Dr2M/dKks/9l8CI047E06m2K/uVFGXzIGfJQsl6Ez6Wa4OMl7KN7J6ri/Z1nfzb1ecc04j5bJPZKcV4vH611Frgc35dPlpu1/Ce9tT/j/Aol4X0nxUeDBnyOcuTDouRp4znHr5hdQ2f2eC0rzJFsWwmc+5S20l8SnEvZT5h0UCdgjwBd7MkR//nRBcsiPU+2cyNXyN0zj2PGJ04c3IV'"</definedName>
    <definedName name="_AMO_SingleValue_662231970_TaskState.7" hidden="1">"'w3pM8EWPu3EgU2tMHDyafTj53FC9tmYj2xHnTE2vVrFUr2aqFYzBr36x9y2/fxMnCI0h0gtQFvg1r46yNK93Gxa24rZ2zdm6z3dhLtLngE/XWxlkbV7aNC+8eWftm7VsRcVyT/y7S2jdr37YlhpO79Na+Wfu2efxmrZu1bttg3YJvIK1ts7at3DMd6m+ej+hP2rbTG2ZPTbyEN+TZdl39Y6vj1dQNqR302eeAJ9PzYFGvlN8bpfG+zn9k8x'"</definedName>
    <definedName name="_AMO_SingleValue_662231970_TaskState.8" hidden="1">"'tplF7GuSzx++j0jPeX6n5bampeJ3MQP9N0z50F5+xLlbIakih+9MUNw8JDTcGVgLvT4tx/U4CYDzup+Fqshf1Ijz/PTLpxbmauBjyqnpSqRdf1Bdn6wmvnt1BeaScFjxfbVkJ4Ksz9gKPB+1Qt0KN0SlOOAif8HGhQWHH82XBj87gbz8J9nt6HXoQb9Ze6vX1J4i7seiBe9mMLtpwy9I4TQ99Cj5SsX4GpDR/k1Slb768Zo3zu8CA9Y/Lax'"</definedName>
    <definedName name="_AMO_SingleValue_662231970_TaskState.9" hidden="1">"'POcv+LXa32N+ujNHnNnPJq5sd85cncBOXPklb0z42eL5L1GMhqVkXDyGkPcHv7kw1Hne839aysvwg2PenAEksqfSyPEfXe6+pB0L15YOxqYL2JM6lTjno9qiYRok7o5fsUWzeM2yMUipE3rdSU4F+PGWsg9c/U7eTzS74kR4zvlGzn65F9RKM34Qj2W59bBJ3tf99b7XeT8Gr0k/z5Gl+Q9WAun79Qdvtlv199FD41o5Kz15P8KCHuEfBKF'"</definedName>
    <definedName name="_AMO_SingleValue_671486722_TaskState" hidden="1">"'Partitions:13'"</definedName>
    <definedName name="_AMO_SingleValue_671486722_TaskState.0" hidden="1">"'SASUNICODE7V1Zb9s4EJ7nBfY/GFmgD0U3zn2gFxznKpo4WTtNsU+G4zitsb5iOekGi/3v+3EoWhJ1WJJlye4Sgm2JGs7F4XCGouh39JH+pj71qETP1KExWdSlIQ3oPa3RJq3TBn5LuDOgNsrvcXdA3/juE03ogX6nA5x/pA/0K/1C7+iGWsDxF+oMcNZHTQHbAHQfRwsUXnBPQN2Bagewa1PaAnIHNLeZrqIt8PVtLBV81umEzvCtKFk4P'"</definedName>
    <definedName name="_AMO_SingleValue_671486722_TaskState.1" hidden="1">"'2ZMbeDoAm+H3qDerSbPLuA2gXNjil1AVcFZD5I8AVbwOsC3kGwM7D2GuMa14LUL/J9x9wWUh6DbYayC2i500IEu2uD8jg7xvUNboHWIq7WpZm5Z+u5U8iqw9PisDXqSS11rE1xNcNWE5Md83rLxWBGYvVjaLNsjyyT1KeSt8T1x3ca1xVeKgoWaE5s/0W4DhivHpDdGvR+5UKozpWem84SyPGhOpuWizSZ8li/dAdfOg+aI+8RzjrbjpbhZ'"</definedName>
    <definedName name="_AMO_SingleValue_671486722_TaskState.10" hidden="1">"'3aetqpRlTaLg1q9y7DBBWZ/h7mNx7t5rSviLtUh812yFbZ/GF+Npmvb6y/IcPHlHueZ0dkXMWSwCv9wtPAvMup9w/qGhyceEv+eno1rBwZoVRrGztne+Jzsaut6z1EhSOw6nXY7dK50RUMV2yfquU887nqrSRgQeJ1MraXhKzL0cUx8ivVY8Sqc8qk5QNmS+k1Aoz9CNk4f549q4Wrzi3nvsyerc2Lw1ZV9fszO9O9i9kuErMNURKzr3VEz'"</definedName>
    <definedName name="_AMO_SingleValue_671486722_TaskState.11" hidden="1">"'mvtNH+djmQUaw4Rm0E+Fug89DV/1bQPh3KRzbmq7Ngf/elv0GsCNbZqmhEX9fcz+w7JlYOQscng07UZjSckObBXA8hd7y3laI0zZuPy9nH564F9Z8mhL8Pdt1KvwZ4cimVUXpDQ6x0+zIpW+duyQtGRfnrNZTGEQtaQ/RWl9UnxOjRNweF/Y/DXpLXcDTCJs/pgpbtr/FJESd1L/rPrHPd7j1cmFpLZu0Nwa1hZB7NPUg6fRe594z5N002+'"</definedName>
    <definedName name="_AMO_SingleValue_671486722_TaskState.12" hidden="1">"'TOO1S/u6QWy3Nn43PsPM4/A6/jyu0xnDkIi2vKnZQtW3fq/+eS/wPxOjQkZJT9Uf6fsj6WppNIz93T86xj8nO8FRDJh7VPeYrvA/0H'"</definedName>
    <definedName name="_AMO_SingleValue_671486722_TaskState.2" hidden="1">"'AM2tAmhuF0BzpwCauwXQ3CuA5n4BNA8KoHlYiE/YyImqGJXb9B1lIuLJy8t/R80nYBFU7+3oaNFUHxFfiE8xMr/gXtP+XhQH5VjRl4K+5hhmxPHjBJwli9RUbXeEpmM8wtWQo243liPcqXN5BxiHDCvwiVoPfN2flq+5Iu4xRz8qBq7je4zfEseoL4xZwXi1csqatWbUdaB0nYZJFSb1Fc6V/i7wa+FK1+N3jukuuJ06TNeR1F3fimxBN6S'"</definedName>
    <definedName name="_AMO_SingleValue_671486722_TaskState.3" hidden="1">"'XwhlqDIFbyCTksZiKuPMQImc4rpp9bmmYJoHaLifg36/bIN0lsy5lOVf4vmfYCrd5hz2NzOtW0apkLnmJMq+8Tvka35EeY50Pbz6qZ6NOximh9exSwEy4huj3fXwEbJlec7bYYr9VQq0u8zKY5qAlQJTpFf2GnPuY3tpnFZwFZRVvAiElFZn5JKOhZ0vv6R9YUgX6PcHve0A+onwI6m895/9GcuL2ucn48Y/rrwPhSjhke5Vi4DnMBMtBJl'"</definedName>
    <definedName name="_AMO_SingleValue_671486722_TaskState.4" hidden="1">"'j2M8GylwmW3Uyw7GSCZTsTLFuZYNnMBEs6HO6ZmXQYapr3jDcSDHmG694ztq6Ovw+WSUFd8ijXCfBEP6O0NbaNDo9M7enM4CfAVuyo4pk5lVGynGlt+aKU1dNKjWdtw7RS4dIe4CyOlKRe3DGlcy7ziSHHQOGxW/JINj4v4RxkGfdWce+CvqB/1GLKHI6rjntf58ZyDd2cIfaYF8857P0Yx0lsyfKLxKPt1LGCa3xaHItLnzXJ0UKjuMjHN'"</definedName>
    <definedName name="_AMO_SingleValue_671486722_TaskState.5" hidden="1">"'k/RgnWMczdz24KIZ+PjWZwdODnWGdd6Amyw9qU/UPMHTj1/zqKedzVg6585h5H5i5z3GLCMQy1j1nluMJTM9bz8hPHhruEdP17xrMzbaRZ8O80sRA7U5ZGoxLH/N4bz696vo3Sj4DmoCUzuXOQc1y0b/8848iuZZVb3f5FWZde6vLO81OroIb7fVrqo4Ho8nS/N13PXMOrO8rez5sWiY5YavitL4NGTjeyqbW54DqWVc8wZRD0ve7him5h3'"</definedName>
    <definedName name="_AMO_SingleValue_671486722_TaskState.6" hidden="1">"'HD9DL6sA0zE1IcUVPhXIvFo24Gg/y8wjfASPphtXd3GefSho9awi2fMRVcs9Tqky//qOHkcWFZwLTvssucpzBcxGAJbkK23i1NDX20SvsukxJvXE6mE6SyyuhAynnpK0z9RmrdconovNJeFja0n42F4SPnaWhI/dJeFjb0n42F8SPg6WhI/DJeFDrTtZNCflRKNY2AoL7yje5dE2ff0XX1z+BVz+gUhDjsojUrPR/lHbux7Cgb1xzWyEP41'"</definedName>
    <definedName name="_AMO_SingleValue_671486722_TaskState.7" hidden="1">"'dD5k/jZbUTacy81mu0kEaSlHxii551k+g2ziOUFqzIas4mqmkaM7gPGodjW4p6SzqGlRPUMfYlLGpxdjUprEqY1WZW9WWsSpjVZlb1baxKmNVmVvVjrEqY1WZW9WusSpjVZlb1Z6xKmNVmVvVvrEqY1WZW9WBsSpjVZlb1aGxKmNVC5gF3TB2Zewq0K5mQc5+iug8u4y3rqdqr9duMM/Lu7YnaO+VIp5Ih+09UwQvwjJ+FEa9Tv6df4pZIx'"</definedName>
    <definedName name="_AMO_SingleValue_671486722_TaskState.8" hidden="1">"'C0X0ExthG0c4RZreB+Wyl41HO80LwjX5V6rDMrVCvZjX3paM3yw8WMgOlkac7kP2wNbdg7OQ4fF9ThNyd7Liz+9f899sLemiXmSNYted6jlx7TXeLtSzqXVzR7twy5o4PYNyTbddzuN0bTr9//giu1b4nAJ9b/3ms4w3bdWNwqbj+0//2jckqbXHQ0L32ZiPnEu5wnxqsZr1awV9MjMePfjH9L79/Eez5HkOgEZ5/wuTA+zvi4wn1cUN5t/'"</definedName>
    <definedName name="_AMO_SingleValue_671486722_TaskState.9" hidden="1">"'Jzxc1n4uRrvyWF8nPFxy+Lj5Byn8W/Gv83z1KmKHlilcxJvcZ+ZKM54uLk9nI4lfMeQDuoPSewPIue3peTOu+/hfXl1e9wN+toVPFmD5L4JDdPjTI8rPKbQn0nFjyp+9t6d/9N2tSvMEf1Jy/ZcPd/n2avw1DLZTJi7beP4dH0vOcfq4/lvv09O74ujeJ/lPZN5zXBKybzQJcn/jOq6dtg5deUPq7EDWzmhHlfBx4nfH5EjQl5+L+6YlEw+'"</definedName>
    <definedName name="_AMO_SingleValue_732119577_TaskState" hidden="1">"'Partitions:13'"</definedName>
    <definedName name="_AMO_SingleValue_732119577_TaskState.0" hidden="1">"'SASUNICODE7V1ZbxpJEO7nlfY/IK+UhyhrfB/KJQw+omDsBcfRPiEMOEHLFQbstVb73/fr6uk5eu5hmIFsawTMUV1XV1dVH9O8Yx/Z32zEhqzEnlifzZjBBmzCxuw922K7bJvt4LeEJ2PWxf0eno7ZN3q6YHP2yH5nJzj/yD6wX9kv7B27Yx3g+AtlxjgboSSHbQF6hKMDCi94xqEeQLUP2C2LNoc8AM19oitpc3wjE0sFn212zi7xLSkZO'"</definedName>
    <definedName name="_AMO_SingleValue_732119577_TaskState.1" hidden="1">"'K8Rpi5wDIC3z96g3L0izyHgdoFzx8LOoargbAhJFoDlvI7xzSWbAfuQIG5xzXkdAP9nPH0B5Qno9gkrp3YIHfShiy44f2Cn+D5ge6B1iqstSzP3JP3AkrwKLEM664Ke4FLV2hxXc1y1IXmNzjsmHiMEsxtLl2T7QTIJfXJ5G/SMX3dxbdCVpGCg5Nzkj9fbmODKMenNUO45F0pNovREdBa4lwfNuXWf19mczvKlO6bSedCcUpt4ytF23BR3'"</definedName>
    <definedName name="_AMO_SingleValue_732119577_TaskState.10" hidden="1">"'I4LrxeLcudcU9xdbofhuyQq7Ho2vxtO0zfWX5SV4cke5tjW6wscsVoFf7BaeBWbVT9j/0NCmY07fy9ORtWBjzQoj31nbPd6THQ1V71lqJKkdB9Mux26VdgSUuV2ytmuXc8dTebcVgsfuqZUUPCXiXsTUx1CvFY/SBUXVOe5NiO9oCguK4nWrp+m3r7+q83Ad2v01b/4bV9s31Mprrt6fE5u7pPAJW2aP8AHtQ8r6FZiayCntZzJ3cz4Z4f7'"</definedName>
    <definedName name="_AMO_SingleValue_732119577_TaskState.11" hidden="1">"'M5EFkusE9bTsT3gefJ+TRJYZ7wHj3M5yZddJYikLPlP8O0FNTbqGlKX3fUpsxzFFbMWIc3HO2Mzap6ZYyYmB7FbX23TURp36cMUGMVCyoxTY8uuL8PZllKvSZ4simZvndOxx8V9qpQ+Mqd0nqMi7OqNqTGHgpYRHhWl9Vu+MRJW6rC/pPB7Wm6vBK3OprrEK27a0xAdFk8p9oFxQfbG7dXBhKzSZvkX61wSWfWn4kneab1H4mtPdmlzl7Kb'"</definedName>
    <definedName name="_AMO_SingleValue_732119577_TaskState.12" hidden="1">"'LlXbMOSfRg4rMtPc7/6G7jyuk17BELg0qKfZcNU3vyP/KS/1/vNjTEZRQtUvz7sBp500mk9vTT86xi8nK855P3B9VP2cL3gf0H'"</definedName>
    <definedName name="_AMO_SingleValue_732119577_TaskState.2" hidden="1">"'C6C5VwDN/QJoHhRA87AAmkcF0DwugOZJATRPC/EJOzlR5VG5y77jHs948vLy31FyASycas/MjpanWo6VfUjoW4rhU8qf5sh3kmUqsrQzQ1ExnuFqQlmnE8sZnjTpfh8YJwTL8fFSj3Q9su5vOTLOGUV/mQM28T3Db4lytBfCLGHcWrkgzRoRZW0oVadBUgVJfYNzqb86fg1cqXr8TjlNneqpT3RtSZ3ljdAadEK6KVyixAS4uUxcHoOo8Ce'"</definedName>
    <definedName name="_AMO_SingleValue_732119577_TaskState.3" hidden="1">"'PAXIG42qY54aCae6r7XIC/r269dNdMuuSlnOD7x7BVqjO+9TSRL9mE61K9KWucc8tr31/i54Ij7FNh7s/pvbG7B6XgFZ7VxxmTiV4ux/hw2HL7DX1ljrkLUsoNSBexlYfrASIMnvFfkOfs8bemmcVnPll1W98IQUVkfkno6H2Ft6zf2BJFej3HL/vAfkD9yeg/tZ1/m8oJ06fm4wfb1x77QtXwiHqqxQDz2kmWE4ywXKcCZajTLAcZoLlIB'"</definedName>
    <definedName name="_AMO_SingleValue_732119577_TaskState.4" hidden="1">"'Ms+5lg2csEy24mWNLhcI5MpMPQULxnvEgwoRGeniu2bo6/95dJQl1TlOv7eKKfUdoG2UafIlPXGhn7BNiKmVU8EaciSxYjjR1PlrJ5WmnQqGWQVip0dwg4gzIloRdnTmmfi/7EhHKg4NwteSYbn5dgDrLMe6t4Vmdf0D4aMWUOxtXEs69LY7mFbi6ReyyL5wr2XsNxHluy/DLxcDu1reAWnw7l4sJnzXO00DAu8rHNC9RgE3HubmlbqNMMS'"</definedName>
    <definedName name="_AMO_SingleValue_732119577_TaskState.5" hidden="1">"'Vw8q7MDu491SaUWgPXXvvAHcvzALufts8j5nhZs/TP1YUT/RYx7jEnGidJjVnluEZTo67n5CeLDWcIdP17RqMxbqxd8b/UseB9oQJGoRLn/N4Lz6t6ro3RR8ArUOCZnX+QK1x0T/88Y+aXMolf3f5FW9q5VeaO81OboIb7flrqo4HpmjdLm67kbiLpR/jZqXCw8Z2ngu7IGHj1ZZJd1c0djKJ2cc04/6nnZww3ZxLJx/BKtrAJMNdaGFDf4'"</definedName>
    <definedName name="_AMO_SingleValue_732119577_TaskState.6" hidden="1">"'VCDzZtmArf0sex7BETycblzdxZn7kNByriLZ/Igs5YxT8p53fcOQMosKzjmnI5Jc9nM5zI4PluQrTeKUUNebhK8yGRImOWP1aI0S8ysuw4XrTtp5tKj1CsVzsbsmfOytCR/7a8LHwZrwcbgmfBytCR/Ha8LHyZrwcbomfMh1F6vmpJwoigWtqnBH8QFF2/TlXzx5+Rdw+QcyDRGVp0yORnujtns9hA175xjZCJ6N3Q4YPw2X1EmnEjmXK3W'"</definedName>
    <definedName name="_AMO_SingleValue_732119577_TaskState.7" hidden="1">"'QhlJYvqJKnvUMdBfHGe42TMgqjnYqKdoRnIeto1EtJZ1F3YLqOcpom9I2tRqb2tVWpa0qc6va01alrSpzq9rXVqWtKnOrOtBWpa0qc6s61FalrSpzqzrSVqWtKnOrOtZWpa0qc6s60ValrSpzqzrVVqWtagWjoDvarrRd+dpVFGT0LKI9dxlvXU/VXK/dIp7Xd22P394jRcxIB+29UgQv3DKeC6PeZN6db4pZI+C3S0IxtuG3c4JereB8W8'"</definedName>
    <definedName name="_AMO_SingleValue_732119577_TaskState.8" hidden="1">"'k/6tleaNnIV2VD0pkRqJXsYl86WlF+uJgImE6WdiT/QWtog97Jsfmosz69OTl0YPGu/x+SF3aXLBFHomzJ9R698JjOO+62pHJ5w6J3yxA7OvB9Q7Jdx+18YzT9+v0vuJL7lnB8fP1vT8EZtOvG6lZxe6G97x+VU9rkqrN54ct4zsff5TzXXk17tYK9mpqJaf+m/Vt6/8bf8zmDROc4+4RPXfs47eMK93F+/W7t57Sfy8LPNWhPDu3jtI9bF'"</definedName>
    <definedName name="_AMO_SingleValue_732119577_TaskState.9" hidden="1">"'x8nxji1f9P+bZlZpypaYJVdMf4W96XO4rSHW9rDqViCdwzpo/yE8f1BxPi2kNx+9z24LW9ui7tDW7uBJ2sxsW9CS7c43eIKzynUOan4WcXP3rrzn22Xu8KcsT/Zus2r5zufvQmzlslGwpx1G8enq3vJ2VYfz397fXJ6XxzGe5T3TOY1gykl80LXTPxn0sCxw86Fo/+wGTuwlRPqcRN8HP99Do0Iefm9uDEpmXyqT9tUKcuKRP61X6XcYY57'"</definedName>
    <definedName name="_AMO_SingleValue_779436236_TaskState" hidden="1">"'Partitions:13'"</definedName>
    <definedName name="_AMO_SingleValue_779436236_TaskState.0" hidden="1">"'SASUNICODE7V3pb+I4FPfnlfZ/QKw0H0azpRc9NJcovUbTUhY6He0nRCmdQctVAp2tVvu/78/PcQ7nDiGBWSsCEuf5XX5+fs9xzDv2kf3NRmzISuyZ9dmMGWzAJmzM3rMy22FbbBu/JdwZsx7KH3B3zL7R3QWbs0f2OzvC+Uf2gf3KfmHv2C3rAsdfqDPG2Qg1OWwb0CMcXVB4wT0OdQ+qfcCWLdocch8094iupM3xjUwsNXy22Bm7wLekZ'"</definedName>
    <definedName name="_AMO_SingleValue_779436236_TaskState.1" hidden="1">"'OD8lDD1gGMAvH32BvXuFHmqgNsBzm0LO4eqg7MhJFkAlvM6xjeXbAbsQ4Jo4przOgD+z7j7AsoT0O0TVk6tCh30oYseOL9nx/jeZ7ugdYyrsqWZO5J+YEleB5YhnfVAT3Cpam2OqzmuOpD8lM67Jh4jBLMbS49keyKZhD65vA26x697uDboSlIwUHNu8sfbbUxwlZj0Zqj3IxdKLaL0THQWKMuD5twq5202p7N86Y6pdh40p9QnnnO0HTfF'"</definedName>
    <definedName name="_AMO_SingleValue_779436236_TaskState.10" hidden="1">"'0zZVyooikX/r1yl2mKNsRHAPsTh37jXF/UU5FF+TrLDn0fhqPE3HXH9ZWYIn9yjXsWZX+JzFKvCL3cKzwKz6CfufGDp0zOl7eTqyFWysWWHkO2u753uyo6HqPUuNJLXjYNqV2L3SHgFlbJes79r13OOpLG2H4LEztZKCp0TcizH1MdRrxaN0TqPqHGUT4juawoJG8Ssr0/Tb31/VebgO7XzNG//G1fYN9fJTV/bnxOauKXxC2cwI79E/pKx'"</definedName>
    <definedName name="_AMO_SingleValue_779436236_TaskState.11" hidden="1">"'fgamFmNK+J2M3550RymcmDyLSDc607Ui46qh7h7venQxnZms0UuJ+MGW+BdzUlFVoZkrfTeonhjlTK2aJg7NlO0qT2m0rswS2J1Fb3K39OG3iHAfE7MSCemnDoyXO37NZp0afKY5sWpOX3uLgO9FOHbpWuUvSinFxRrWexMBrCVsI1/qq+hofReL2tKD/cVBb6gqeiNv7KauRVXtbTEC0mPyX3QWNCTa3bi4MpWWT9EK/duAyTy2vkU7nLe'"</definedName>
    <definedName name="_AMO_SingleValue_779436236_TaskState.12" hidden="1">"'o5E9pps8ecOYnsc9esS7Lcm/hsG4/z78BbuHJ6Cnt+wqCaYpdlw9Sb/A+65P9CvAUNcRlFXxT/qayOs+kkUvP69DyrmLwc7/pE+UHtU7HwfWD/AQ=='"</definedName>
    <definedName name="_AMO_SingleValue_779436236_TaskState.2" hidden="1">"'nQJo7hZAc68AmvsF0KwWQPOgAJqHBdA8KoDmcSE+YTsnqnxU7rHvKOMRT15e/jtqLoCFU30wo6NVU31CfME/xcj8gnsd83tVHFRiRV8SukkxzJTixzk4SxapydrOCE3FeIKrCUXdTiwnuNOi8j4wTgiW4+O1Hul6ZJWXHRH3jKIfGQO38D3Db4li1BfCLGHcWjknzRoRdW0oVadBUgVJfYNzqb8r/Bq4UvX4nWK6K2qnPtG1JXXWN0Jb0An'"</definedName>
    <definedName name="_AMO_SingleValue_779436236_TaskState.3" hidden="1">"'ppnCBGhPg5jJxeQyiwu88BsgZjKthnhsKprmvtisJ+Pfq1k93yaxLWs4Nvh8ItkZt3idPI/K6TbQqkUteo8wtr11epjvCY2zR4c5H1WzUzjgFtJpdcpg51eD9foQPh62w15QtdslvlVBrQLyMrRy0BIgKe8V+Q859yt6aZzWc+WUVb3whBRWR+SSjoWZL79k/sKQa9HuG3/eAfEL5BNTfus7/DeXE6XOT8eMd11/7wpVwiPYqxcBznAmWo0'"</definedName>
    <definedName name="_AMO_SingleValue_779436236_TaskState.4" hidden="1">"'ywHGaC5SATLNVMsOxngmUvEyy7mWDZyQRLOhzOmZkoDG4vGc/jT2gm68E1hm6OX/eXSUJd02jW9/E4P6O0DbKBPo1APWsG8BNga2b08EycimhYzKh2PdHI5mmlQbOzQVqpUekQcAZFREIvztjRPhd5w4RineAYLXnEGp+XYA6yjG/ruHfFvqB/NGLKHIyrhXtfl8bShG4uEGMsi+cS9n6K4yy2ZPlF3OF2altBE58uxdzCZ81ztNAwLvKxz'"</definedName>
    <definedName name="_AMO_SingleValue_779436236_TaskState.5" hidden="1">"'XO0YAvj2e3StsDj1vh4VmcHdi51QbUWgPXXvvAHcp7ArufNTeRzrTZs/TPlKiJPEfMbY5JxomTGKs9tghI5nZufID6cNdzjxyuafXlrZbt3VgbBc50BjUQlivG/EZxX914dpRsFL0GNY3LmHJe47pr4f8aRX8ossrf/i7Qyi1bljfJSm6OH+H5b6qKG65k1L5qv525g1I3yt1HzX+ExSwPftTXw6MlGdtk2tzRX0s055vSjnpc93JBNLDuO'"</definedName>
    <definedName name="_AMO_SingleValue_779436236_TaskState.6" hidden="1">"'X6CX1YDplHUgxQ0+Nci8WTZgaz/LzCN4BA+nG1d3cZ5xSGj5TCLZcxBZyzlOyTLvOo4hRRY1nHNORyS5zHM5zLYPluQrauLUUNfVhK+mGRIm+WTq0ZoN5ldchnNXSdpnZ1HrMornYmdN+NhdEz721oSP/TXho7omfBysCR+Ha8LH0ZrwcbwmfMj1JavmpJJoFAtaSeEexQc02qav/+KJy7+Ayz8QaYhRecrkbLR31Have7Bhbx0zG8FPXbc'"</definedName>
    <definedName name="_AMO_SingleValue_779436236_TaskState.7" hidden="1">"'C5k/DJXXSqUU+s5U6SEMpLF5RJc/6SXMPxwlKGyZkHUcnlRSdCM7D1suolpLOopqgeoY62qa0Ta3Gpna0VWmrytyqdrVVaavK3Kr2tFVpq8rcqva1VWmrytyqqtqqtFVlblUH2qq0VWVuVYfaqrRVZW5VR9qqtFVlblXH2qq0Va1gFnRb25W2K1+7ioKMfopoP7uMt66nbq7XbhPP67u2x2+PlSKeSAftMVMEL9wyfhRGvcW8O/wUs0bAb1'"</definedName>
    <definedName name="_AMO_SingleValue_779436236_TaskState.8" hidden="1">"'+CYmzDb4cIvVrB+baS/6hne6FlR746G5LOjECtZDf2paMV5YeLGQHTydKJ5D9oDW3QOzk2H1esT29ODh1YvOv/h+SF3TVLxJGoW3K9Ly88prPE3ZdULm9Y9K4YYucGvj9Ituu4nW+Mpl+//wVXcn8Sjo+v/31QcAbtrrG6VdxeaO/7R5WUNrnqaF74Mh7z8Xc5z7RX016tYK+mRmLav2n/lt6/8fd8TiDRGc4+4XOlfZz2cYX7OL+8W/s57'"</definedName>
    <definedName name="_AMO_SingleValue_779436236_TaskState.9" hidden="1">"'eey8HMN2pND+zjt49bFx4k5Tu3ftH9b5qlTHT2wzi4Zf4v7Qkdx2sMt7eFULME7hvRRf8L4/iBifltIbr/7HtyXN7fH3aKv3cCTtZnYN6Gte5zucYXHFOozqfhRxc/eu/N/2i53hTlhf7J1e66e7/PsTXhqmWwmzNm2cXy6upecbfXx/LfXJ6f3xWG8R3nPZF4zmFIyL3TNxH9DDRw77Jw78ofN2IGtklCPm+Dj+O+P0BEhL78Xd0xKJp/q'"</definedName>
    <definedName name="_AMO_SingleValue_805804074_TaskState" hidden="1">"'Partitions:11'"</definedName>
    <definedName name="_AMO_SingleValue_805804074_TaskState.0" hidden="1">"'SASUNICODE7V1bb9pIFD7PK+1/QFlpH6puSMhd24sIpElVSligqfYpooRs0XJJsWk3Wu1/32/OeHzDNrYxNqARAuzxmXOZ+ebM8cx4/Ire0j80phGV6DsNaEYGDWlKE3pNe3RI+3SA/xKuTKiP9AdcndBffHVOJj3Sb3SO47f0hn6mn+gVdakHHn8jzwRHY+QUtB1Qj/HpQcIzrgmqL5A6AO2eLVtQHkPmEctVsgW/scWliu8+XdE1fpUkA'"</definedName>
    <definedName name="_AMO_SingleValue_805804074_TaskState.1" hidden="1">"'8d15tQHjyH4Dugl8t357DkB3SF4HtjcBVUNmo1gyRy0QtcJfoVlM3AfMUUL50LXIfh/wNVnSJ5C7oC5CmknKIMByqIPzb/QBX6PqQJZFzjbs0vmjq0f2pbXwGXER33Ik1r6S83EmYmze1he5+OexceI4Ozl0mfbvrFNsjyFvU2+Js77ODf4TEkwkNO09BP1NmG6ckx5M+T7kYukNkv6znLmSMtDpmmnizoz+ShfuRPOnYfMJ24T33PEjlfi'"</definedName>
    <definedName name="_AMO_SingleValue_805804074_TaskState.10" hidden="1">"'HuxHSANtRtRKnapc9otIkRRtUu+8m7NXc7T1amH4EBUHL94WGVTbwvInG+XhNRK9n56o4SnvJNcn932FwsZHvpMqQTvJT5Z/3Df27ePMjWqT3PfyXZL7hRpW6ak3xCR/M+A+SmhEcodDg+R7Dv39QjqL/HFrep39nBY1rgT08mH1U7b5vaH/AQ=='"</definedName>
    <definedName name="_AMO_SingleValue_805804074_TaskState.2" hidden="1">"'YQEyKwXIPCpA5nEBMk8KkHlagMyzAmSeFyDzohCfcJCTVNEr9+kr0kTEk5eX/4qcc3ARUh+s6GjdUr8hvhDfvK1VctdV1uVYMZeibnHk8sRRo4koL1l8pnK74zI/Rxn1fkSal4+TvsdXpJX7/PFGzv642YmNJbU/DhY0JucQuo7xFbRlesFxbY/LuoRcQ9ZlYkfLJVCU6Vf6BXcHdfrdOqriKCj+eRlIKaXIGC2ZDH9c95r+pQauXCLyb+D'"</definedName>
    <definedName name="_AMO_SingleValue_805804074_TaskState.3" hidden="1">"'sV6BmDhqTcznH/0Vq4sZJMn0WPdCLQLoSPrK+4msczqnEdef3B/E5l2LYcrEzlpzvjCVnO2PJ6c5YcrIzlhzvjCVHO2NJZWcsOdwZS7bXDvd43zZY4Y3Z/THzJc6mPD7tjpgVVZOtGHC827dHRt+DtmpF7WJkWd0vCEkyqpT3WjN71DBcfpPHh8PkVzl1BDoRRRqWBg2OkQd8v+Icy3uYKZdPfPm3OFZ3Hw2WYabWJVwDJd0tzYi8W3JTev'"</definedName>
    <definedName name="_AMO_SingleValue_805804074_TaskState.4" hidden="1">"'Wp4VqDPuF+phnT5nBebVz7vDKXFsrmGjhclc8NkFXH5yq2ZeUEJVqOVffpcOqgoIVvD9IH1t2PmSNCo7TIB5vvUINt+L7uylgQvi0+n/xwEO0vb5D7AWnq3v8G3x6nzCL9Qzb1r6RWcT6zx3ryRUATrTeL+hderonf6gZiINoXqFrocg/cy7mXCpKeV83fcu2vWvPX8CBVcKrTPay4xbcKm7cLA07pZxmrdJhOrhBIIjdu2cUZoVXUbb6Wd'"</definedName>
    <definedName name="_AMO_SingleValue_805804074_TaskState.5" hidden="1">"'JZd5XKP4qq0xblnkXqH2m+zpmO2XMWgguYggEvyVQBxcvjXAkSvABgxJzWu/miPC4szYcM7T0raUf9lc8nFa3G4IXpUNkSPow3R43hD9DjZED1ON0SPsw3R43xD9LjYED3UnPi6NSkn6sXC5oC9vfiQe9v0+Z8X4vJP0PIPRBqyV36yR4oWe23vrK1D26U486/7ISMu0Za65VSXzt6qMkgjKSpe8Vue9ZxzH59LpDYtyho+96msuF+iedRs'"</definedName>
    <definedName name="_AMO_SingleValue_805804074_TaskState.6" hidden="1">"'vx8p6RDVgtQr5NGY0phaD6YONao0qjJHVUWjSqMqc1QdaVRpVGWOqmONKo2qzFF1olGlUZU5qk41qjSqMkfVmUaVRlXmqDrXqNKoyhxVFxpVGlVrGAU90LjSuArE1TLK5bOIztxlvHU9NWuFZ4d13ty1PUH7QhQxIx22L0YRughk/ChMepsWdyUpZo1A0FPVxWAj6Kl2vVrB/XxDcK/neKFVe74ajbjMjNBSya7vSydrmR8upgdMZ8v9Uv3'"</definedName>
    <definedName name="_AMO_SingleValue_805804074_TaskState.7" hidden="1">"'D1tBe8/kcKf51LUqPBg34qaaRi4uyp43fGf5F6xparcfJWWKNZN6S5yks6THdKd625Nfylpat9+7gmqC9BHW267jdT3MZbIv0MclWcX/C2SPrOGZ+Yv3vg4/nI8n16fmt4l6kdvDg0KTD5LqjeenLRMwnnv660l5Ne7WCvZo/EtP+Tfu39P5NPOdzCYuucPQe34b2cdrHFe7jgu67tZ/Tfi4LP9fkp/i1j9M+blN8nBzj1P5N+7dVZp1qaI'"</definedName>
    <definedName name="_AMO_SingleValue_805804074_TaskState.8" hidden="1">"'E1uiHxFPe1juK0h1vZw/m5hO/CMUD+KYk9N+T4trTcefY9vC1vb4vroq3dwpN1SO6b0NEtTre4wmMK/5xU/Khi11t3/rPtaleYS/qTNm1ePd/57G2YtUw2Euau2zg+Xb3XpYMy++Dx4/H896JPTu+Lo3Rf5j2Tec0oSduxYkb8/4j0eHm167g+N5l9/ja7rVaWfRYF136N+0YTaWOme4iluXsvJdEe9iL5tRiF/YUSX09LurfWF5Y9PWo8K'"</definedName>
    <definedName name="_AMO_SingleValue_805804074_TaskState.9" hidden="1">"'1WOrt0XJCsLJ5/bQzmpnQg+TmRX8vEpsfYDjoUeI1EQT9I7jmtMpE1Z7+US5hx9NezINGiPWH+ZR5ehE98t9pdxS/uWxBu86p5o0c3Nm3PK1HtWBPkFOFK2fganNvog55ry9e4rY6TPLB1kzxgemTs9ZwV6nrry34FicfezmVUjzRX4P1i2d0H7ZNksS+iJf1vcjgxrhEeOLoVH2eK9Z88uHnV+I5v77sIZNfLXvLcWwtLXhQqxK3BcTITt'"</definedName>
    <definedName name="_AMO_SingleValue_825207699_TaskState" hidden="1">"'Partitions:13'"</definedName>
    <definedName name="_AMO_SingleValue_825207699_TaskState.0" hidden="1">"'SASUNICODE7V1ZbxpJEO7nlfY/IFbKQ5Q1vg/lEsZXFIxZcBztE8IYJ2i5woC91mr/+35dPT1Hzz0MM5BtjYA5quvq6qrqY5p37CP7m43YkJXYE+uzGTPYgE3YmL1nZbbDttg2fkt4MmY93H/A0zH7Rk8XbM4e2e/sGOcf2Qf2K/uFvWO3rAscf6HMGGcjlOSwbUCPcHRB4QXPONQ9qPYBW7Zoc8h90NwjupI2xzcysVTx2WLn7BLfkpKB8'"</definedName>
    <definedName name="_AMO_SingleValue_825207699_TaskState.1" hidden="1">"'zPC1AOOAfD22RuUu1PkOQDcDnBuW9g5VA2cDSHJArCc1zG+uWQzYB8SRBPXnNcB8H/G0xdQnoBun7ByagfQQR+66IHze3aC7322C1onuCpbmrkj6QeW5DVgGdJZD/QEl6rW5ria46oDyc/ovGviMUIwu7H0SLYfJJPQJ5e3Qc/4dQ/XBl1JCgZKzk3+eL2NCa4Sk94M5Z5zodQiSk9EZ4F7edCcW/d5nc3pLF+6YyqdB80ptYmnHG3HTXGn'"</definedName>
    <definedName name="_AMO_SingleValue_825207699_TaskState.10" hidden="1">"'4B5ice7ca4r7i3IoviZZYc+j8dV4mo65/rKyBE/uKNexRlf4mMUq8IvdwrPArPoJ+58YOnTM6Xt5OrIWbKxZYeQ7a7vHe7Kjoeo9S40kteNg2pXYrdKOgDK3S9Z27XLueCrvtkPw2D21koKnRNyLmPoY6rXiUbqgqDrHvQnxHU1hQVG8bvU0/fb3V3UerkO7v+bNf+Nq+4Za+Zmr9+fE5i4pfELZ7BHeo31IWb8CUws5pf1M5m7OJyPcn5k'"</definedName>
    <definedName name="_AMO_SingleValue_825207699_TaskState.11" hidden="1">"'8iEw3uKdtZ8J74HPfUf4OEN7dDGdmjTSWwP9gyn4L2Kkps9DQlL6b1F4Mc8RWjBYH95rtbE1qua2MFtgeRa15dy3EqRtnPBCjFAtqrQ2Ppjh/T2aZKn2mOLKpVX73FgffkXbq0LfKXZKajIszqvYkBl5K2EO41lfV5ng0idvigv7PQa2pOjwSt/kzViXL9taYgGgx+W+zC4oNNrduLgylZpO2Rr+64HJPLQ+STu8taj0T2nWzx5z9E9nurl'"</definedName>
    <definedName name="_AMO_SingleValue_825207699_TaskState.12" hidden="1">"'mX5Lk38dl2Huefcrdw5fQY9liFQSXFjsuGqTv5L3jJ/5F3CxriMor2KP5fWI256SRS+/jpeVYxeTne9cn4g+qnYuH7wP4D'"</definedName>
    <definedName name="_AMO_SingleValue_825207699_TaskState.2" hidden="1">"'AJq7BdDcK4DmfgE0DwqgeVgAzaMCaB4XQPOkEJ+wnRNVHpV77Dvu8YwnLy//HSUXwMKpPpjZ0fJUK7GyDwndpBg+pfxpjnwnWaYiSzszFBXjKa4mlHU6sZziSYvu94FxQrAcHy/1SNcj637ZkXHOKPrLHLCF7xl+S5SjvRBmCePWygVp1ogoa0OpOg2SKkjqG5xL/dXxa+BK1eN3ymnqVE99omtL6ixvhNagE9JN4RIlJsDNZeLyGESFP3k'"</definedName>
    <definedName name="_AMO_SingleValue_825207699_TaskState.3" hidden="1">"'MkDMYV8M8NxRMc19tVxLw79Wtn+6SWZe0nBt8PxBsleq8Ty1N9Gs20apEX+oa99zy2vfL9ER4jC063P0xtTdm97gEtNq74jBzKsHb/QgfDlthr6m31CVvWUKpAfEytvpgJUBU2Cv2G/qcZ+yteVbFmV9W/cYXUlARmX8yGmpv4T37B5ZUhX7P8fsekD9wfwLqb13n/4Zy4vS5yfjxxrXXvnAlHKK+SjHwnGSC5TgTLEeZYDnMBMtBJlj2M8'"</definedName>
    <definedName name="_AMO_SingleValue_825207699_TaskState.4" hidden="1">"'GylwmW3Uyw7GSCJR0O58hEFAa3l4zn8Sc0kvPgiqGb49f9ZZJQ1xTN+j4e52eUtkE20KcI1LNGwD4BtmpmD0/EqciGxYhi15ONbJ5WGjQ6GaSVKt0dAs6gjEjoxZk72uei3zChXCc4R0uescbnJZiDLPPbGp7V2Re0j0ZMmYNxtfDs69JYmtDNJXKMZfFcwd7PcJzHliy/jDvcTm0raOLTpZxb+Kx5jhYaxkU+tnmBGmwhnt0ubQt1mgmJi'"</definedName>
    <definedName name="_AMO_SingleValue_825207699_TaskState.5" hidden="1">"'2d1dmD3pS6p1AKw/toX/kCOE9jlvH0TOa/Thq1/pr6K6KeI8Y0xyThResYqz22CEn06Nz9BfDhLuOPHKxp9eWv1du+sHgTv6wwoEpUox/9GcF7de3WULgpegRrH5OxzXOG6a+L/GSO/lFn03v4v0spetCpvlJfaHD3E99tSF1Vcz6zR2Hw9dwNRN8rfRo1/hecsDXxX18CjJ4vssm5uaaykm3PO6Uc9L3u4IZtYNo5fopVVgemMdSDFDT5V'"</definedName>
    <definedName name="_AMO_SingleValue_825207699_TaskState.6" hidden="1">"'yLxZNmBrP8ueR3AED6cbV3dx5jgktJyTSDYPIks545S8513HMKTMoopzzumIJJf9XA6z7YMl+YqSOCXUdSXhq0mGhEnOTD1ao8H8istw4bqTdr4sal1C8VzsrAkfu2vCx96a8LG/JnwcrAkfh2vCx9Ga8HG8JnycrAkfcn3FqjmpJIpiQasn3FF8QNE2ffkXT17+BVz+gUxDROUpk6PR3qjtXvdgw946RjaCZ123AsZPwyV10qlGztlKHaS'"</definedName>
    <definedName name="_AMO_SingleValue_825207699_TaskState.7" hidden="1">"'hFJavqJJnPdPcw3GKuw0Tsoajk0qKTgTnYetlVEtJZ1FNUD1HGW1T2qZWY1M72qq0VWVuVbvaqrRVZW5Ve9qqtFVlblX72qq0VWVuVQfaqrRVZW5Vh9qqtFVlblVH2qq0VWVuVcfaqrRVZW5VJ9qqtFWtYBR0W9uVtitfu4qCjJ5FtOcu463rqZnrtdvE8/qu7fHbY6SIGemgPVaK4IVbxnNh1FvMu8NNMWsE/HZDKMY2/HZI0KsVnG8r+U'"</definedName>
    <definedName name="_AMO_SingleValue_825207699_TaskState.8" hidden="1">"'c92wstG/lqbEg6MwK1kl3sS0cryg8XEwHTydKJ5D9oDW3QOzk2H3XWpzcnhw4s3vX/Q/LC7pIl4kiULbnelxce03nH3ZZULm9Y9K4YYucGvj9Ituu4nW+Mpl+//wVXcn8Sjo+v/31QcAbtrrG6VdxeaO/7R5WUNrnqbF74Mp7z8Xc5z7VX016tYK+mZmLav2n/lt6/8fd8TiHROc4+4VPXPk77uMJ9nF+/W/s57eey8HMN2pND+zjt49bFx'"</definedName>
    <definedName name="_AMO_SingleValue_825207699_TaskState.9" hidden="1">"'4kxTu3ftH9bZtaphhZYY1eMv8V9qbM47eGW9nAqluAdQ/ooP2F8fxAxvi0kt999D27Lm9vibtHWbuDJ2kzsm9DWLU63uMJzCnVOKn5W8bO37vxn2+WuMKfsT7Zu8+r5zmdvwqxlspEwZ93G8enqXnK21cfz316fnN4Xh/Ee5T2Tec1gSsm80DUT/400cOywc+HoP2zGDmyVhHrcBB/Hf59DI0Jefi9uTEomn+rTNlXKiiKRf+3XKHeY496I'"</definedName>
    <definedName name="_AMO_SingleValue_921006515_TaskState" hidden="1">"'Partitions:11'"</definedName>
    <definedName name="_AMO_SingleValue_921006515_TaskState.0" hidden="1">"'SASUNICODE7V1Zb+JIEK7nlfY/oKw0D6PZkJBbO4cI5BgNQ1ggGe0TYgjZQcs1YDITrfa/79fVbl9gYzvGdlALAXZ3dR3dn6urD9tv6QP9pBENqUCP1KcZzWlAExrTO9qhfdqlPfwXkDOmHtLvkTumvzl3QQY90O90iuMP9J5+pV/oLbWpCx7/oMwYRyOUFLQtUI/w6ULCE/IE1VdI7YN2x5ItKA8h84DlKtmC38jkUsZ3ly7oCr9K0hzHV'"</definedName>
    <definedName name="_AMO_SingleValue_921006515_TaskState.1" hidden="1">"'ebUA48B+PbpDcrdeew5At0+eO5Z3AVVBZoNYckCtELXMX6FZTNwHzJFA+dC1wH4f0LuEyRPILfPXIW0I9RBH3XRg+Zf6Qy/h1SCrDOc7Vg1c8fWDyzLK+Ay5KMe5EktvbVm4MzAWQeWV/m4a/KZB3B2c+mxbd/ZJlmfwt4654nzHs7nfKYkzFHSMPUT7TZmumJIeTOU+5GKpCZLemQ5C6SlIdOw0kWbGXyUrtwxl05D5pSviccUseOWuJ+B'"</definedName>
    <definedName name="_AMO_SingleValue_921006515_TaskState.10" hidden="1">"'PVd0qXDxmePpArST/GTdh31z1S7OnGg2yDmia5N8ctzcrDn1roDob8jaRQ0NaWiO6uX7vrw+Pp5F3uglvs5eTssal1bEjn7tU7T4vaf/AQ=='"</definedName>
    <definedName name="_AMO_SingleValue_921006515_TaskState.2" hidden="1">"'zFIGMg8ykHmYgcyjDGQeZyDzJAOZpxnIPMvEJ+ylJFX0yj36hjQR8aTl5b+h5AJchNR7MzratNTviC/EN21rldxs6voJeR3zN0vZm7K+GCriVNQNjtumHDMb0CxadKpKO6NSL0cZ839GmpuPnb7DOdLKXf64xw3eUYM9MpDU3lGAoDG4hNB1hK+gLdJrjuq7XNcFlBqwLmNrrFAARZFe0W8YG1XpD/OojKNV0d+blZRSioxQo8nwRrXv6F+'"</definedName>
    <definedName name="_AMO_SingleValue_921006515_TaskState.3" hidden="1">"'qIecc454azl7hmlmAxuBS9vF/gZo4cRJNn2X/+3olXQEf2V7hNfbnVOC283rD8JwLIWw52xpLTrfGkpOtseR4ayw52hpLDrfGkoOtsaS0NZbsb40lL9cO52znS7DCHbN7Y+ZznE14dt4ZMSuqOlvR53i3Z80LfwRt2Yzaxby6Gi8ISTKqlCPNmTVn6i+/zrPjfvLLnDoEnYgi56YGNY6R+zxesY/lGGbC9RNe/g2O1eijxjKM2Lr4a6CkO6'"</definedName>
    <definedName name="_AMO_SingleValue_921006515_TaskState.4" hidden="1">"'XNA0dLTkq3PhXk1egW45l6SJv9eTWR9+XZXBqomyvg8Ll8roGsKj4XoS0rRqjRYqi2j4dTGwUNfLuQ3jdHP0aKCA3SIh1sXqIFm/B97WdjQfi28HzSw0Gwv7xG6XukqbH/Nb5dTpkF+odk2l9JLeN8Zs31pIuAOq7eJNpfeLk6fss5xECwL1Ct0OYeuJtyL7VKelotf8Ot/9yWv4IHKYNTlTqw4gbfMmx+WRiwaz/JWKXFdHJ/RBS5Yesuz'"</definedName>
    <definedName name="_AMO_SingleValue_921006515_TaskState.5" hidden="1">"'Aytom5yXtQ9BqqUcxZXpS2vvIvUO7R+kzUdseUqBhU0eyu4RN8DEaaEdydE8P6HIXNS8+oP1rywOBM2XLpS4s78r1tJz16L/ZzoUcqJHgc50eMwJ3oc5USP45zocZITPU5zosdZTvRQOwI2rUkxUi/mtw7s7sUH3NvGL/+0FJffQss/EWnIXnlqzRQt99ruVVubtk1h1l93fWZcgi11yimvXb1VdRBHUlC84rU86TXnHj7nSK2blBV8OrGs'"</definedName>
    <definedName name="_AMO_SingleValue_921006515_TaskState.6" hidden="1">"'6KzRPGi134uUeIhqQOoFymhMaUxtBlP7GlUaVYmjqqRRpVGVOKoONKo0qhJH1aFGlUZV4qg60qjSqEocVccaVRpViaPqRKNKoypxVJ1qVGlUJY6qM40qjaoNzILuaVxpXK3E1TrK9auI9tpluH09FXOHZ4t1zu/enlVPxchiRdrvqSBZ6CKQ8SMz6U1afiZLNi2y6k56vUfAeVfB6r7Gvvaf299UaMh1NvetleR6nHiy1nm/bPqdeLZ01ur'"</definedName>
    <definedName name="_AMO_SingleValue_921006515_TaskState.7" hidden="1">"'vt3P1is8XSPHuJlF61KjP9xINHVyUPU38zvAvrq6BefXYJQuskSxbcN37JP2UM8V9LXm1vKF1u6xbyBO056BOdve08x6qOdsifUy0vdO3OHtgHUfMT+y6vffwfCC5Kzy9vdPL1DYebJp4mNx0DC19mYi0xD1XF9qraa+WsVfzxj/av2n/Ft+/ibtrzmHRBY4+4lvTPk77uMx93KrRrvZz2s8l4efqfO+89nHax+XFx8mZRe3ftH97jn+7hm'"</definedName>
    <definedName name="_AMO_SingleValue_921006515_TaskState.8" hidden="1">"'23/ARzce90S3s47eEy93DeGfLwPs7/ORt96Doh8VQNOZcua9m+u93fb+Tp6k5/xU09GeKc/qK8ra2lu6b1EtZQoo3LnW0bxqerN1u0UGefXH48nP9e9snxfXGQ7uu8ZzSvGSQpL6vmRYeP9y9XYa9qIG3EdPehrljnkzhETe4E8muw/r0lf7KZNuiYu1OKLl8czkpVom15kWh1YZdzYttObQXwsWOCgodPgbXvcy/6ENgzhZN0yT2igbQJ6'"</definedName>
    <definedName name="_AMO_SingleValue_921006515_TaskState.9" hidden="1">"'x1FQnFN3dg9/rIHDVuLNyTealN1xQ9Obu6SE6beMWOKr8CHsuELODXhlew8dfU7c0ZIn5k6SF/pH6vZvrTkKHuH3OXn4czMWq7H5H1v2twG3dS0VdbMlH8bfF3MzZGHHPX4x1viHUBPDh5VfjuRM860RzPeFnfXvl/6ptAgnhEZFgt+z5L0IqOGa0C0SJXKXO/LCJEUTVLvf1qwl7K1dWsx9yBpHU7cV9eqlhZWTy1k+7dG8JOVROtO+JlC'"</definedName>
    <definedName name="_AMO_SingleValue_991905274_TaskState" hidden="1">"'Partitions:13'"</definedName>
    <definedName name="_AMO_SingleValue_991905274_TaskState.0" hidden="1">"'SASUNICODE7V3pb+I4FPfnlfZ/QF1pPoxmS+ldzSUKPUZDoQudjvYTopTOoOUaAp2tVvu/78/PcQ7nIAkhAdaKgMR5fpefn59fHPOOfWR/syEbsAJ7Zj02ZQbrszEbsfdsh5XYLtvDbwF3RqyL8kfcHbFvdHfOZuyJ/c5Ocf6RfWC/sl/YO3bHOsDxF+qMcDZETQ7bAvQQRwcUXnCPQz2Aag+wOxZtDnkImgdEV9Lm+IYmljI+u+yCXeFbU'"</definedName>
    <definedName name="_AMO_SingleValue_991905274_TaskState.1" hidden="1">"'jJwXiVMXeDoA2+PvUG9e0WeI8CVgHPPws6hKuBsAEnmgOW8jvDNJZsC+4AgbnHNee0D/2fcfQHlMej2CCundgQd9KCLLjh/YGf4PmT7oHWGqx1LM/ckfd+SvAIsAzrrgp7gUtXaDFczXLUheZXOOyYeIwSzG0uXZPtBMgl9cnnrdI9fd3Ft0JWkYKDmzOSPt9uI4IoR6U1R72cmlJpE6ZnozFGWBc2ZVc7bbEZn2dIdUe0saE6oTzxnaDtu'"</definedName>
    <definedName name="_AMO_SingleValue_991905274_TaskState.10" hidden="1">"'ImTl96KOSfHkU33apkpZVCTyb/0KxQ4zlA0J7jES5869pri/2AnFd0tW2PVofDWepm2uvywuwZN7lGtb2RWes1gFfrFbeBqYVT9h/3NPm44ZfS9PR7aCjTUtjHxnbXe+Jz0aqt7T1EhcOw6mXYzcK+0RUMZ28fquXc89nsrSVggee6ZWUPAUiHsxpj6Feq1olC5pVJ2hbEx8L6Ywp1G8Zs00/f4ZQNV5uA7t+Zo3/o2q7Qb18qpr9ufE5q4'"</definedName>
    <definedName name="_AMO_SingleValue_991905274_TaskState.11" hidden="1">"'pfMKOOSN8QP+Qsn4FpiZiSvuejN2cd4Yon5o8iEg3eKZtR8IH4LPkqH8PCO9uhlOzRepL4H80Zb8D7MSUWWhoQt+31F8MM2MrssXBs2Y7WpNabinZAtujqC3vboUobeMcD0SWYk69te7RFOfv2axTps8ERzqtykvvcPAdaScOfavcxWnJqDgXtZ7EwGsJewjX+qr6HB9Nova4oP9zUFuqBo/Ebb7KymTZ3hYTEE0m/518TmODza2bC0Np2b'"</definedName>
    <definedName name="_AMO_SingleValue_991905274_TaskState.12" hidden="1">"'i90a8tuNwTy4Mk03uTes+Ydt3sMuf8RPa7G9YheR5MfLadR/ln9V1cOT2GnaswqKbYcdkwdSf/NTX+P7jvQkNcRtEfxf/Rq2NuMonUOX5ynlVMXo73fSL+oPYpWvg+sP8A'"</definedName>
    <definedName name="_AMO_SingleValue_991905274_TaskState.2" hidden="1">"'iqUcaO7nQPMgB5qHOdA8yoHmcQ40T3KgeZoDzbNcfMJeRlT5qNxl31HGI56svPx31JwDC6f6aEZHy1MtRoo+JPQtjeETip9miHfiRSqytjNCUTGe42pMUacTyznuNKm8B4xjguX4eK0nuh5a5TuOiHNKo7+MAZv4nuK3QDHaC2GWMG6tXJJmjQV1bShVp0FSBUndwLnUXw2/Bq5UPX6nmKZG7dQjurakzvpGaAs6Id0UrlBjDNxcJi6PQVT'"</definedName>
    <definedName name="_AMO_SingleValue_991905274_TaskState.3" hidden="1">"'4nacAOYNx1c1zQ8E089V2MQb/Xt366S6edUnLaeD7kWDL1OY96mliXrOJViXmUjcoc8trl+/QHeExdulwz8fU2Zg94xLQ6uyKw8yoBu/3Q3w4bJG9ptlSh7xlAbX6xMvImoMVAFFkr9hvmHNW2VvzrIwzv6j6jS+koCIi/3g01NnCe/YPLKkM/V7g9z0gf6B8DOpvXef/hnLi9Lnx+PGOa6994Qo4RHtF5zgYU4HaTh1lomMuRJDlbGskOd'"</definedName>
    <definedName name="_AMO_SingleValue_991905274_TaskState.4" hidden="1">"'0aSU62RpLjrZHkaGskOdwaSQ62RpL9rZGktDWSbK4czizyJkjhjqqjzRDGlPl/dM25Nmce4C+ThLqh2U/PJ0LdRmnrZIc9mrF0rScmnwBbNmebz8SpyJ5wXsS8wD173Tyt1OlpVpBWylQ6AJxBM2ihF2euwT4XeaYx9bvgOX38DEd0XoI5SDMfUsG9GvuC/lGPKHMwribufV0ayy10cwX/tiyea9h7FcdFZMmyy9CE26ltBbf4dChHI3zWL'"</definedName>
    <definedName name="_AMO_SingleValue_991905274_TaskState.5" hidden="1">"'EMLDeMiG9u8RAs2MabeLW0LfMyMjmd1dmDn3q6o1hyw/toX/kDmle163lyWXAfQgq1/ptyWyGuJfPiIZBwrmVSV5xZBiRygm58gPpw13OPHK8rWv7Wyo/dWxonnxvo0EhUoJ/SN4Ly69+oo2Sh4DWockzNHdY3rjol/G0d+KbPI9v1fpJVZV1XeRV5qc/QQ3W9LXZRxPbWe3mXruesYdRf520XPS8Jjljq+y2vg0eON7LJt7mie1sk45vSj'"</definedName>
    <definedName name="_AMO_SingleValue_991905274_TaskState.6" hidden="1">"'npU9NMgmlh3Hr9DLysBUZW1I0cCnDJk3ywZs7ac58wgewcPpRtVdlGfiElo+w4733FzWco5Tssy77m1AkUUZ55zTIUku57kcZs8HS/wViFFqqOsQw1cfDgiTXMnwZD095FdchktXSdL1FYvWseXPRWlN+NhfEz4O1oSPwzXh42hN+DheEz5O1oSP0zXh42xN+JDr8VbNSTHWKBa02s49ivdptE1e/8UTl38Bl38g0hCj8oTJbLR31Havk7N'"</definedName>
    <definedName name="_AMO_SingleValue_991905274_TaskState.7" hidden="1">"'h7xyZjeBVOrsB+dNwSZ10+Nqn8DU+UgdJKIXFK6rkaa9M6uI4R2ndhKzgaCeSor2A87D1laqlJLOoW1C9QB1tU9qmVmNTJW1V2qpSt6p9bVXaqlK3qgNtVdqqUreqQ21V2qpSt6ojbVXaqlK3qmNtVdqqUreqE21V2qpSt6pTbVXaqlK3qjNtVdqqVpAF3dN2pe3K164WQS5+img/u4y2rqdirtduEc/ru7bHb0+qPJ5IB+3JlQcv3DJ+5k'"</definedName>
    <definedName name="_AMO_SingleValue_991905274_TaskState.8" hidden="1">"'a9ybw7ouWzRsBv95x8bMNvRx29WsH5tpL/qGd7oWVHvgobkM6MQK2kN/Ylo7XID+czAiaTpb2Q/6A1tEHv5Nh81FiP3pwcOLB41/8PyAu7axaII1G34HpXV3hMZ4m7L6lcNtjiXZTETj98P6l013E73xhNvn7/C67kflYcH1//+6jgDNqNaXWruL3Q3vePigltctXRvPBlPObj73JeaK+mvVrOXk2NxLR/0/4tuX/j7/mcQ6ILnH3Cp6Z9n'"</definedName>
    <definedName name="_AMO_SingleValue_991905274_TaskState.9" hidden="1">"'PZxufs4v3m39nPaz6Xh5+q0J4f2cdrHrYuPEzlO7d+0f1vmqVMFPbDCrhl/i/tKR3Hawy3t4VQswTuG9FB/zPj+ICK/LSS3330P7sub2+Pu0Nca8GQtJvZNaOkep3tc7jGF+kwqelSx7b07+6ftcleYc/YnW7fn6tk+z96Ep5bxMmHOto3i09W95Gyrj+a/vT45uS8O432R94znNYMpxfNCN0z8l17fscPOpWP+sBk7sBVj6nETfBz//Rk6'"</definedName>
    <definedName name="_AMO_UniqueIdentifier" hidden="1">"'7aad587a-8823-4b5a-ba9c-343fdc2eff87'"</definedName>
    <definedName name="_AMO_XmlVersion" hidden="1">"'1'"</definedName>
    <definedName name="_xlnm._FilterDatabase" localSheetId="4" hidden="1">'Employment 61Indx4Educ'!$B$1:$B$4</definedName>
    <definedName name="_xlnm._FilterDatabase" localSheetId="1" hidden="1">'SASAM 2019 61Ind 10Occ'!#REF!</definedName>
    <definedName name="Ind_Codes">Industry_List!$A$3:$A$126</definedName>
    <definedName name="Ind_Shorts">Industry_List!$B$3:$B$126</definedName>
    <definedName name="Prod_Codes">Product_List!$A$3:$A$110</definedName>
    <definedName name="Prod_Codes_2019_SAM">Product_List!$G$3:$G$110</definedName>
    <definedName name="Prod_Shorts">Product_List!$B$3:$B$110</definedName>
    <definedName name="SAPBEXdnldView" hidden="1">"47QF1XF9JCPHJDJVUDDWCYZ91"</definedName>
    <definedName name="SAPBEXrevision" hidden="1">2</definedName>
    <definedName name="SAPBEXsysID" hidden="1">"BWP"</definedName>
    <definedName name="SAPBEXwbID" hidden="1">"BYMA3KWAW0FAZYAOQJJWYMREK"</definedName>
    <definedName name="Unit">1000000</definedName>
  </definedNames>
  <calcPr calcId="191029" iterate="1" iterateCount="10000" iterateDelta="9.9999999999999995E-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66" i="42" l="1"/>
  <c r="F66" i="42"/>
  <c r="G66" i="42"/>
  <c r="D66" i="42"/>
  <c r="H65" i="42"/>
  <c r="H64" i="42"/>
  <c r="H63" i="42"/>
  <c r="H62" i="42"/>
  <c r="H61" i="42"/>
  <c r="H60" i="42"/>
  <c r="H59" i="42"/>
  <c r="H58" i="42"/>
  <c r="H57" i="42"/>
  <c r="H56" i="42"/>
  <c r="H55" i="42"/>
  <c r="H54" i="42"/>
  <c r="H53" i="42"/>
  <c r="H52" i="42"/>
  <c r="H51" i="42"/>
  <c r="H50" i="42"/>
  <c r="H49" i="42"/>
  <c r="H48" i="42"/>
  <c r="H47" i="42"/>
  <c r="H46" i="42"/>
  <c r="H45" i="42"/>
  <c r="H44" i="42"/>
  <c r="H43" i="42"/>
  <c r="H42" i="42"/>
  <c r="H41" i="42"/>
  <c r="H40" i="42"/>
  <c r="H39" i="42"/>
  <c r="H38" i="42"/>
  <c r="H37" i="42"/>
  <c r="H36" i="42"/>
  <c r="H35" i="42"/>
  <c r="H34" i="42"/>
  <c r="H33" i="42"/>
  <c r="H32" i="42"/>
  <c r="H31" i="42"/>
  <c r="H30" i="42"/>
  <c r="H29" i="42"/>
  <c r="H28" i="42"/>
  <c r="H27" i="42"/>
  <c r="H26" i="42"/>
  <c r="H25" i="42"/>
  <c r="H24" i="42"/>
  <c r="H23" i="42"/>
  <c r="H22" i="42"/>
  <c r="H21" i="42"/>
  <c r="H20" i="42"/>
  <c r="H19" i="42"/>
  <c r="H18" i="42"/>
  <c r="H17" i="42"/>
  <c r="H16" i="42"/>
  <c r="H15" i="42"/>
  <c r="H14" i="42"/>
  <c r="H13" i="42"/>
  <c r="H12" i="42"/>
  <c r="H11" i="42"/>
  <c r="H10" i="42"/>
  <c r="H9" i="42"/>
  <c r="H8" i="42"/>
  <c r="H7" i="42"/>
  <c r="H6" i="42"/>
  <c r="H5" i="42"/>
  <c r="GT214" i="34"/>
  <c r="HD193" i="34"/>
  <c r="GL214" i="34"/>
  <c r="GS214" i="34"/>
  <c r="GK214" i="34"/>
  <c r="HD205" i="34"/>
  <c r="HD201" i="34"/>
  <c r="HD197" i="34"/>
  <c r="GR214" i="34"/>
  <c r="GJ214" i="34"/>
  <c r="GQ214" i="34"/>
  <c r="GI214" i="34"/>
  <c r="HD204" i="34"/>
  <c r="HD200" i="34"/>
  <c r="HD196" i="34"/>
  <c r="GP214" i="34"/>
  <c r="GO214" i="34"/>
  <c r="HD203" i="34"/>
  <c r="HD199" i="34"/>
  <c r="HD195" i="34"/>
  <c r="GN214" i="34"/>
  <c r="GM214" i="34"/>
  <c r="HD202" i="34"/>
  <c r="HD198" i="34"/>
  <c r="HD194" i="34"/>
  <c r="H66" i="42" l="1"/>
  <c r="GI203" i="41"/>
  <c r="GF203" i="41"/>
  <c r="FX203" i="41"/>
  <c r="GE203" i="41"/>
  <c r="FW203" i="41"/>
  <c r="GC203" i="41"/>
  <c r="FZ203" i="41"/>
  <c r="GH203" i="41"/>
  <c r="GD203" i="41"/>
  <c r="GG203" i="41"/>
  <c r="GA203" i="41"/>
  <c r="FY203" i="41"/>
  <c r="GS192" i="41"/>
  <c r="GS188" i="41"/>
  <c r="GS184" i="41"/>
  <c r="GS194" i="41"/>
  <c r="GS183" i="41"/>
  <c r="GS193" i="41"/>
  <c r="GB203" i="41"/>
  <c r="GS191" i="41"/>
  <c r="GS189" i="41"/>
  <c r="GS187" i="41"/>
  <c r="GS186" i="41"/>
  <c r="GS185" i="41"/>
  <c r="GS190" i="41"/>
  <c r="GS182" i="41"/>
  <c r="GH214" i="34"/>
  <c r="HD192" i="34"/>
  <c r="GG214" i="34"/>
  <c r="GR201" i="41" l="1"/>
  <c r="GR155" i="41"/>
  <c r="GR149" i="41"/>
  <c r="GR152" i="41"/>
  <c r="GR122" i="41"/>
  <c r="GR114" i="41"/>
  <c r="GR76" i="41"/>
  <c r="GR162" i="41"/>
  <c r="GR197" i="41"/>
  <c r="GR173" i="41"/>
  <c r="GR166" i="41"/>
  <c r="GR153" i="41"/>
  <c r="GR146" i="41"/>
  <c r="GR141" i="41"/>
  <c r="GR139" i="41"/>
  <c r="GR112" i="41"/>
  <c r="GR84" i="41"/>
  <c r="AZ203" i="41"/>
  <c r="GS55" i="41"/>
  <c r="GR200" i="41"/>
  <c r="GR113" i="41"/>
  <c r="GR98" i="41"/>
  <c r="GM203" i="41"/>
  <c r="GS198" i="41"/>
  <c r="GR198" i="41"/>
  <c r="GR147" i="41"/>
  <c r="GR136" i="41"/>
  <c r="GR150" i="41"/>
  <c r="GR124" i="41"/>
  <c r="GR108" i="41"/>
  <c r="GR95" i="41"/>
  <c r="GR170" i="41"/>
  <c r="GR157" i="41"/>
  <c r="GR163" i="41"/>
  <c r="GR158" i="41"/>
  <c r="GR126" i="41"/>
  <c r="GR116" i="41"/>
  <c r="GR109" i="41"/>
  <c r="GR91" i="41"/>
  <c r="GR174" i="41"/>
  <c r="GR130" i="41"/>
  <c r="GR119" i="41"/>
  <c r="GR168" i="41"/>
  <c r="GR167" i="41"/>
  <c r="GR165" i="41"/>
  <c r="GR137" i="41"/>
  <c r="GR132" i="41"/>
  <c r="GR128" i="41"/>
  <c r="GR106" i="41"/>
  <c r="GR15" i="41"/>
  <c r="GR144" i="41"/>
  <c r="GR196" i="41"/>
  <c r="GR171" i="41"/>
  <c r="GR180" i="41"/>
  <c r="GR159" i="41"/>
  <c r="GR148" i="41"/>
  <c r="GR142" i="41"/>
  <c r="GR134" i="41"/>
  <c r="GR117" i="41"/>
  <c r="GR96" i="41"/>
  <c r="GR67" i="41"/>
  <c r="GR42" i="41"/>
  <c r="GR32" i="41"/>
  <c r="GR88" i="41"/>
  <c r="GR93" i="41"/>
  <c r="GR46" i="41"/>
  <c r="GR40" i="41"/>
  <c r="GR72" i="41"/>
  <c r="GR51" i="41"/>
  <c r="GR50" i="41"/>
  <c r="GR17" i="41"/>
  <c r="GR49" i="41"/>
  <c r="GR69" i="41"/>
  <c r="GR61" i="41"/>
  <c r="GR54" i="41"/>
  <c r="GR55" i="41"/>
  <c r="GR33" i="41"/>
  <c r="FF203" i="41"/>
  <c r="GS165" i="41"/>
  <c r="DN203" i="41"/>
  <c r="GS121" i="41"/>
  <c r="GR85" i="41"/>
  <c r="GR104" i="41"/>
  <c r="GR89" i="41"/>
  <c r="GR77" i="41"/>
  <c r="GR80" i="41"/>
  <c r="GR44" i="41"/>
  <c r="EA203" i="41"/>
  <c r="GS134" i="41"/>
  <c r="CT203" i="41"/>
  <c r="GS101" i="41"/>
  <c r="GR102" i="41"/>
  <c r="GR82" i="41"/>
  <c r="GR71" i="41"/>
  <c r="GR53" i="41"/>
  <c r="GR65" i="41"/>
  <c r="BO203" i="41"/>
  <c r="GS70" i="41"/>
  <c r="AH203" i="41"/>
  <c r="GS37" i="41"/>
  <c r="GR62" i="41"/>
  <c r="GR57" i="41"/>
  <c r="GP203" i="41"/>
  <c r="GS201" i="41"/>
  <c r="C203" i="41"/>
  <c r="GS6" i="41"/>
  <c r="GR145" i="41"/>
  <c r="GR59" i="41"/>
  <c r="GR41" i="41"/>
  <c r="DL203" i="41"/>
  <c r="GS119" i="41"/>
  <c r="X203" i="41"/>
  <c r="GS27" i="41"/>
  <c r="DD203" i="41"/>
  <c r="GS111" i="41"/>
  <c r="AR203" i="41"/>
  <c r="GS47" i="41"/>
  <c r="GR39" i="41"/>
  <c r="GR6" i="41"/>
  <c r="DS203" i="41"/>
  <c r="GS126" i="41"/>
  <c r="BG203" i="41"/>
  <c r="GS62" i="41"/>
  <c r="EX203" i="41"/>
  <c r="GS157" i="41"/>
  <c r="CL203" i="41"/>
  <c r="GS93" i="41"/>
  <c r="Z203" i="41"/>
  <c r="GS29" i="41"/>
  <c r="DY203" i="41"/>
  <c r="GS132" i="41"/>
  <c r="BB203" i="41"/>
  <c r="GS57" i="41"/>
  <c r="GR11" i="41"/>
  <c r="FH203" i="41"/>
  <c r="GS167" i="41"/>
  <c r="CV203" i="41"/>
  <c r="GS103" i="41"/>
  <c r="AJ203" i="41"/>
  <c r="GS39" i="41"/>
  <c r="GS200" i="41"/>
  <c r="GO203" i="41"/>
  <c r="DK203" i="41"/>
  <c r="GS118" i="41"/>
  <c r="AY203" i="41"/>
  <c r="GS54" i="41"/>
  <c r="EP203" i="41"/>
  <c r="GS149" i="41"/>
  <c r="CD203" i="41"/>
  <c r="GS85" i="41"/>
  <c r="R203" i="41"/>
  <c r="GS21" i="41"/>
  <c r="BM203" i="41"/>
  <c r="GS68" i="41"/>
  <c r="GR36" i="41"/>
  <c r="GR34" i="41"/>
  <c r="GR29" i="41"/>
  <c r="GR13" i="41"/>
  <c r="EZ203" i="41"/>
  <c r="GS159" i="41"/>
  <c r="CN203" i="41"/>
  <c r="GS95" i="41"/>
  <c r="AB203" i="41"/>
  <c r="GS31" i="41"/>
  <c r="FO203" i="41"/>
  <c r="GS174" i="41"/>
  <c r="DC203" i="41"/>
  <c r="GS110" i="41"/>
  <c r="AQ203" i="41"/>
  <c r="GS46" i="41"/>
  <c r="EH203" i="41"/>
  <c r="GS141" i="41"/>
  <c r="BV203" i="41"/>
  <c r="GS77" i="41"/>
  <c r="J203" i="41"/>
  <c r="GS13" i="41"/>
  <c r="GR63" i="41"/>
  <c r="GR38" i="41"/>
  <c r="GR19" i="41"/>
  <c r="ER203" i="41"/>
  <c r="GS151" i="41"/>
  <c r="CF203" i="41"/>
  <c r="GS87" i="41"/>
  <c r="T203" i="41"/>
  <c r="GS23" i="41"/>
  <c r="GR12" i="41"/>
  <c r="FG203" i="41"/>
  <c r="GS166" i="41"/>
  <c r="CU203" i="41"/>
  <c r="GS102" i="41"/>
  <c r="AI203" i="41"/>
  <c r="GS38" i="41"/>
  <c r="DZ203" i="41"/>
  <c r="GS133" i="41"/>
  <c r="BN203" i="41"/>
  <c r="GS69" i="41"/>
  <c r="B203" i="41"/>
  <c r="GS5" i="41"/>
  <c r="GR5" i="41"/>
  <c r="GR68" i="41"/>
  <c r="GR27" i="41"/>
  <c r="GR64" i="41"/>
  <c r="EJ203" i="41"/>
  <c r="GS143" i="41"/>
  <c r="BX203" i="41"/>
  <c r="GS79" i="41"/>
  <c r="L203" i="41"/>
  <c r="GS15" i="41"/>
  <c r="EY203" i="41"/>
  <c r="GS158" i="41"/>
  <c r="CM203" i="41"/>
  <c r="GS94" i="41"/>
  <c r="AA203" i="41"/>
  <c r="GS30" i="41"/>
  <c r="DR203" i="41"/>
  <c r="GS125" i="41"/>
  <c r="BF203" i="41"/>
  <c r="GS61" i="41"/>
  <c r="EN203" i="41"/>
  <c r="GS147" i="41"/>
  <c r="GR90" i="41"/>
  <c r="EE203" i="41"/>
  <c r="GS138" i="41"/>
  <c r="GS136" i="41"/>
  <c r="EC203" i="41"/>
  <c r="EB203" i="41"/>
  <c r="GS135" i="41"/>
  <c r="BP203" i="41"/>
  <c r="GS71" i="41"/>
  <c r="D203" i="41"/>
  <c r="GS7" i="41"/>
  <c r="EQ203" i="41"/>
  <c r="GS150" i="41"/>
  <c r="CE203" i="41"/>
  <c r="GS86" i="41"/>
  <c r="S203" i="41"/>
  <c r="GS22" i="41"/>
  <c r="GN203" i="41"/>
  <c r="GS199" i="41"/>
  <c r="DJ203" i="41"/>
  <c r="GS117" i="41"/>
  <c r="AX203" i="41"/>
  <c r="GS53" i="41"/>
  <c r="BL203" i="41"/>
  <c r="GS67" i="41"/>
  <c r="GR115" i="41"/>
  <c r="BS203" i="41"/>
  <c r="GS74" i="41"/>
  <c r="BQ203" i="41"/>
  <c r="GS72" i="41"/>
  <c r="GR35" i="41"/>
  <c r="GR21" i="41"/>
  <c r="DT203" i="41"/>
  <c r="GS127" i="41"/>
  <c r="BH203" i="41"/>
  <c r="GS63" i="41"/>
  <c r="EI203" i="41"/>
  <c r="GS142" i="41"/>
  <c r="BW203" i="41"/>
  <c r="GS78" i="41"/>
  <c r="K203" i="41"/>
  <c r="GS14" i="41"/>
  <c r="GR7" i="41"/>
  <c r="FN203" i="41"/>
  <c r="GS173" i="41"/>
  <c r="DB203" i="41"/>
  <c r="GS109" i="41"/>
  <c r="AP203" i="41"/>
  <c r="GS45" i="41"/>
  <c r="GR123" i="41"/>
  <c r="G203" i="41"/>
  <c r="GS10" i="41"/>
  <c r="GS8" i="41"/>
  <c r="E203" i="41"/>
  <c r="DQ203" i="41"/>
  <c r="GS124" i="41"/>
  <c r="BE203" i="41"/>
  <c r="GS60" i="41"/>
  <c r="EF203" i="41"/>
  <c r="GS139" i="41"/>
  <c r="BD203" i="41"/>
  <c r="GS59" i="41"/>
  <c r="GR37" i="41"/>
  <c r="GR25" i="41"/>
  <c r="GR73" i="41"/>
  <c r="GR78" i="41"/>
  <c r="GR101" i="41"/>
  <c r="GR118" i="41"/>
  <c r="GR127" i="41"/>
  <c r="GR143" i="41"/>
  <c r="GR169" i="41"/>
  <c r="DW203" i="41"/>
  <c r="GS130" i="41"/>
  <c r="BK203" i="41"/>
  <c r="GS66" i="41"/>
  <c r="GR30" i="41"/>
  <c r="DU203" i="41"/>
  <c r="GS128" i="41"/>
  <c r="BI203" i="41"/>
  <c r="GS64" i="41"/>
  <c r="DF203" i="41"/>
  <c r="GS113" i="41"/>
  <c r="AT203" i="41"/>
  <c r="GS49" i="41"/>
  <c r="DI203" i="41"/>
  <c r="GS116" i="41"/>
  <c r="AW203" i="41"/>
  <c r="GS52" i="41"/>
  <c r="GR22" i="41"/>
  <c r="DX203" i="41"/>
  <c r="GS131" i="41"/>
  <c r="AV203" i="41"/>
  <c r="GS51" i="41"/>
  <c r="GR45" i="41"/>
  <c r="GR16" i="41"/>
  <c r="GR56" i="41"/>
  <c r="GR74" i="41"/>
  <c r="GR97" i="41"/>
  <c r="GR103" i="41"/>
  <c r="GR125" i="41"/>
  <c r="GR154" i="41"/>
  <c r="GR172" i="41"/>
  <c r="DO203" i="41"/>
  <c r="GS122" i="41"/>
  <c r="BC203" i="41"/>
  <c r="GS58" i="41"/>
  <c r="DM203" i="41"/>
  <c r="GS120" i="41"/>
  <c r="BA203" i="41"/>
  <c r="GS56" i="41"/>
  <c r="FJ203" i="41"/>
  <c r="GS169" i="41"/>
  <c r="CX203" i="41"/>
  <c r="GS105" i="41"/>
  <c r="AL203" i="41"/>
  <c r="GS41" i="41"/>
  <c r="FM203" i="41"/>
  <c r="GS172" i="41"/>
  <c r="DA203" i="41"/>
  <c r="GS108" i="41"/>
  <c r="AO203" i="41"/>
  <c r="GS44" i="41"/>
  <c r="DP203" i="41"/>
  <c r="GS123" i="41"/>
  <c r="AN203" i="41"/>
  <c r="GS43" i="41"/>
  <c r="GR20" i="41"/>
  <c r="GR24" i="41"/>
  <c r="GR75" i="41"/>
  <c r="GR81" i="41"/>
  <c r="GR107" i="41"/>
  <c r="GR111" i="41"/>
  <c r="GR133" i="41"/>
  <c r="GR156" i="41"/>
  <c r="GR179" i="41"/>
  <c r="GK203" i="41"/>
  <c r="GS196" i="41"/>
  <c r="DG203" i="41"/>
  <c r="GS114" i="41"/>
  <c r="AU203" i="41"/>
  <c r="GS50" i="41"/>
  <c r="DE203" i="41"/>
  <c r="GS112" i="41"/>
  <c r="AS203" i="41"/>
  <c r="GS48" i="41"/>
  <c r="FB203" i="41"/>
  <c r="GS161" i="41"/>
  <c r="CP203" i="41"/>
  <c r="GS97" i="41"/>
  <c r="AD203" i="41"/>
  <c r="GS33" i="41"/>
  <c r="FE203" i="41"/>
  <c r="GS164" i="41"/>
  <c r="CS203" i="41"/>
  <c r="GS100" i="41"/>
  <c r="AG203" i="41"/>
  <c r="GS36" i="41"/>
  <c r="GR9" i="41"/>
  <c r="DH203" i="41"/>
  <c r="GS115" i="41"/>
  <c r="AF203" i="41"/>
  <c r="GS35" i="41"/>
  <c r="GR28" i="41"/>
  <c r="GR48" i="41"/>
  <c r="GR60" i="41"/>
  <c r="GR92" i="41"/>
  <c r="GR94" i="41"/>
  <c r="GR110" i="41"/>
  <c r="GR131" i="41"/>
  <c r="GR151" i="41"/>
  <c r="GR195" i="41"/>
  <c r="FK203" i="41"/>
  <c r="GS170" i="41"/>
  <c r="CY203" i="41"/>
  <c r="GS106" i="41"/>
  <c r="AM203" i="41"/>
  <c r="GS42" i="41"/>
  <c r="FI203" i="41"/>
  <c r="GS168" i="41"/>
  <c r="CW203" i="41"/>
  <c r="GS104" i="41"/>
  <c r="AK203" i="41"/>
  <c r="GS40" i="41"/>
  <c r="ET203" i="41"/>
  <c r="GS153" i="41"/>
  <c r="CH203" i="41"/>
  <c r="GS89" i="41"/>
  <c r="V203" i="41"/>
  <c r="GS25" i="41"/>
  <c r="GR14" i="41"/>
  <c r="GS197" i="41"/>
  <c r="GL203" i="41"/>
  <c r="EW203" i="41"/>
  <c r="GS156" i="41"/>
  <c r="CK203" i="41"/>
  <c r="GS92" i="41"/>
  <c r="Y203" i="41"/>
  <c r="GS28" i="41"/>
  <c r="GR10" i="41"/>
  <c r="CJ203" i="41"/>
  <c r="GS91" i="41"/>
  <c r="P203" i="41"/>
  <c r="GS19" i="41"/>
  <c r="GR47" i="41"/>
  <c r="GR43" i="41"/>
  <c r="GR70" i="41"/>
  <c r="GR79" i="41"/>
  <c r="GR100" i="41"/>
  <c r="GR129" i="41"/>
  <c r="GR135" i="41"/>
  <c r="GR161" i="41"/>
  <c r="GR199" i="41"/>
  <c r="FC203" i="41"/>
  <c r="GS162" i="41"/>
  <c r="CQ203" i="41"/>
  <c r="GS98" i="41"/>
  <c r="AE203" i="41"/>
  <c r="GS34" i="41"/>
  <c r="FA203" i="41"/>
  <c r="GS160" i="41"/>
  <c r="GS96" i="41"/>
  <c r="CO203" i="41"/>
  <c r="GS32" i="41"/>
  <c r="AC203" i="41"/>
  <c r="EL203" i="41"/>
  <c r="GS145" i="41"/>
  <c r="BZ203" i="41"/>
  <c r="GS81" i="41"/>
  <c r="N203" i="41"/>
  <c r="GS17" i="41"/>
  <c r="FL203" i="41"/>
  <c r="GS171" i="41"/>
  <c r="CZ203" i="41"/>
  <c r="GS107" i="41"/>
  <c r="EO203" i="41"/>
  <c r="GS148" i="41"/>
  <c r="CC203" i="41"/>
  <c r="GS84" i="41"/>
  <c r="Q203" i="41"/>
  <c r="GS20" i="41"/>
  <c r="FD203" i="41"/>
  <c r="GS163" i="41"/>
  <c r="CB203" i="41"/>
  <c r="GS83" i="41"/>
  <c r="H203" i="41"/>
  <c r="GS11" i="41"/>
  <c r="GR18" i="41"/>
  <c r="GR52" i="41"/>
  <c r="GR83" i="41"/>
  <c r="GR87" i="41"/>
  <c r="GR99" i="41"/>
  <c r="GR121" i="41"/>
  <c r="GR138" i="41"/>
  <c r="GR164" i="41"/>
  <c r="EU203" i="41"/>
  <c r="GS154" i="41"/>
  <c r="CI203" i="41"/>
  <c r="GS90" i="41"/>
  <c r="W203" i="41"/>
  <c r="GS26" i="41"/>
  <c r="GR31" i="41"/>
  <c r="ES203" i="41"/>
  <c r="GS152" i="41"/>
  <c r="CG203" i="41"/>
  <c r="GS88" i="41"/>
  <c r="U203" i="41"/>
  <c r="GS24" i="41"/>
  <c r="ED203" i="41"/>
  <c r="GS137" i="41"/>
  <c r="BR203" i="41"/>
  <c r="GS73" i="41"/>
  <c r="F203" i="41"/>
  <c r="GS9" i="41"/>
  <c r="GR8" i="41"/>
  <c r="GS99" i="41"/>
  <c r="CR203" i="41"/>
  <c r="EG203" i="41"/>
  <c r="GS140" i="41"/>
  <c r="BU203" i="41"/>
  <c r="GS76" i="41"/>
  <c r="I203" i="41"/>
  <c r="GS12" i="41"/>
  <c r="GR23" i="41"/>
  <c r="EV203" i="41"/>
  <c r="GS155" i="41"/>
  <c r="BT203" i="41"/>
  <c r="GS75" i="41"/>
  <c r="GR26" i="41"/>
  <c r="GR58" i="41"/>
  <c r="GR66" i="41"/>
  <c r="GR86" i="41"/>
  <c r="GR105" i="41"/>
  <c r="GR120" i="41"/>
  <c r="GR140" i="41"/>
  <c r="GR160" i="41"/>
  <c r="EM203" i="41"/>
  <c r="GS146" i="41"/>
  <c r="CA203" i="41"/>
  <c r="GS82" i="41"/>
  <c r="O203" i="41"/>
  <c r="GS18" i="41"/>
  <c r="GS144" i="41"/>
  <c r="EK203" i="41"/>
  <c r="BY203" i="41"/>
  <c r="GS80" i="41"/>
  <c r="M203" i="41"/>
  <c r="GS16" i="41"/>
  <c r="DV203" i="41"/>
  <c r="GS129" i="41"/>
  <c r="BJ203" i="41"/>
  <c r="GS65" i="41"/>
  <c r="FV203" i="41"/>
  <c r="GS181" i="41"/>
  <c r="L7" i="29"/>
  <c r="L13" i="29"/>
  <c r="L26" i="29"/>
  <c r="L63" i="29"/>
  <c r="L56" i="29"/>
  <c r="L5" i="29"/>
  <c r="L27" i="29"/>
  <c r="L14" i="29"/>
  <c r="GR178" i="41" l="1"/>
  <c r="GR176" i="41"/>
  <c r="GR177" i="41"/>
  <c r="H65" i="29"/>
  <c r="L15" i="29"/>
  <c r="D65" i="29"/>
  <c r="L8" i="29"/>
  <c r="L29" i="29"/>
  <c r="L19" i="29"/>
  <c r="L47" i="29"/>
  <c r="L33" i="29"/>
  <c r="L6" i="29"/>
  <c r="L22" i="29"/>
  <c r="L42" i="29"/>
  <c r="L39" i="29"/>
  <c r="E65" i="29"/>
  <c r="L52" i="29"/>
  <c r="L24" i="29"/>
  <c r="L64" i="29"/>
  <c r="L20" i="29"/>
  <c r="J65" i="29"/>
  <c r="L51" i="29"/>
  <c r="L11" i="29"/>
  <c r="I65" i="29"/>
  <c r="L58" i="29"/>
  <c r="L50" i="29"/>
  <c r="C65" i="29"/>
  <c r="L57" i="29"/>
  <c r="L49" i="29"/>
  <c r="L41" i="29"/>
  <c r="L55" i="29"/>
  <c r="L32" i="29"/>
  <c r="L16" i="29"/>
  <c r="L45" i="29"/>
  <c r="L60" i="29"/>
  <c r="L43" i="29"/>
  <c r="L23" i="29"/>
  <c r="L10" i="29"/>
  <c r="L21" i="29"/>
  <c r="L9" i="29"/>
  <c r="L28" i="29"/>
  <c r="L25" i="29"/>
  <c r="L18" i="29"/>
  <c r="L12" i="29"/>
  <c r="L30" i="29"/>
  <c r="L61" i="29"/>
  <c r="L34" i="29"/>
  <c r="L4" i="29"/>
  <c r="L48" i="29"/>
  <c r="L40" i="29"/>
  <c r="L44" i="29"/>
  <c r="L31" i="29"/>
  <c r="L37" i="29"/>
  <c r="L36" i="29"/>
  <c r="L62" i="29"/>
  <c r="L54" i="29"/>
  <c r="L46" i="29"/>
  <c r="B65" i="29"/>
  <c r="L59" i="29"/>
  <c r="F65" i="29"/>
  <c r="K65" i="29"/>
  <c r="L38" i="29"/>
  <c r="L35" i="29"/>
  <c r="L53" i="29"/>
  <c r="GR175" i="41" l="1"/>
  <c r="G65" i="29"/>
  <c r="L17" i="29"/>
  <c r="L65" i="29" s="1"/>
  <c r="GR202" i="41" l="1"/>
  <c r="HD119" i="34"/>
  <c r="DL214" i="34"/>
  <c r="HD128" i="34"/>
  <c r="DU214" i="34"/>
  <c r="HD174" i="34"/>
  <c r="FO214" i="34"/>
  <c r="DC214" i="34"/>
  <c r="HD110" i="34"/>
  <c r="HD8" i="34"/>
  <c r="AC214" i="34"/>
  <c r="G214" i="34"/>
  <c r="HD57" i="34"/>
  <c r="HD14" i="34"/>
  <c r="AX214" i="34"/>
  <c r="BA214" i="34"/>
  <c r="BH214" i="34"/>
  <c r="AY214" i="34"/>
  <c r="AW214" i="34"/>
  <c r="HD17" i="34"/>
  <c r="AS214" i="34"/>
  <c r="HD12" i="34"/>
  <c r="HD23" i="34"/>
  <c r="HD27" i="34"/>
  <c r="HD15" i="34"/>
  <c r="HD45" i="34"/>
  <c r="HD35" i="34"/>
  <c r="AM214" i="34"/>
  <c r="HD59" i="34"/>
  <c r="HD6" i="34"/>
  <c r="AH214" i="34"/>
  <c r="BF214" i="34"/>
  <c r="HD18" i="34"/>
  <c r="AK214" i="34"/>
  <c r="HD20" i="34"/>
  <c r="HD25" i="34"/>
  <c r="HD44" i="34"/>
  <c r="AZ214" i="34"/>
  <c r="HD36" i="34"/>
  <c r="HD43" i="34"/>
  <c r="AB214" i="34"/>
  <c r="HD47" i="34"/>
  <c r="AR214" i="34"/>
  <c r="AG214" i="34"/>
  <c r="HD22" i="34"/>
  <c r="S214" i="34"/>
  <c r="HD39" i="34"/>
  <c r="AJ214" i="34"/>
  <c r="AO214" i="34"/>
  <c r="HD13" i="34"/>
  <c r="J214" i="34"/>
  <c r="HD42" i="34"/>
  <c r="HD7" i="34"/>
  <c r="D214" i="34"/>
  <c r="F214" i="34"/>
  <c r="HD9" i="34"/>
  <c r="Z214" i="34"/>
  <c r="HD29" i="34"/>
  <c r="BG214" i="34"/>
  <c r="HD62" i="34"/>
  <c r="C214" i="34"/>
  <c r="BC214" i="34"/>
  <c r="HD58" i="34"/>
  <c r="AE214" i="34"/>
  <c r="HD34" i="34"/>
  <c r="AP214" i="34"/>
  <c r="HC28" i="34" l="1"/>
  <c r="HC8" i="34"/>
  <c r="HC44" i="34"/>
  <c r="HC14" i="34"/>
  <c r="HC38" i="34"/>
  <c r="HC209" i="34"/>
  <c r="HC45" i="34"/>
  <c r="HC63" i="34"/>
  <c r="HC26" i="34"/>
  <c r="HC210" i="34"/>
  <c r="HC54" i="34"/>
  <c r="HC62" i="34"/>
  <c r="HC39" i="34"/>
  <c r="HC16" i="34"/>
  <c r="HC211" i="34"/>
  <c r="HC57" i="34"/>
  <c r="HC29" i="34"/>
  <c r="HC31" i="34"/>
  <c r="HC7" i="34"/>
  <c r="HC32" i="34"/>
  <c r="HC20" i="34"/>
  <c r="HC37" i="34"/>
  <c r="HC53" i="34"/>
  <c r="HC10" i="34"/>
  <c r="HC47" i="34"/>
  <c r="HC58" i="34"/>
  <c r="HC65" i="34"/>
  <c r="HC60" i="34"/>
  <c r="HC49" i="34"/>
  <c r="HC9" i="34"/>
  <c r="HC15" i="34"/>
  <c r="HC46" i="34"/>
  <c r="HC33" i="34"/>
  <c r="HC36" i="34"/>
  <c r="HC64" i="34"/>
  <c r="HC30" i="34"/>
  <c r="HC52" i="34"/>
  <c r="HC13" i="34"/>
  <c r="HC34" i="34"/>
  <c r="HC48" i="34"/>
  <c r="HC42" i="34"/>
  <c r="HC18" i="34"/>
  <c r="HC208" i="34"/>
  <c r="HC21" i="34"/>
  <c r="HC5" i="34"/>
  <c r="HC55" i="34"/>
  <c r="HC61" i="34"/>
  <c r="HC207" i="34"/>
  <c r="HC23" i="34"/>
  <c r="HC40" i="34"/>
  <c r="HC12" i="34"/>
  <c r="HC25" i="34"/>
  <c r="HC50" i="34"/>
  <c r="HC56" i="34"/>
  <c r="HC6" i="34"/>
  <c r="HC24" i="34"/>
  <c r="HC41" i="34"/>
  <c r="HC22" i="34"/>
  <c r="HD40" i="34"/>
  <c r="HD84" i="34"/>
  <c r="HD123" i="34"/>
  <c r="HC123" i="34" s="1"/>
  <c r="DP214" i="34"/>
  <c r="HD85" i="34"/>
  <c r="CD214" i="34"/>
  <c r="HD207" i="34"/>
  <c r="GV214" i="34"/>
  <c r="CA214" i="34"/>
  <c r="HD82" i="34"/>
  <c r="HC82" i="34" s="1"/>
  <c r="HD77" i="34"/>
  <c r="BV214" i="34"/>
  <c r="DY214" i="34"/>
  <c r="HD132" i="34"/>
  <c r="HC132" i="34" s="1"/>
  <c r="HD146" i="34"/>
  <c r="HC146" i="34" s="1"/>
  <c r="EM214" i="34"/>
  <c r="HD143" i="34"/>
  <c r="HC143" i="34" s="1"/>
  <c r="EJ214" i="34"/>
  <c r="HD92" i="34"/>
  <c r="HC92" i="34" s="1"/>
  <c r="CK214" i="34"/>
  <c r="DO214" i="34"/>
  <c r="HD122" i="34"/>
  <c r="HC122" i="34" s="1"/>
  <c r="HD98" i="34"/>
  <c r="HC98" i="34" s="1"/>
  <c r="CQ214" i="34"/>
  <c r="DI214" i="34"/>
  <c r="HD71" i="34"/>
  <c r="HC71" i="34" s="1"/>
  <c r="BP214" i="34"/>
  <c r="HD171" i="34"/>
  <c r="HC171" i="34" s="1"/>
  <c r="FL214" i="34"/>
  <c r="HD150" i="34"/>
  <c r="HC150" i="34" s="1"/>
  <c r="EQ214" i="34"/>
  <c r="HC174" i="34"/>
  <c r="FM214" i="34"/>
  <c r="HD172" i="34"/>
  <c r="HC172" i="34" s="1"/>
  <c r="HD209" i="34"/>
  <c r="GX214" i="34"/>
  <c r="HD69" i="34"/>
  <c r="HC69" i="34" s="1"/>
  <c r="BN214" i="34"/>
  <c r="CG214" i="34"/>
  <c r="HD88" i="34"/>
  <c r="HC88" i="34" s="1"/>
  <c r="ES214" i="34"/>
  <c r="HD152" i="34"/>
  <c r="HC152" i="34" s="1"/>
  <c r="HD86" i="34"/>
  <c r="HC86" i="34" s="1"/>
  <c r="CE214" i="34"/>
  <c r="HC17" i="34"/>
  <c r="HD127" i="34"/>
  <c r="HC127" i="34" s="1"/>
  <c r="DT214" i="34"/>
  <c r="HD87" i="34"/>
  <c r="HC87" i="34" s="1"/>
  <c r="CF214" i="34"/>
  <c r="HD78" i="34"/>
  <c r="HC78" i="34" s="1"/>
  <c r="BW214" i="34"/>
  <c r="CP214" i="34"/>
  <c r="HD97" i="34"/>
  <c r="HC97" i="34" s="1"/>
  <c r="HD149" i="34"/>
  <c r="HC149" i="34" s="1"/>
  <c r="EP214" i="34"/>
  <c r="HC19" i="34"/>
  <c r="HD169" i="34"/>
  <c r="HC169" i="34" s="1"/>
  <c r="FJ214" i="34"/>
  <c r="BU214" i="34"/>
  <c r="V214" i="34"/>
  <c r="HC180" i="34"/>
  <c r="HC177" i="34"/>
  <c r="AT214" i="34"/>
  <c r="HD21" i="34"/>
  <c r="HC179" i="34"/>
  <c r="HD10" i="34"/>
  <c r="K214" i="34"/>
  <c r="HD65" i="34"/>
  <c r="HD50" i="34"/>
  <c r="HD51" i="34"/>
  <c r="W214" i="34"/>
  <c r="M214" i="34"/>
  <c r="HC11" i="34"/>
  <c r="HD68" i="34"/>
  <c r="HC68" i="34" s="1"/>
  <c r="FE214" i="34"/>
  <c r="HD164" i="34"/>
  <c r="HC164" i="34" s="1"/>
  <c r="HD139" i="34"/>
  <c r="HC139" i="34" s="1"/>
  <c r="EF214" i="34"/>
  <c r="HC27" i="34"/>
  <c r="EC214" i="34"/>
  <c r="HD136" i="34"/>
  <c r="HC136" i="34" s="1"/>
  <c r="HD73" i="34"/>
  <c r="HC73" i="34" s="1"/>
  <c r="BR214" i="34"/>
  <c r="EG214" i="34"/>
  <c r="HD140" i="34"/>
  <c r="HC140" i="34" s="1"/>
  <c r="DE214" i="34"/>
  <c r="HD112" i="34"/>
  <c r="HC112" i="34" s="1"/>
  <c r="CN214" i="34"/>
  <c r="HD95" i="34"/>
  <c r="HC95" i="34" s="1"/>
  <c r="CT214" i="34"/>
  <c r="HD101" i="34"/>
  <c r="HC101" i="34" s="1"/>
  <c r="CZ214" i="34"/>
  <c r="HD107" i="34"/>
  <c r="HC107" i="34" s="1"/>
  <c r="HD161" i="34"/>
  <c r="HC161" i="34" s="1"/>
  <c r="FB214" i="34"/>
  <c r="HD49" i="34"/>
  <c r="P214" i="34"/>
  <c r="HD55" i="34"/>
  <c r="HD24" i="34"/>
  <c r="HD60" i="34"/>
  <c r="AI214" i="34"/>
  <c r="HD28" i="34"/>
  <c r="HC183" i="34"/>
  <c r="HC128" i="34"/>
  <c r="HD100" i="34"/>
  <c r="HD121" i="34"/>
  <c r="DN214" i="34"/>
  <c r="HD138" i="34"/>
  <c r="HC138" i="34" s="1"/>
  <c r="EE214" i="34"/>
  <c r="HD126" i="34"/>
  <c r="HC126" i="34" s="1"/>
  <c r="DS214" i="34"/>
  <c r="FA214" i="34"/>
  <c r="HD160" i="34"/>
  <c r="HC160" i="34" s="1"/>
  <c r="CO214" i="34"/>
  <c r="HD96" i="34"/>
  <c r="HC96" i="34" s="1"/>
  <c r="CB214" i="34"/>
  <c r="HD83" i="34"/>
  <c r="HC83" i="34" s="1"/>
  <c r="DK214" i="34"/>
  <c r="HD118" i="34"/>
  <c r="HC118" i="34" s="1"/>
  <c r="CI214" i="34"/>
  <c r="HD90" i="34"/>
  <c r="HC90" i="34" s="1"/>
  <c r="HD105" i="34"/>
  <c r="HC105" i="34" s="1"/>
  <c r="CX214" i="34"/>
  <c r="BT214" i="34"/>
  <c r="HD75" i="34"/>
  <c r="HC75" i="34" s="1"/>
  <c r="BM214" i="34"/>
  <c r="HD99" i="34"/>
  <c r="HC99" i="34" s="1"/>
  <c r="CR214" i="34"/>
  <c r="HD147" i="34"/>
  <c r="HC147" i="34" s="1"/>
  <c r="EN214" i="34"/>
  <c r="FK214" i="34"/>
  <c r="HD170" i="34"/>
  <c r="HC170" i="34" s="1"/>
  <c r="R214" i="34"/>
  <c r="HD37" i="34"/>
  <c r="X214" i="34"/>
  <c r="GY214" i="34"/>
  <c r="HD210" i="34"/>
  <c r="HD145" i="34"/>
  <c r="HC145" i="34" s="1"/>
  <c r="EL214" i="34"/>
  <c r="HD131" i="34"/>
  <c r="HC131" i="34" s="1"/>
  <c r="DX214" i="34"/>
  <c r="BY214" i="34"/>
  <c r="HD80" i="34"/>
  <c r="HC80" i="34" s="1"/>
  <c r="HC59" i="34"/>
  <c r="HD142" i="34"/>
  <c r="HC142" i="34" s="1"/>
  <c r="EI214" i="34"/>
  <c r="EK214" i="34"/>
  <c r="HD144" i="34"/>
  <c r="HC144" i="34" s="1"/>
  <c r="FF214" i="34"/>
  <c r="HD165" i="34"/>
  <c r="HC165" i="34" s="1"/>
  <c r="HD151" i="34"/>
  <c r="HC151" i="34" s="1"/>
  <c r="ER214" i="34"/>
  <c r="BQ214" i="34"/>
  <c r="HD72" i="34"/>
  <c r="HC72" i="34" s="1"/>
  <c r="EU214" i="34"/>
  <c r="HD154" i="34"/>
  <c r="HC154" i="34" s="1"/>
  <c r="HD93" i="34"/>
  <c r="HC93" i="34" s="1"/>
  <c r="CL214" i="34"/>
  <c r="HD53" i="34"/>
  <c r="AD214" i="34"/>
  <c r="T214" i="34"/>
  <c r="AA214" i="34"/>
  <c r="BI214" i="34"/>
  <c r="CJ214" i="34"/>
  <c r="HD91" i="34"/>
  <c r="HC91" i="34" s="1"/>
  <c r="HD155" i="34"/>
  <c r="HC155" i="34" s="1"/>
  <c r="EV214" i="34"/>
  <c r="HD76" i="34"/>
  <c r="HC76" i="34" s="1"/>
  <c r="HD116" i="34"/>
  <c r="HD108" i="34"/>
  <c r="HC108" i="34" s="1"/>
  <c r="HC43" i="34"/>
  <c r="HD106" i="34"/>
  <c r="HC106" i="34" s="1"/>
  <c r="CY214" i="34"/>
  <c r="DD214" i="34"/>
  <c r="HD111" i="34"/>
  <c r="HC111" i="34" s="1"/>
  <c r="FI214" i="34"/>
  <c r="HD168" i="34"/>
  <c r="HC168" i="34" s="1"/>
  <c r="HD167" i="34"/>
  <c r="HC167" i="34" s="1"/>
  <c r="FH214" i="34"/>
  <c r="HD158" i="34"/>
  <c r="HC158" i="34" s="1"/>
  <c r="EY214" i="34"/>
  <c r="CM214" i="34"/>
  <c r="HD94" i="34"/>
  <c r="HC94" i="34" s="1"/>
  <c r="HD137" i="34"/>
  <c r="HC137" i="34" s="1"/>
  <c r="ED214" i="34"/>
  <c r="EO214" i="34"/>
  <c r="HD148" i="34"/>
  <c r="HC148" i="34" s="1"/>
  <c r="HD159" i="34"/>
  <c r="HC159" i="34" s="1"/>
  <c r="EZ214" i="34"/>
  <c r="EW214" i="34"/>
  <c r="HD156" i="34"/>
  <c r="HC156" i="34" s="1"/>
  <c r="HC35" i="34"/>
  <c r="HD133" i="34"/>
  <c r="HC133" i="34" s="1"/>
  <c r="DZ214" i="34"/>
  <c r="HD31" i="34"/>
  <c r="N214" i="34"/>
  <c r="Q214" i="34"/>
  <c r="HD61" i="34"/>
  <c r="HD41" i="34"/>
  <c r="HC110" i="34"/>
  <c r="DM214" i="34"/>
  <c r="HD120" i="34"/>
  <c r="HC120" i="34" s="1"/>
  <c r="HD74" i="34"/>
  <c r="HC74" i="34" s="1"/>
  <c r="BS214" i="34"/>
  <c r="HD102" i="34"/>
  <c r="HC102" i="34" s="1"/>
  <c r="CU214" i="34"/>
  <c r="HC51" i="34"/>
  <c r="HD135" i="34"/>
  <c r="HC135" i="34" s="1"/>
  <c r="EB214" i="34"/>
  <c r="HD163" i="34"/>
  <c r="HC163" i="34" s="1"/>
  <c r="FD214" i="34"/>
  <c r="DG214" i="34"/>
  <c r="HD114" i="34"/>
  <c r="HC114" i="34" s="1"/>
  <c r="CW214" i="34"/>
  <c r="HD104" i="34"/>
  <c r="HC104" i="34" s="1"/>
  <c r="HD66" i="34"/>
  <c r="BK214" i="34"/>
  <c r="HD153" i="34"/>
  <c r="HC153" i="34" s="1"/>
  <c r="ET214" i="34"/>
  <c r="DF214" i="34"/>
  <c r="HD113" i="34"/>
  <c r="HC113" i="34" s="1"/>
  <c r="DQ214" i="34"/>
  <c r="HD124" i="34"/>
  <c r="HC124" i="34" s="1"/>
  <c r="CC214" i="34"/>
  <c r="CS214" i="34"/>
  <c r="FC214" i="34"/>
  <c r="HD162" i="34"/>
  <c r="HC162" i="34" s="1"/>
  <c r="L214" i="34"/>
  <c r="HC119" i="34"/>
  <c r="HD166" i="34"/>
  <c r="HC166" i="34" s="1"/>
  <c r="FG214" i="34"/>
  <c r="DA214" i="34"/>
  <c r="DJ214" i="34"/>
  <c r="HD117" i="34"/>
  <c r="HC117" i="34" s="1"/>
  <c r="HD129" i="34"/>
  <c r="HC129" i="34" s="1"/>
  <c r="DV214" i="34"/>
  <c r="EX214" i="34"/>
  <c r="HD157" i="34"/>
  <c r="HC157" i="34" s="1"/>
  <c r="FN214" i="34"/>
  <c r="HD173" i="34"/>
  <c r="HC173" i="34" s="1"/>
  <c r="DW214" i="34"/>
  <c r="HD130" i="34"/>
  <c r="HC130" i="34" s="1"/>
  <c r="CH214" i="34"/>
  <c r="HD89" i="34"/>
  <c r="HC89" i="34" s="1"/>
  <c r="HD67" i="34"/>
  <c r="HC67" i="34" s="1"/>
  <c r="BL214" i="34"/>
  <c r="CV214" i="34"/>
  <c r="HD103" i="34"/>
  <c r="HC103" i="34" s="1"/>
  <c r="GW214" i="34"/>
  <c r="HD208" i="34"/>
  <c r="BX214" i="34"/>
  <c r="HD79" i="34"/>
  <c r="HC79" i="34" s="1"/>
  <c r="HD134" i="34"/>
  <c r="HC134" i="34" s="1"/>
  <c r="EA214" i="34"/>
  <c r="HD81" i="34"/>
  <c r="HC81" i="34" s="1"/>
  <c r="BZ214" i="34"/>
  <c r="HD115" i="34"/>
  <c r="HC115" i="34" s="1"/>
  <c r="DH214" i="34"/>
  <c r="BO214" i="34"/>
  <c r="HD70" i="34"/>
  <c r="HC70" i="34" s="1"/>
  <c r="EH214" i="34"/>
  <c r="HD141" i="34"/>
  <c r="HC141" i="34" s="1"/>
  <c r="DB214" i="34"/>
  <c r="HD109" i="34"/>
  <c r="HC109" i="34" s="1"/>
  <c r="HD125" i="34"/>
  <c r="HC125" i="34" s="1"/>
  <c r="DR214" i="34"/>
  <c r="HC189" i="34"/>
  <c r="HC190" i="34"/>
  <c r="HC188" i="34"/>
  <c r="HC185" i="34"/>
  <c r="HC187" i="34"/>
  <c r="HC186" i="34"/>
  <c r="HD52" i="34"/>
  <c r="HD63" i="34"/>
  <c r="HD11" i="34"/>
  <c r="HD26" i="34"/>
  <c r="O214" i="34"/>
  <c r="Y214" i="34"/>
  <c r="HC176" i="34"/>
  <c r="HD48" i="34"/>
  <c r="BJ214" i="34"/>
  <c r="HD16" i="34"/>
  <c r="H214" i="34"/>
  <c r="HD38" i="34"/>
  <c r="HD33" i="34"/>
  <c r="HD19" i="34"/>
  <c r="HD46" i="34"/>
  <c r="BB214" i="34"/>
  <c r="HC181" i="34"/>
  <c r="BD214" i="34"/>
  <c r="I214" i="34"/>
  <c r="U214" i="34"/>
  <c r="HD64" i="34"/>
  <c r="HC182" i="34"/>
  <c r="AQ214" i="34"/>
  <c r="AV214" i="34"/>
  <c r="HD56" i="34"/>
  <c r="HD32" i="34"/>
  <c r="AU214" i="34"/>
  <c r="HD30" i="34"/>
  <c r="AL214" i="34"/>
  <c r="AN214" i="34"/>
  <c r="HD54" i="34"/>
  <c r="AF214" i="34"/>
  <c r="BE214" i="34"/>
  <c r="E214" i="34"/>
  <c r="HC178" i="34"/>
  <c r="HC184" i="34"/>
  <c r="HC175" i="34"/>
  <c r="HD5" i="34"/>
  <c r="B214" i="34"/>
  <c r="HC85" i="34" l="1"/>
  <c r="HC77" i="34"/>
  <c r="HC84" i="34"/>
  <c r="HC121" i="34"/>
  <c r="HC66" i="34"/>
  <c r="HC100" i="34"/>
  <c r="HA214" i="34"/>
  <c r="HC116" i="34"/>
  <c r="HD212" i="34" l="1"/>
  <c r="HC212" i="34"/>
  <c r="GZ214" i="34"/>
  <c r="HD211" i="34"/>
  <c r="HC191" i="34"/>
  <c r="HC206" i="34"/>
  <c r="H126" i="5"/>
  <c r="G126" i="5"/>
  <c r="H125" i="5"/>
  <c r="G125" i="5"/>
  <c r="H124" i="5"/>
  <c r="G124" i="5"/>
  <c r="H123" i="5"/>
  <c r="G123" i="5"/>
  <c r="H122" i="5"/>
  <c r="G122" i="5"/>
  <c r="H121" i="5"/>
  <c r="G121" i="5"/>
  <c r="H120" i="5"/>
  <c r="G120" i="5"/>
  <c r="H119" i="5"/>
  <c r="G119" i="5"/>
  <c r="H118" i="5"/>
  <c r="G118" i="5"/>
  <c r="H117" i="5"/>
  <c r="G117" i="5"/>
  <c r="H116" i="5"/>
  <c r="G116" i="5"/>
  <c r="H115" i="5"/>
  <c r="G115" i="5"/>
  <c r="H114" i="5"/>
  <c r="G114" i="5"/>
  <c r="H113" i="5"/>
  <c r="G113" i="5"/>
  <c r="H112" i="5"/>
  <c r="G112" i="5"/>
  <c r="H111" i="5"/>
  <c r="G111" i="5"/>
  <c r="H110" i="5"/>
  <c r="G110" i="5"/>
  <c r="H109" i="5"/>
  <c r="G109" i="5"/>
  <c r="H108" i="5"/>
  <c r="G108" i="5"/>
  <c r="H107" i="5"/>
  <c r="G107" i="5"/>
  <c r="H106" i="5"/>
  <c r="G106" i="5"/>
  <c r="H105" i="5"/>
  <c r="G105" i="5"/>
  <c r="H104" i="5"/>
  <c r="G104" i="5"/>
  <c r="H103" i="5"/>
  <c r="G103" i="5"/>
  <c r="H102" i="5"/>
  <c r="G102" i="5"/>
  <c r="H101" i="5"/>
  <c r="G101" i="5"/>
  <c r="H100" i="5"/>
  <c r="G100" i="5"/>
  <c r="H99" i="5"/>
  <c r="G99" i="5"/>
  <c r="H98" i="5"/>
  <c r="G98" i="5"/>
  <c r="H97" i="5"/>
  <c r="G97" i="5"/>
  <c r="H96" i="5"/>
  <c r="G96" i="5"/>
  <c r="H95" i="5"/>
  <c r="G95" i="5"/>
  <c r="H94" i="5"/>
  <c r="G94" i="5"/>
  <c r="H93" i="5"/>
  <c r="G93" i="5"/>
  <c r="H92" i="5"/>
  <c r="G92" i="5"/>
  <c r="H91" i="5"/>
  <c r="G91" i="5"/>
  <c r="H90" i="5"/>
  <c r="G90" i="5"/>
  <c r="H89" i="5"/>
  <c r="G89" i="5"/>
  <c r="H88" i="5"/>
  <c r="G88" i="5"/>
  <c r="H87" i="5"/>
  <c r="G87" i="5"/>
  <c r="H86" i="5"/>
  <c r="G86" i="5"/>
  <c r="H85" i="5"/>
  <c r="G85" i="5"/>
  <c r="H84" i="5"/>
  <c r="G84" i="5"/>
  <c r="H83" i="5"/>
  <c r="G83" i="5"/>
  <c r="H82" i="5"/>
  <c r="G82" i="5"/>
  <c r="H81" i="5"/>
  <c r="G81" i="5"/>
  <c r="H80" i="5"/>
  <c r="G80" i="5"/>
  <c r="H79" i="5"/>
  <c r="G79" i="5"/>
  <c r="H78" i="5"/>
  <c r="G78" i="5"/>
  <c r="H77" i="5"/>
  <c r="G77" i="5"/>
  <c r="H76" i="5"/>
  <c r="G76" i="5"/>
  <c r="H75" i="5"/>
  <c r="G75" i="5"/>
  <c r="H74" i="5"/>
  <c r="G74" i="5"/>
  <c r="H73" i="5"/>
  <c r="G73" i="5"/>
  <c r="H72" i="5"/>
  <c r="G72" i="5"/>
  <c r="H71" i="5"/>
  <c r="G71" i="5"/>
  <c r="H70" i="5"/>
  <c r="G70" i="5"/>
  <c r="H69" i="5"/>
  <c r="G69" i="5"/>
  <c r="H68" i="5"/>
  <c r="G68" i="5"/>
  <c r="H67" i="5"/>
  <c r="G67" i="5"/>
  <c r="H66" i="5"/>
  <c r="G66" i="5"/>
  <c r="H65" i="5"/>
  <c r="G65" i="5"/>
  <c r="H64" i="5"/>
  <c r="G64" i="5"/>
  <c r="H63" i="5"/>
  <c r="G63" i="5"/>
  <c r="H62" i="5"/>
  <c r="G62" i="5"/>
  <c r="H61" i="5"/>
  <c r="G61" i="5"/>
  <c r="H60" i="5"/>
  <c r="G60" i="5"/>
  <c r="H59" i="5"/>
  <c r="G59" i="5"/>
  <c r="H58" i="5"/>
  <c r="G58" i="5"/>
  <c r="H57" i="5"/>
  <c r="G57" i="5"/>
  <c r="H56" i="5"/>
  <c r="G56" i="5"/>
  <c r="H55" i="5"/>
  <c r="G55" i="5"/>
  <c r="H54" i="5"/>
  <c r="G54" i="5"/>
  <c r="H53" i="5"/>
  <c r="G53" i="5"/>
  <c r="H52" i="5"/>
  <c r="G52" i="5"/>
  <c r="H51" i="5"/>
  <c r="G51" i="5"/>
  <c r="H50" i="5"/>
  <c r="G50" i="5"/>
  <c r="H49" i="5"/>
  <c r="G49" i="5"/>
  <c r="H48" i="5"/>
  <c r="G48" i="5"/>
  <c r="H47" i="5"/>
  <c r="G47" i="5"/>
  <c r="H46" i="5"/>
  <c r="G46" i="5"/>
  <c r="H45" i="5"/>
  <c r="G45" i="5"/>
  <c r="H44" i="5"/>
  <c r="G44" i="5"/>
  <c r="H43" i="5"/>
  <c r="G43" i="5"/>
  <c r="H42" i="5"/>
  <c r="G42" i="5"/>
  <c r="H41" i="5"/>
  <c r="G41" i="5"/>
  <c r="H40" i="5"/>
  <c r="G40" i="5"/>
  <c r="H39" i="5"/>
  <c r="G39" i="5"/>
  <c r="H38" i="5"/>
  <c r="G38" i="5"/>
  <c r="H37" i="5"/>
  <c r="G37" i="5"/>
  <c r="H36" i="5"/>
  <c r="G36" i="5"/>
  <c r="H35" i="5"/>
  <c r="G35" i="5"/>
  <c r="H34" i="5"/>
  <c r="G34" i="5"/>
  <c r="H33" i="5"/>
  <c r="G33" i="5"/>
  <c r="H32" i="5"/>
  <c r="G32" i="5"/>
  <c r="H31" i="5"/>
  <c r="G31" i="5"/>
  <c r="H30" i="5"/>
  <c r="G30" i="5"/>
  <c r="H29" i="5"/>
  <c r="G29" i="5"/>
  <c r="H28" i="5"/>
  <c r="G28" i="5"/>
  <c r="H27" i="5"/>
  <c r="G27" i="5"/>
  <c r="H26" i="5"/>
  <c r="G26" i="5"/>
  <c r="H25" i="5"/>
  <c r="G25" i="5"/>
  <c r="H24" i="5"/>
  <c r="G24" i="5"/>
  <c r="H23" i="5"/>
  <c r="G23" i="5"/>
  <c r="H22" i="5"/>
  <c r="G22" i="5"/>
  <c r="H21" i="5"/>
  <c r="G21" i="5"/>
  <c r="H20" i="5"/>
  <c r="G20" i="5"/>
  <c r="H19" i="5"/>
  <c r="G19" i="5"/>
  <c r="H18" i="5"/>
  <c r="G18" i="5"/>
  <c r="H17" i="5"/>
  <c r="G17" i="5"/>
  <c r="H16" i="5"/>
  <c r="G16" i="5"/>
  <c r="H15" i="5"/>
  <c r="G15" i="5"/>
  <c r="H14" i="5"/>
  <c r="G14" i="5"/>
  <c r="H13" i="5"/>
  <c r="G13" i="5"/>
  <c r="H12" i="5"/>
  <c r="G12" i="5"/>
  <c r="H11" i="5"/>
  <c r="G11" i="5"/>
  <c r="H10" i="5"/>
  <c r="G10" i="5"/>
  <c r="H9" i="5"/>
  <c r="G9" i="5"/>
  <c r="H8" i="5"/>
  <c r="G8" i="5"/>
  <c r="H7" i="5"/>
  <c r="G7" i="5"/>
  <c r="H6" i="5"/>
  <c r="G6" i="5"/>
  <c r="H5" i="5"/>
  <c r="G5" i="5"/>
  <c r="H4" i="5"/>
  <c r="G4" i="5"/>
  <c r="H3" i="5"/>
  <c r="G3" i="5"/>
  <c r="HC213" i="34" l="1"/>
  <c r="I110" i="6" l="1"/>
  <c r="I109" i="6"/>
  <c r="I108" i="6"/>
  <c r="I107" i="6"/>
  <c r="I106" i="6"/>
  <c r="I105" i="6"/>
  <c r="I104" i="6"/>
  <c r="I103" i="6"/>
  <c r="M102" i="6"/>
  <c r="J102" i="6"/>
  <c r="I102" i="6"/>
  <c r="I101" i="6"/>
  <c r="I100" i="6"/>
  <c r="I99" i="6"/>
  <c r="I98" i="6"/>
  <c r="I97" i="6"/>
  <c r="I96" i="6"/>
  <c r="I95" i="6"/>
  <c r="I94" i="6"/>
  <c r="I93" i="6"/>
  <c r="I92" i="6"/>
  <c r="I91" i="6"/>
  <c r="I90" i="6"/>
  <c r="I89" i="6"/>
  <c r="I88" i="6"/>
  <c r="I87" i="6"/>
  <c r="I86" i="6"/>
  <c r="I85" i="6"/>
  <c r="I84" i="6"/>
  <c r="I83" i="6"/>
  <c r="I82" i="6"/>
  <c r="I81" i="6"/>
  <c r="M80" i="6"/>
  <c r="J80" i="6"/>
  <c r="I80" i="6"/>
  <c r="I79" i="6"/>
  <c r="I78" i="6"/>
  <c r="I77" i="6"/>
  <c r="I76" i="6"/>
  <c r="I75" i="6"/>
  <c r="I74" i="6"/>
  <c r="I73" i="6"/>
  <c r="I72" i="6"/>
  <c r="I71" i="6"/>
  <c r="I70" i="6"/>
  <c r="I69" i="6"/>
  <c r="I68" i="6"/>
  <c r="I67" i="6"/>
  <c r="I66" i="6"/>
  <c r="M65" i="6"/>
  <c r="K65" i="6"/>
  <c r="J65" i="6"/>
  <c r="I65" i="6"/>
  <c r="I64" i="6"/>
  <c r="M63" i="6"/>
  <c r="J63" i="6"/>
  <c r="I63" i="6"/>
  <c r="I62" i="6"/>
  <c r="I61" i="6"/>
  <c r="I60" i="6"/>
  <c r="I59" i="6"/>
  <c r="I58" i="6"/>
  <c r="I57" i="6"/>
  <c r="I56" i="6"/>
  <c r="I55" i="6"/>
  <c r="I54" i="6"/>
  <c r="I53" i="6"/>
  <c r="I52" i="6"/>
  <c r="I51" i="6"/>
  <c r="I50" i="6"/>
  <c r="I49" i="6"/>
  <c r="M48" i="6"/>
  <c r="J48" i="6"/>
  <c r="I48" i="6"/>
  <c r="I47" i="6"/>
  <c r="I46" i="6"/>
  <c r="I45" i="6"/>
  <c r="I44" i="6"/>
  <c r="M43" i="6"/>
  <c r="J43" i="6"/>
  <c r="I43" i="6"/>
  <c r="I42" i="6"/>
  <c r="I41" i="6"/>
  <c r="I40" i="6"/>
  <c r="I39" i="6"/>
  <c r="I38" i="6"/>
  <c r="I37" i="6"/>
  <c r="I36" i="6"/>
  <c r="I35" i="6"/>
  <c r="I34" i="6"/>
  <c r="I33" i="6"/>
  <c r="I32" i="6"/>
  <c r="I31" i="6"/>
  <c r="I30" i="6"/>
  <c r="I29" i="6"/>
  <c r="I28" i="6"/>
  <c r="I27" i="6"/>
  <c r="M26" i="6"/>
  <c r="J26" i="6"/>
  <c r="I26" i="6"/>
  <c r="I25" i="6"/>
  <c r="I24" i="6"/>
  <c r="I23" i="6"/>
  <c r="I22" i="6"/>
  <c r="M21" i="6"/>
  <c r="J21" i="6"/>
  <c r="I21" i="6"/>
  <c r="I20" i="6"/>
  <c r="I19" i="6"/>
  <c r="I18" i="6"/>
  <c r="I17" i="6"/>
  <c r="I16" i="6"/>
  <c r="I15" i="6"/>
  <c r="I14" i="6"/>
  <c r="I13" i="6"/>
  <c r="I12" i="6"/>
  <c r="I11" i="6"/>
  <c r="I10" i="6"/>
  <c r="I9" i="6"/>
  <c r="I8" i="6"/>
  <c r="I7" i="6"/>
  <c r="I6" i="6"/>
  <c r="I5" i="6"/>
  <c r="I4" i="6"/>
  <c r="I3" i="6"/>
  <c r="HD175" i="34" l="1"/>
  <c r="HD176" i="34"/>
  <c r="HD177" i="34"/>
  <c r="HD178" i="34"/>
  <c r="HD179" i="34"/>
  <c r="HD180" i="34"/>
  <c r="HD181" i="34"/>
  <c r="HD182" i="34"/>
  <c r="HD183" i="34"/>
  <c r="HD184" i="34"/>
  <c r="HD185" i="34"/>
  <c r="HD186" i="34"/>
  <c r="HD187" i="34"/>
  <c r="HD188" i="34"/>
  <c r="HD189" i="34"/>
  <c r="HD190" i="34"/>
  <c r="HD191" i="34"/>
  <c r="HC192" i="34"/>
  <c r="HC193" i="34"/>
  <c r="HC194" i="34"/>
  <c r="HC195" i="34"/>
  <c r="HC196" i="34"/>
  <c r="HC197" i="34"/>
  <c r="HC198" i="34"/>
  <c r="HC199" i="34"/>
  <c r="HC200" i="34"/>
  <c r="HC201" i="34"/>
  <c r="HC202" i="34"/>
  <c r="HC203" i="34"/>
  <c r="HC204" i="34"/>
  <c r="HC205" i="34"/>
  <c r="HD206" i="34"/>
  <c r="HD213" i="34"/>
  <c r="FP214" i="34"/>
  <c r="FQ214" i="34"/>
  <c r="FR214" i="34"/>
  <c r="FS214" i="34"/>
  <c r="FT214" i="34"/>
  <c r="FU214" i="34"/>
  <c r="FV214" i="34"/>
  <c r="FW214" i="34"/>
  <c r="FX214" i="34"/>
  <c r="FY214" i="34"/>
  <c r="FZ214" i="34"/>
  <c r="GA214" i="34"/>
  <c r="GB214" i="34"/>
  <c r="GC214" i="34"/>
  <c r="GD214" i="34"/>
  <c r="GE214" i="34"/>
  <c r="GF214" i="34"/>
  <c r="GU214" i="34"/>
  <c r="HB214" i="34"/>
  <c r="HE5" i="34" l="1" a="1"/>
  <c r="HE5" i="34" s="1"/>
  <c r="HE214" i="34" s="1" a="1"/>
  <c r="HE214" i="34" s="1"/>
  <c r="GS175" i="41" l="1"/>
  <c r="GS176" i="41"/>
  <c r="GS177" i="41"/>
  <c r="GS178" i="41"/>
  <c r="GS179" i="41"/>
  <c r="GS180" i="41"/>
  <c r="GR181" i="41"/>
  <c r="GR182" i="41"/>
  <c r="GR183" i="41"/>
  <c r="GR184" i="41"/>
  <c r="GR185" i="41"/>
  <c r="GR186" i="41"/>
  <c r="GR187" i="41"/>
  <c r="GR188" i="41"/>
  <c r="GR189" i="41"/>
  <c r="GR190" i="41"/>
  <c r="GR191" i="41"/>
  <c r="GR192" i="41"/>
  <c r="GR193" i="41"/>
  <c r="GR194" i="41"/>
  <c r="GS195" i="41"/>
  <c r="GS202" i="41"/>
  <c r="FP203" i="41"/>
  <c r="FQ203" i="41"/>
  <c r="FR203" i="41"/>
  <c r="FS203" i="41"/>
  <c r="FT203" i="41"/>
  <c r="FU203" i="41"/>
  <c r="GJ203" i="41"/>
  <c r="GQ203" i="41"/>
  <c r="GT5" i="41" l="1" a="1"/>
  <c r="GT5" i="41" s="1"/>
  <c r="GT4" i="41" s="1" a="1"/>
  <c r="GT4" i="4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Dirk van Seventer</author>
  </authors>
  <commentList>
    <comment ref="D5" authorId="0" shapeId="0" xr:uid="{3DC648D4-8EE4-47C7-8535-C58F192A3BE1}">
      <text>
        <r>
          <rPr>
            <b/>
            <sz val="11"/>
            <color indexed="81"/>
            <rFont val="Tahoma"/>
            <family val="2"/>
          </rPr>
          <t>Dirk van Seventer: ='[1nationalSA 2019 v6 with New 61Ind Mapping No CapStck, SSA Custom Duties &amp; LMD OccxEdu.xlsx]61Indx4edu frm SARB SAM 2018'!$D$260</t>
        </r>
        <r>
          <rPr>
            <sz val="11"/>
            <color indexed="81"/>
            <rFont val="Tahoma"/>
            <family val="2"/>
          </rPr>
          <t xml:space="preserv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<sst xmlns="http://schemas.openxmlformats.org/spreadsheetml/2006/main" count="2825" uniqueCount="1637">
  <si>
    <t>i001</t>
  </si>
  <si>
    <t>i002</t>
  </si>
  <si>
    <t>i003</t>
  </si>
  <si>
    <t>i004</t>
  </si>
  <si>
    <t>i005</t>
  </si>
  <si>
    <t>i006</t>
  </si>
  <si>
    <t>i007</t>
  </si>
  <si>
    <t>i008</t>
  </si>
  <si>
    <t>i009</t>
  </si>
  <si>
    <t>i010</t>
  </si>
  <si>
    <t>i011</t>
  </si>
  <si>
    <t>i012</t>
  </si>
  <si>
    <t>i013</t>
  </si>
  <si>
    <t>i014</t>
  </si>
  <si>
    <t>i015</t>
  </si>
  <si>
    <t>i016</t>
  </si>
  <si>
    <t>i017</t>
  </si>
  <si>
    <t>i018</t>
  </si>
  <si>
    <t>i019</t>
  </si>
  <si>
    <t>i020</t>
  </si>
  <si>
    <t>i021</t>
  </si>
  <si>
    <t>i022</t>
  </si>
  <si>
    <t>i023</t>
  </si>
  <si>
    <t>i024</t>
  </si>
  <si>
    <t>i025</t>
  </si>
  <si>
    <t>i026</t>
  </si>
  <si>
    <t>i027</t>
  </si>
  <si>
    <t>i028</t>
  </si>
  <si>
    <t>i029</t>
  </si>
  <si>
    <t>i030</t>
  </si>
  <si>
    <t>i031</t>
  </si>
  <si>
    <t>i032</t>
  </si>
  <si>
    <t>i033</t>
  </si>
  <si>
    <t>i034</t>
  </si>
  <si>
    <t>i035</t>
  </si>
  <si>
    <t>i036</t>
  </si>
  <si>
    <t>i037</t>
  </si>
  <si>
    <t>i038</t>
  </si>
  <si>
    <t>i039</t>
  </si>
  <si>
    <t>i040</t>
  </si>
  <si>
    <t>i041</t>
  </si>
  <si>
    <t>i042</t>
  </si>
  <si>
    <t>i043</t>
  </si>
  <si>
    <t>i044</t>
  </si>
  <si>
    <t>i045</t>
  </si>
  <si>
    <t>i046</t>
  </si>
  <si>
    <t>i047</t>
  </si>
  <si>
    <t>i048</t>
  </si>
  <si>
    <t>i049</t>
  </si>
  <si>
    <t>i050</t>
  </si>
  <si>
    <t>i051</t>
  </si>
  <si>
    <t>i052</t>
  </si>
  <si>
    <t>i053</t>
  </si>
  <si>
    <t>i054</t>
  </si>
  <si>
    <t>i055</t>
  </si>
  <si>
    <t>i056</t>
  </si>
  <si>
    <t>i057</t>
  </si>
  <si>
    <t>i058</t>
  </si>
  <si>
    <t>i059</t>
  </si>
  <si>
    <t>i060</t>
  </si>
  <si>
    <t>i061</t>
  </si>
  <si>
    <t>i062</t>
  </si>
  <si>
    <t>i063</t>
  </si>
  <si>
    <t>i064</t>
  </si>
  <si>
    <t>i065</t>
  </si>
  <si>
    <t>i066</t>
  </si>
  <si>
    <t>i067</t>
  </si>
  <si>
    <t>i068</t>
  </si>
  <si>
    <t>i069</t>
  </si>
  <si>
    <t>i070</t>
  </si>
  <si>
    <t>i071</t>
  </si>
  <si>
    <t>i072</t>
  </si>
  <si>
    <t>i073</t>
  </si>
  <si>
    <t>i074</t>
  </si>
  <si>
    <t>i075</t>
  </si>
  <si>
    <t>i076</t>
  </si>
  <si>
    <t>i077</t>
  </si>
  <si>
    <t>i078</t>
  </si>
  <si>
    <t>i079</t>
  </si>
  <si>
    <t>i080</t>
  </si>
  <si>
    <t>i081</t>
  </si>
  <si>
    <t>i082</t>
  </si>
  <si>
    <t>i083</t>
  </si>
  <si>
    <t>i084</t>
  </si>
  <si>
    <t>i085</t>
  </si>
  <si>
    <t>i086</t>
  </si>
  <si>
    <t>i087</t>
  </si>
  <si>
    <t>i088</t>
  </si>
  <si>
    <t>i089</t>
  </si>
  <si>
    <t>i090</t>
  </si>
  <si>
    <t>i091</t>
  </si>
  <si>
    <t>i092</t>
  </si>
  <si>
    <t>i093</t>
  </si>
  <si>
    <t>i094</t>
  </si>
  <si>
    <t>i095</t>
  </si>
  <si>
    <t>i096</t>
  </si>
  <si>
    <t>i097</t>
  </si>
  <si>
    <t>i098</t>
  </si>
  <si>
    <t>i099</t>
  </si>
  <si>
    <t>i100</t>
  </si>
  <si>
    <t>i101</t>
  </si>
  <si>
    <t>i102</t>
  </si>
  <si>
    <t>i103</t>
  </si>
  <si>
    <t>i104</t>
  </si>
  <si>
    <t>i105</t>
  </si>
  <si>
    <t>i106</t>
  </si>
  <si>
    <t>i107</t>
  </si>
  <si>
    <t>i108</t>
  </si>
  <si>
    <t>i109</t>
  </si>
  <si>
    <t>i110</t>
  </si>
  <si>
    <t>i111</t>
  </si>
  <si>
    <t>i112</t>
  </si>
  <si>
    <t>i113</t>
  </si>
  <si>
    <t>i114</t>
  </si>
  <si>
    <t>i115</t>
  </si>
  <si>
    <t>i116</t>
  </si>
  <si>
    <t>i117</t>
  </si>
  <si>
    <t>i118</t>
  </si>
  <si>
    <t>i119</t>
  </si>
  <si>
    <t>i120</t>
  </si>
  <si>
    <t>i121</t>
  </si>
  <si>
    <t>i122</t>
  </si>
  <si>
    <t>i123</t>
  </si>
  <si>
    <t>i124</t>
  </si>
  <si>
    <t>total</t>
  </si>
  <si>
    <t>col tot</t>
  </si>
  <si>
    <t>error</t>
  </si>
  <si>
    <t>General government</t>
  </si>
  <si>
    <t>Total</t>
  </si>
  <si>
    <t>Margins</t>
  </si>
  <si>
    <t>NIT on production</t>
  </si>
  <si>
    <t>Accumulation</t>
  </si>
  <si>
    <t>Industry number in the SUT</t>
  </si>
  <si>
    <t>Industry grouping description</t>
  </si>
  <si>
    <t>SIC detailed classifications</t>
  </si>
  <si>
    <t>SIC classifications in the SUT publication</t>
  </si>
  <si>
    <t>Mapping to Old SUT</t>
  </si>
  <si>
    <t>Agriculture</t>
  </si>
  <si>
    <t>I1</t>
  </si>
  <si>
    <t>Agriculture, hunting, forestry and fishing</t>
  </si>
  <si>
    <t>111-116</t>
  </si>
  <si>
    <t>aagri</t>
  </si>
  <si>
    <t>Forestry</t>
  </si>
  <si>
    <t xml:space="preserve">I2 </t>
  </si>
  <si>
    <t>Forestry, logging and related services</t>
  </si>
  <si>
    <t>1210;1220</t>
  </si>
  <si>
    <t>afore</t>
  </si>
  <si>
    <t>Fishing</t>
  </si>
  <si>
    <t>I3</t>
  </si>
  <si>
    <t>Fishing, operations of fish hatcheries and fish farms</t>
  </si>
  <si>
    <t>1310-1320</t>
  </si>
  <si>
    <t>afish</t>
  </si>
  <si>
    <t>I4</t>
  </si>
  <si>
    <t>Mining of coal and lignite</t>
  </si>
  <si>
    <t>acoal</t>
  </si>
  <si>
    <t>I5</t>
  </si>
  <si>
    <t>Extraction of crude, petroleum and natural gas</t>
  </si>
  <si>
    <t>2211-2</t>
  </si>
  <si>
    <t>agold</t>
  </si>
  <si>
    <t>Mining of gold and uranium ore</t>
  </si>
  <si>
    <t>I6</t>
  </si>
  <si>
    <t>amore</t>
  </si>
  <si>
    <t>Mining of metal ores</t>
  </si>
  <si>
    <t>I7</t>
  </si>
  <si>
    <t>Iron ore mining; chrome mining; copper mining; manganese mining; platinum mining; other metal ore mining</t>
  </si>
  <si>
    <t>2410; 2421-2 – 2424/9</t>
  </si>
  <si>
    <t>aomin</t>
  </si>
  <si>
    <t>Other mining and quarrying</t>
  </si>
  <si>
    <t>I8</t>
  </si>
  <si>
    <t>Dimension stone; Limestone and lime works; Other stone quarrying; Diamond mining; Chemical and fertiliser minerals, phosphates and other; Extraction and evaporation of salt; Other mining and quarrying n.e.c. (stones, asbestos and other minerals and materials)</t>
  </si>
  <si>
    <t>2511 - 2512; 2519; 2520; 2531 - 2532; 2539</t>
  </si>
  <si>
    <t>afood</t>
  </si>
  <si>
    <t>Food</t>
  </si>
  <si>
    <t>I9</t>
  </si>
  <si>
    <t>Service activities incidental to mining of minerals</t>
  </si>
  <si>
    <t>abevt</t>
  </si>
  <si>
    <t>Beverages and tobacco</t>
  </si>
  <si>
    <t>I10</t>
  </si>
  <si>
    <t>Production, processing and preserving of meat and meat products; Processing and preserving of fish and fish products; Processing and preserving of fruit and vegetables; Manufacture of vegetable and animal oils and fats</t>
  </si>
  <si>
    <t>3011-3014</t>
  </si>
  <si>
    <t>aweav</t>
  </si>
  <si>
    <t>Spinning, weaving and finishing of textiles</t>
  </si>
  <si>
    <t>Dairy</t>
  </si>
  <si>
    <t>I11</t>
  </si>
  <si>
    <t>Dairy products (milk, butter, cheese, ice cream, milk powder and other milk products)</t>
  </si>
  <si>
    <t>aknit</t>
  </si>
  <si>
    <t>Knitted, crouched fabrics, wearing apparel, fur articles</t>
  </si>
  <si>
    <t>I12</t>
  </si>
  <si>
    <t xml:space="preserve">Manufacture of grain mill products, breakfast foods, starches, starch products and prepared animal feeds; </t>
  </si>
  <si>
    <t>3031-3033</t>
  </si>
  <si>
    <t>aleat</t>
  </si>
  <si>
    <t>Tanning and dressing of leather</t>
  </si>
  <si>
    <t>Other food products</t>
  </si>
  <si>
    <t>I13</t>
  </si>
  <si>
    <t>Bakery products; sugar including golden syrup and castor sugar; cocoa, chocolate and sugar confectionery and the manufacture of other food products n.e.c. (e.g. coffee, nuts, spices, condiments)</t>
  </si>
  <si>
    <t>3041–3044/9</t>
  </si>
  <si>
    <t>afoot</t>
  </si>
  <si>
    <t>Footwear</t>
  </si>
  <si>
    <t>Beverages</t>
  </si>
  <si>
    <t>I14</t>
  </si>
  <si>
    <t>Spirits and wines; beer, sorghum and other malt and soft drinks and mineral waters</t>
  </si>
  <si>
    <t>3051-3053</t>
  </si>
  <si>
    <t>awood</t>
  </si>
  <si>
    <t>Sawmilling, planing of wood, cork, straw</t>
  </si>
  <si>
    <t>I15</t>
  </si>
  <si>
    <t>Tobacco</t>
  </si>
  <si>
    <t>apapr</t>
  </si>
  <si>
    <t>Paper</t>
  </si>
  <si>
    <t>Textiles</t>
  </si>
  <si>
    <t>I16</t>
  </si>
  <si>
    <t>Spinning, weaving and finishing of textiles (animal fibres, vegetable fibres, wool)</t>
  </si>
  <si>
    <t>3111-3112</t>
  </si>
  <si>
    <t>aprnt</t>
  </si>
  <si>
    <t>Publishing, printing, recorded media</t>
  </si>
  <si>
    <t>Dairy products</t>
  </si>
  <si>
    <t>I17</t>
  </si>
  <si>
    <t>Made-up textile articles (blankets, tents, automotive textile goods and other); carpets, rugs and mats; and manufacture of other textiles n.e.c.</t>
  </si>
  <si>
    <t>3121-3123/9</t>
  </si>
  <si>
    <t>apetr</t>
  </si>
  <si>
    <t>Coke oven, petroleum refineries</t>
  </si>
  <si>
    <t>Knitted fabrics</t>
  </si>
  <si>
    <t>I18</t>
  </si>
  <si>
    <t>Knitted and crocheted fabrics</t>
  </si>
  <si>
    <t>abchm</t>
  </si>
  <si>
    <t>Nuclear fuel, basic chemicals</t>
  </si>
  <si>
    <t>Sugar</t>
  </si>
  <si>
    <t>Wearing apparel</t>
  </si>
  <si>
    <t>I19</t>
  </si>
  <si>
    <t>Wearing apparel (clothing, tailoring, hats, etc.)</t>
  </si>
  <si>
    <t>aochm</t>
  </si>
  <si>
    <t>Other chemical products, man-made fibres</t>
  </si>
  <si>
    <t>Leather</t>
  </si>
  <si>
    <t>I20</t>
  </si>
  <si>
    <t>Tanning, dressing of leather, manufacture of luggage, handbags, saddler and harness</t>
  </si>
  <si>
    <t>3150/61-2</t>
  </si>
  <si>
    <t>arubb</t>
  </si>
  <si>
    <t>Rubber</t>
  </si>
  <si>
    <t>I21</t>
  </si>
  <si>
    <t>aplas</t>
  </si>
  <si>
    <t>Plastic</t>
  </si>
  <si>
    <t>Sawmilling of wood</t>
  </si>
  <si>
    <t>I22</t>
  </si>
  <si>
    <t>Sawmilling, planing, preserving of wood and other mill products</t>
  </si>
  <si>
    <t>aglss</t>
  </si>
  <si>
    <t>Glass</t>
  </si>
  <si>
    <t>Wood products</t>
  </si>
  <si>
    <t>I23</t>
  </si>
  <si>
    <t>Products of wood, cork, straw and plaiting materials</t>
  </si>
  <si>
    <t>3221-3/9</t>
  </si>
  <si>
    <t>anmmi</t>
  </si>
  <si>
    <t>Non-metallic minerals</t>
  </si>
  <si>
    <t>I24</t>
  </si>
  <si>
    <t>Manufacture of paper and paper products</t>
  </si>
  <si>
    <t>3231-3/9</t>
  </si>
  <si>
    <t>Publishing</t>
  </si>
  <si>
    <t>I25</t>
  </si>
  <si>
    <t>Publishing of books, newspapers and other recorded media</t>
  </si>
  <si>
    <t>3241-3/9</t>
  </si>
  <si>
    <t>Basic precious and non-ferrous metals</t>
  </si>
  <si>
    <t>Electricity</t>
  </si>
  <si>
    <t>I26</t>
  </si>
  <si>
    <t>Printing and service activities related to printing; and reproduction of recorded media</t>
  </si>
  <si>
    <t>3251-3252;326</t>
  </si>
  <si>
    <t>325-6</t>
  </si>
  <si>
    <t>afabm</t>
  </si>
  <si>
    <t>Fabricated metal products</t>
  </si>
  <si>
    <t>Coke products</t>
  </si>
  <si>
    <t>I27</t>
  </si>
  <si>
    <t>Coke oven products</t>
  </si>
  <si>
    <t>amach</t>
  </si>
  <si>
    <t>Machinery and equipment</t>
  </si>
  <si>
    <t>Petroleum refineries</t>
  </si>
  <si>
    <t>I28</t>
  </si>
  <si>
    <t>Petrol, fuel oils, lubricating oils and greases primarily from crude oil; other petroleum or synthesised products n.e.c. and nuclear fuel</t>
  </si>
  <si>
    <t>3321-3325/9;3330</t>
  </si>
  <si>
    <t>aemch</t>
  </si>
  <si>
    <t>Electrical machinery and apparatus</t>
  </si>
  <si>
    <t>Basic chemicals</t>
  </si>
  <si>
    <t>I29</t>
  </si>
  <si>
    <t>Basic chemicals; fertilisers and nitrogen compounds; and plastics in primary form and synthetic rubber</t>
  </si>
  <si>
    <t>3341-3343</t>
  </si>
  <si>
    <t>ardtv</t>
  </si>
  <si>
    <t>Radio, television, communication equipment and apparatus</t>
  </si>
  <si>
    <t>I30</t>
  </si>
  <si>
    <t>Pesticides, other agro-chemical products; paints, varnishes, printing ink, mastics; pharmaceuticals, medicinal chemicals and botanical products; soap, detergents, polishing, perfumes and toilet preparations and manufacture of other chemical products (e.g. edible salt, explosives, adhesives)</t>
  </si>
  <si>
    <t>3351-3354/9</t>
  </si>
  <si>
    <t>amopt</t>
  </si>
  <si>
    <t>Medical, precision, optical instruments, watches and clocks</t>
  </si>
  <si>
    <t>I31</t>
  </si>
  <si>
    <t>Rubber tyres and tubes, rethreading of tyres; other rubber products</t>
  </si>
  <si>
    <t>3371/9</t>
  </si>
  <si>
    <t>amtvp</t>
  </si>
  <si>
    <t>Motor vehicles, trailers, parts</t>
  </si>
  <si>
    <t>I32</t>
  </si>
  <si>
    <t>Plastic products</t>
  </si>
  <si>
    <t>aotrp</t>
  </si>
  <si>
    <t>Other transport equipment</t>
  </si>
  <si>
    <t>Leather products</t>
  </si>
  <si>
    <t>I33</t>
  </si>
  <si>
    <t>Glass and glass products</t>
  </si>
  <si>
    <t>afurn</t>
  </si>
  <si>
    <t>Furniture</t>
  </si>
  <si>
    <t>I34</t>
  </si>
  <si>
    <t>Non-structural non-refractory ceramic ware; cement, lime and plaster; articles of concrete, cement and plaster; and other non-metallic mineral products n.e.c.</t>
  </si>
  <si>
    <t>3421-6/9</t>
  </si>
  <si>
    <t>aomnf</t>
  </si>
  <si>
    <t>Manufacturing n.e.c, recycling</t>
  </si>
  <si>
    <t>I35</t>
  </si>
  <si>
    <t>Basic iron and steel</t>
  </si>
  <si>
    <t>aelcg</t>
  </si>
  <si>
    <t>Electricity, gas, steam and hot water supply</t>
  </si>
  <si>
    <t>Precious metals</t>
  </si>
  <si>
    <t>I36</t>
  </si>
  <si>
    <t>awatd</t>
  </si>
  <si>
    <t>Collection, purification and distribution of water</t>
  </si>
  <si>
    <t>Casting of metals</t>
  </si>
  <si>
    <t>I37</t>
  </si>
  <si>
    <t>3531-3532</t>
  </si>
  <si>
    <t>acnst</t>
  </si>
  <si>
    <t>Construction</t>
  </si>
  <si>
    <t>Structural metal</t>
  </si>
  <si>
    <t>I38</t>
  </si>
  <si>
    <t>Structural metal products, tanks, reservoirs and steam generators</t>
  </si>
  <si>
    <t>3541-3</t>
  </si>
  <si>
    <t>awtrd</t>
  </si>
  <si>
    <t>Wholesale trade, commission trade</t>
  </si>
  <si>
    <t>I39</t>
  </si>
  <si>
    <t>Other fabricated metal products, metalwork service activities</t>
  </si>
  <si>
    <t>3551-3/9</t>
  </si>
  <si>
    <t>artrd</t>
  </si>
  <si>
    <t>Retail trade</t>
  </si>
  <si>
    <t>I40</t>
  </si>
  <si>
    <t>Engines and turbines and other general purpose machinery</t>
  </si>
  <si>
    <t>3561-5/9</t>
  </si>
  <si>
    <t>amtvs</t>
  </si>
  <si>
    <t>Sale, maintenance, repair of motor vehicles</t>
  </si>
  <si>
    <t>I41</t>
  </si>
  <si>
    <t>Special purpose machinery</t>
  </si>
  <si>
    <t>3571-7/9</t>
  </si>
  <si>
    <t>aacct</t>
  </si>
  <si>
    <t>Hotels and restaurants</t>
  </si>
  <si>
    <t>Household appliances</t>
  </si>
  <si>
    <t>I42</t>
  </si>
  <si>
    <t>Household appliances n.e.c.</t>
  </si>
  <si>
    <t>altrp</t>
  </si>
  <si>
    <t>Land transport, transport via pipe lines</t>
  </si>
  <si>
    <t>Computing machinery</t>
  </si>
  <si>
    <t>I43</t>
  </si>
  <si>
    <t>Office, accounting, computing machinery</t>
  </si>
  <si>
    <t>awtrp</t>
  </si>
  <si>
    <t>Water transport</t>
  </si>
  <si>
    <t>Electric motors</t>
  </si>
  <si>
    <t>I44</t>
  </si>
  <si>
    <t>Electric motors, generators and transformers</t>
  </si>
  <si>
    <t>3610-3650</t>
  </si>
  <si>
    <t>aatrp</t>
  </si>
  <si>
    <t>Air transport</t>
  </si>
  <si>
    <t>Other electric</t>
  </si>
  <si>
    <t>I45</t>
  </si>
  <si>
    <t>Other electrical equipment n.e.c.</t>
  </si>
  <si>
    <t>atrps</t>
  </si>
  <si>
    <t>Auxiliary transport</t>
  </si>
  <si>
    <t>I46</t>
  </si>
  <si>
    <t>Electronic valves, tubes, components, and television, radio transmitters and apparatus for line telephony and telegraphy</t>
  </si>
  <si>
    <t>3710; 3720</t>
  </si>
  <si>
    <t>371-2</t>
  </si>
  <si>
    <t>apost</t>
  </si>
  <si>
    <t>Post and telecommunication</t>
  </si>
  <si>
    <t>I47</t>
  </si>
  <si>
    <t>Television, radio receivers, sound or video recording, reproducing apparatus</t>
  </si>
  <si>
    <t>afins</t>
  </si>
  <si>
    <t>Financial intermediation</t>
  </si>
  <si>
    <t>Medical appliances</t>
  </si>
  <si>
    <t>I48</t>
  </si>
  <si>
    <t>Medical and surgical equipment and orthopaedic appliances; instruments for measuring, checking, testing, navigation and other purposes; and optical instruments and photographic equipment</t>
  </si>
  <si>
    <t>3741-3743; 3750-60</t>
  </si>
  <si>
    <t>374-5</t>
  </si>
  <si>
    <t>ainsp</t>
  </si>
  <si>
    <t>Insurance and pension funding</t>
  </si>
  <si>
    <t>Water</t>
  </si>
  <si>
    <t>Motor vehicles</t>
  </si>
  <si>
    <t>I49</t>
  </si>
  <si>
    <t>aofin</t>
  </si>
  <si>
    <t>Activities to financial intermediation</t>
  </si>
  <si>
    <t>Vehicle bodies</t>
  </si>
  <si>
    <t>I50</t>
  </si>
  <si>
    <t>Bodies for motor vehicles, trailers and semi-trailers</t>
  </si>
  <si>
    <t>areal</t>
  </si>
  <si>
    <t>Real estate activities</t>
  </si>
  <si>
    <t>Vehicle parts</t>
  </si>
  <si>
    <t>I51</t>
  </si>
  <si>
    <t>Parts, accessories for motor vehicles and their engines</t>
  </si>
  <si>
    <t>arent</t>
  </si>
  <si>
    <t>Renting of machinery and equipment</t>
  </si>
  <si>
    <t>Ships, boats</t>
  </si>
  <si>
    <t>I52</t>
  </si>
  <si>
    <t>Building, repairing of ships and boats</t>
  </si>
  <si>
    <t>3841-2</t>
  </si>
  <si>
    <t>acomp</t>
  </si>
  <si>
    <t>Computer and related activities</t>
  </si>
  <si>
    <t>I53</t>
  </si>
  <si>
    <t>Railway, tramway locomotives, rolling stock</t>
  </si>
  <si>
    <t>arsea</t>
  </si>
  <si>
    <t>Research and experimental development</t>
  </si>
  <si>
    <t>Aircraft</t>
  </si>
  <si>
    <t>I54</t>
  </si>
  <si>
    <t xml:space="preserve">Aircraft and spacecraft </t>
  </si>
  <si>
    <t>aobus</t>
  </si>
  <si>
    <t>Other business activities</t>
  </si>
  <si>
    <t>I55</t>
  </si>
  <si>
    <t>Manufacture of transport equipment n.e.c.</t>
  </si>
  <si>
    <t>3871-2/9</t>
  </si>
  <si>
    <t>apuba</t>
  </si>
  <si>
    <t>Government</t>
  </si>
  <si>
    <t>I56</t>
  </si>
  <si>
    <t>aeduc</t>
  </si>
  <si>
    <t>Education</t>
  </si>
  <si>
    <t>I57</t>
  </si>
  <si>
    <t>Other manufacturing n.e.c. (brooms, pens, signs, engraving)</t>
  </si>
  <si>
    <t>3921-4/9</t>
  </si>
  <si>
    <t>aheal</t>
  </si>
  <si>
    <t>Health and social work</t>
  </si>
  <si>
    <t>Recycling</t>
  </si>
  <si>
    <t>I58</t>
  </si>
  <si>
    <t>Recycling of metal waste and scrap n.e.c.; and recycling of non-metal waste and scrap n.e.c.</t>
  </si>
  <si>
    <t>3951-2</t>
  </si>
  <si>
    <t>awast</t>
  </si>
  <si>
    <t>Sewerage and refuse disposal</t>
  </si>
  <si>
    <t>I59</t>
  </si>
  <si>
    <t>Electricity and Gas - Production, collection, distribution</t>
  </si>
  <si>
    <t>41 Generation/41 local/4120-30</t>
  </si>
  <si>
    <t>amorg</t>
  </si>
  <si>
    <t>Activities of membership organisations</t>
  </si>
  <si>
    <t>I60</t>
  </si>
  <si>
    <t>Water - Collection, purification, distribution and own collection</t>
  </si>
  <si>
    <t>4200 Collection/4200 Local/4200 Own</t>
  </si>
  <si>
    <t>arecr</t>
  </si>
  <si>
    <t>Recreational, cultural and sporting activities</t>
  </si>
  <si>
    <t>Site preparation</t>
  </si>
  <si>
    <t>I61</t>
  </si>
  <si>
    <t>aoact</t>
  </si>
  <si>
    <t>Other activities</t>
  </si>
  <si>
    <t>I62</t>
  </si>
  <si>
    <t xml:space="preserve">Building of complete constructions or parts thereof, Civil engineering </t>
  </si>
  <si>
    <t>5021-4</t>
  </si>
  <si>
    <t>anobs</t>
  </si>
  <si>
    <t>Non-observed, informal, non-profit, households,</t>
  </si>
  <si>
    <t>I63</t>
  </si>
  <si>
    <t>Building installation</t>
  </si>
  <si>
    <t>5031-3, 5039</t>
  </si>
  <si>
    <t>I64</t>
  </si>
  <si>
    <t>Building Completion</t>
  </si>
  <si>
    <t>5041/9</t>
  </si>
  <si>
    <t>I65</t>
  </si>
  <si>
    <t>Renting of construction or demolition equipment with operators</t>
  </si>
  <si>
    <t>I66</t>
  </si>
  <si>
    <t>Wholesale trade on fee or contract basis</t>
  </si>
  <si>
    <t>I67</t>
  </si>
  <si>
    <t>Wholesale trade in agricultural raw materials and livestock and foodstuffs, beverages and tobacco products</t>
  </si>
  <si>
    <t>6121-2</t>
  </si>
  <si>
    <t>I68</t>
  </si>
  <si>
    <t>Wholesale trade in textiles, clothing and footwear and other household goods</t>
  </si>
  <si>
    <t>6131/9</t>
  </si>
  <si>
    <t>I69</t>
  </si>
  <si>
    <t>Wholesale trade in solid, liquid and gaseous fuels and related products; metal and metal ores; construction materials, hardware, plumbing and heating equipment and supplies and in other intermediate products, waste and scrap</t>
  </si>
  <si>
    <t>6141-3/9</t>
  </si>
  <si>
    <t>I70</t>
  </si>
  <si>
    <t>Wholesale trade in machinery, equipment and supplies</t>
  </si>
  <si>
    <t>I71</t>
  </si>
  <si>
    <t>Other wholesale trade n.e.c.</t>
  </si>
  <si>
    <t>I72</t>
  </si>
  <si>
    <t>Retail trade in non-specialised stores with food, beverages and tobacco predominating; and in non-specialised stores</t>
  </si>
  <si>
    <t>6211/9</t>
  </si>
  <si>
    <t>I73</t>
  </si>
  <si>
    <t>Retail trade in food, beverages, tobacco in specialised stores</t>
  </si>
  <si>
    <t>I74</t>
  </si>
  <si>
    <t>Retail trade in pharmaceutical and medical goods, cosmetic and toilet articles; textiles, clothing, footwear and leather goods; household furniture appliances, articles and equipment; hardware, paints and glass; other retail trade in specialised stores; and retail trade in second hand goods in stores</t>
  </si>
  <si>
    <t>6231-4/9; 6240</t>
  </si>
  <si>
    <t>623/4</t>
  </si>
  <si>
    <t>I75</t>
  </si>
  <si>
    <t>Other retail trade not in stores</t>
  </si>
  <si>
    <t>6251-2/9</t>
  </si>
  <si>
    <t>Repair of goods</t>
  </si>
  <si>
    <t>I76</t>
  </si>
  <si>
    <t>Repair of personal and household goods</t>
  </si>
  <si>
    <t>I77</t>
  </si>
  <si>
    <t>Wholesale and retail sale of motor vehicles and motor cycles</t>
  </si>
  <si>
    <t>6311-2; 6340</t>
  </si>
  <si>
    <t>631/4</t>
  </si>
  <si>
    <t>Repair of vehicles</t>
  </si>
  <si>
    <t>I78</t>
  </si>
  <si>
    <t>Maintenance and repair of motor vehicles</t>
  </si>
  <si>
    <t>I79</t>
  </si>
  <si>
    <t>Sale of new and used parts and accessories</t>
  </si>
  <si>
    <t>6331-2</t>
  </si>
  <si>
    <t>I80</t>
  </si>
  <si>
    <t>Retail sale of automotive fuel</t>
  </si>
  <si>
    <t>I81</t>
  </si>
  <si>
    <t>Hotels, camping sites and other provision of short-stay accommodation</t>
  </si>
  <si>
    <t>Restaurants</t>
  </si>
  <si>
    <t>I82</t>
  </si>
  <si>
    <t>Restaurants, bars, canteens, take-away counters, caterers</t>
  </si>
  <si>
    <t>Railway transport</t>
  </si>
  <si>
    <t>I83</t>
  </si>
  <si>
    <t>I84</t>
  </si>
  <si>
    <t>Other scheduled passenger land transport (buses, coaches); other non-scheduled passenger land transport (taxis, safaris) and freight transport by road</t>
  </si>
  <si>
    <t>7121-3/30</t>
  </si>
  <si>
    <t>I85</t>
  </si>
  <si>
    <t>Sea and coastal water transport, coastal or ocean shipping</t>
  </si>
  <si>
    <t>721, 722</t>
  </si>
  <si>
    <t>I86</t>
  </si>
  <si>
    <t>I87</t>
  </si>
  <si>
    <t>Cargo handling; other supporting transport activities (parking garages, salvaging vessels, toll roads, etc.); travel agency and related activities and activities of other transport agencies</t>
  </si>
  <si>
    <t>7411-4/9</t>
  </si>
  <si>
    <t>Postal courier activities</t>
  </si>
  <si>
    <t>I88</t>
  </si>
  <si>
    <t>National postal activities and courier activities</t>
  </si>
  <si>
    <t>7511-2</t>
  </si>
  <si>
    <t>I89</t>
  </si>
  <si>
    <t>Telecommunication</t>
  </si>
  <si>
    <t>I90</t>
  </si>
  <si>
    <t>Monetary intermediation</t>
  </si>
  <si>
    <t>I91</t>
  </si>
  <si>
    <t>Other financial intermediation</t>
  </si>
  <si>
    <t>812, 819</t>
  </si>
  <si>
    <t>I92</t>
  </si>
  <si>
    <t>Life insurance; pension funding; medical aid funding; and other insurance n.e.c.</t>
  </si>
  <si>
    <t>8211-3/9</t>
  </si>
  <si>
    <t>I93</t>
  </si>
  <si>
    <t>Activities auxiliary to financial intermediation</t>
  </si>
  <si>
    <t>8311-2/9</t>
  </si>
  <si>
    <t>I94</t>
  </si>
  <si>
    <t>Activities auxiliary to insurance and pension funding</t>
  </si>
  <si>
    <t>I95</t>
  </si>
  <si>
    <t>Owner-occupied dwellings</t>
  </si>
  <si>
    <t>84 Own</t>
  </si>
  <si>
    <t>I96</t>
  </si>
  <si>
    <t>Real estate activities with own or leased property</t>
  </si>
  <si>
    <t>841-3</t>
  </si>
  <si>
    <t>I97</t>
  </si>
  <si>
    <t>Real estate activities on a fee or contract basis</t>
  </si>
  <si>
    <t>8421-2</t>
  </si>
  <si>
    <t>I98</t>
  </si>
  <si>
    <t>Renting of land and air transport equipment</t>
  </si>
  <si>
    <t>8511-3/9</t>
  </si>
  <si>
    <t>Renting of machinery</t>
  </si>
  <si>
    <t>I99</t>
  </si>
  <si>
    <t>Renting of construction and civil engineering machinery and equipment; and office machinery and equipment; and other machinery and equipment n.e.c.</t>
  </si>
  <si>
    <t>8521-3/9</t>
  </si>
  <si>
    <t>I100</t>
  </si>
  <si>
    <t>Renting of personal and household goods</t>
  </si>
  <si>
    <t>Hardware consultancy</t>
  </si>
  <si>
    <t>I101</t>
  </si>
  <si>
    <t>Software consultancy</t>
  </si>
  <si>
    <t>I102</t>
  </si>
  <si>
    <t>Software consultancy and supply</t>
  </si>
  <si>
    <t>Data processing</t>
  </si>
  <si>
    <t>I103</t>
  </si>
  <si>
    <t>8630-4</t>
  </si>
  <si>
    <t>I104</t>
  </si>
  <si>
    <t>Other computer-related activities</t>
  </si>
  <si>
    <t>8650/9</t>
  </si>
  <si>
    <t>I105</t>
  </si>
  <si>
    <t>Research and experimental development on social sciences and humanities</t>
  </si>
  <si>
    <t>8711-45/9; 8720</t>
  </si>
  <si>
    <t>I106</t>
  </si>
  <si>
    <t>Legal activities; accounting, bookkeeping and auditing, tax consultancy; marketing research; and business and management consultancy</t>
  </si>
  <si>
    <t>8811-4</t>
  </si>
  <si>
    <t>I107</t>
  </si>
  <si>
    <t>Architectural, engineering and other technical activities</t>
  </si>
  <si>
    <t>8821-2</t>
  </si>
  <si>
    <t>Advertising</t>
  </si>
  <si>
    <t>I108</t>
  </si>
  <si>
    <t>Advertising (agents, signwriting, window-dressing, etc.)</t>
  </si>
  <si>
    <t>I109</t>
  </si>
  <si>
    <t>Business activities n.e.c. (labour recruitment, security, photographic, packaging, etc.)</t>
  </si>
  <si>
    <t>8891-8895</t>
  </si>
  <si>
    <t>I110</t>
  </si>
  <si>
    <t>Public administration and defence - central government activities</t>
  </si>
  <si>
    <t>91 Central</t>
  </si>
  <si>
    <t>Provincial government</t>
  </si>
  <si>
    <t>I111</t>
  </si>
  <si>
    <t>Regional services council activities</t>
  </si>
  <si>
    <t>91 Provincial</t>
  </si>
  <si>
    <t>Local government</t>
  </si>
  <si>
    <t>I112</t>
  </si>
  <si>
    <t>Local authority activities</t>
  </si>
  <si>
    <t>91 Local</t>
  </si>
  <si>
    <t>I113</t>
  </si>
  <si>
    <t>Human health</t>
  </si>
  <si>
    <t>I114</t>
  </si>
  <si>
    <t>Human health activities (hospitals, medical practices, clinics, chiropractors, etc.)</t>
  </si>
  <si>
    <t>9311-2/9</t>
  </si>
  <si>
    <t>I115</t>
  </si>
  <si>
    <t>Veterinary activities</t>
  </si>
  <si>
    <t>Social work</t>
  </si>
  <si>
    <t>I116</t>
  </si>
  <si>
    <t>Social work activities</t>
  </si>
  <si>
    <t>I117</t>
  </si>
  <si>
    <t>Sewage and refuse disposal, sanitation and similar activities</t>
  </si>
  <si>
    <t>I118</t>
  </si>
  <si>
    <t>Activities of business, employers and professional organisations</t>
  </si>
  <si>
    <t>9511-2</t>
  </si>
  <si>
    <t>I119</t>
  </si>
  <si>
    <t>Activities of other membership organisations (religious, political)</t>
  </si>
  <si>
    <t>9520, 9591-2, 9599</t>
  </si>
  <si>
    <t>I120</t>
  </si>
  <si>
    <t>Motion picture, radio, television and other entertainment (production and distribution, film and tape renting, etc.)</t>
  </si>
  <si>
    <t>9611-4, 9619, 9620</t>
  </si>
  <si>
    <t>I121</t>
  </si>
  <si>
    <t>Library, archives, museums and other cultural activities</t>
  </si>
  <si>
    <t>9631-3</t>
  </si>
  <si>
    <t>I122</t>
  </si>
  <si>
    <t>Sporting and other recreational activities</t>
  </si>
  <si>
    <t>9641, 9649</t>
  </si>
  <si>
    <t>Other services</t>
  </si>
  <si>
    <t>I123</t>
  </si>
  <si>
    <t>Other service activities (dry-cleaning, hairdressing, funerals, etc.)</t>
  </si>
  <si>
    <t>9901-3, 9909</t>
  </si>
  <si>
    <t>I124</t>
  </si>
  <si>
    <t>Non-observed including informal, illicit, non-profit institutions, and households</t>
  </si>
  <si>
    <t xml:space="preserve">Informal; Non-observed; non-profit, households, 12 Own, 42 Own, 5 Own </t>
  </si>
  <si>
    <t>Non-observed</t>
  </si>
  <si>
    <t>Product number in the SUT</t>
  </si>
  <si>
    <t>CPC product grouping descriptions</t>
  </si>
  <si>
    <t>CPC classifications groupings</t>
  </si>
  <si>
    <t>CPC classifications in the SUT publication</t>
  </si>
  <si>
    <t>New Old SUT Prods</t>
  </si>
  <si>
    <t>Old  SUT</t>
  </si>
  <si>
    <t>p001</t>
  </si>
  <si>
    <t>P1</t>
  </si>
  <si>
    <t>Cereals including maize, wheat, rice, barley, oats, millet, rye and sorghum, and oilseeds and oleaginous fruits including soya beans, groundnuts in shell, cottonseed, linseed, mustard seed, rape seed, sunflower seed, other oil seeds n.e.c., coconuts, olives</t>
  </si>
  <si>
    <t>011, 014</t>
  </si>
  <si>
    <t>011/4</t>
  </si>
  <si>
    <t>cagri</t>
  </si>
  <si>
    <t xml:space="preserve">Agriculture </t>
  </si>
  <si>
    <t>p002</t>
  </si>
  <si>
    <t>P2</t>
  </si>
  <si>
    <t>Vegetables, fruits and nuts, edible roots, potatoes, stimulant, spice and aromatic crops, pulses, including beans, sugar crops, forage products, fibres, and others n.e.c.</t>
  </si>
  <si>
    <t>012-013, 015-019</t>
  </si>
  <si>
    <t>012-3/5-9</t>
  </si>
  <si>
    <t>clani</t>
  </si>
  <si>
    <t xml:space="preserve">Live animal </t>
  </si>
  <si>
    <t>p003</t>
  </si>
  <si>
    <t>P3</t>
  </si>
  <si>
    <t>Live animals, raw milk, eggs, reproductive materials of animals, other</t>
  </si>
  <si>
    <t>021-029</t>
  </si>
  <si>
    <t>021-9</t>
  </si>
  <si>
    <t>cfore</t>
  </si>
  <si>
    <t xml:space="preserve">Forestry </t>
  </si>
  <si>
    <t>p004</t>
  </si>
  <si>
    <t>P4</t>
  </si>
  <si>
    <t>Wood in rough, non-wood forest products</t>
  </si>
  <si>
    <t>031-032</t>
  </si>
  <si>
    <t>031-2</t>
  </si>
  <si>
    <t>cfish</t>
  </si>
  <si>
    <t xml:space="preserve">Fishing </t>
  </si>
  <si>
    <t>p005</t>
  </si>
  <si>
    <t>P5</t>
  </si>
  <si>
    <t>Fishes, crustaceans, oysters, other molluscs and aquatic invertebrates, other aquatic plants and animals</t>
  </si>
  <si>
    <t>041-042,049</t>
  </si>
  <si>
    <t>041-2/9</t>
  </si>
  <si>
    <t>ccoal</t>
  </si>
  <si>
    <t xml:space="preserve">Coal and lignite </t>
  </si>
  <si>
    <t>p006</t>
  </si>
  <si>
    <t>P6</t>
  </si>
  <si>
    <t>Coal, briquettes, lignite, peat</t>
  </si>
  <si>
    <t>cmore</t>
  </si>
  <si>
    <t>Metal ores</t>
  </si>
  <si>
    <t>p007</t>
  </si>
  <si>
    <t>P7</t>
  </si>
  <si>
    <t>Crude petroleum and natural gas, petroleum oils and oils obtained from bituminous minerals and crude, natural gas, liquefied or in the gaseous state and bituminous or oil shale and tar sands</t>
  </si>
  <si>
    <t>comin</t>
  </si>
  <si>
    <t>Other minerals</t>
  </si>
  <si>
    <t>p008</t>
  </si>
  <si>
    <t>P8</t>
  </si>
  <si>
    <t>Iron ores and concentrates, non-ferrous metal ores and concentrates</t>
  </si>
  <si>
    <t>141-142</t>
  </si>
  <si>
    <t>141-2</t>
  </si>
  <si>
    <t>celcg</t>
  </si>
  <si>
    <t>Electricity and gas</t>
  </si>
  <si>
    <t>p009</t>
  </si>
  <si>
    <t>P9</t>
  </si>
  <si>
    <t>Monumental or building stone, gypsum, limestone flux, limestone and other calcareous stone used for the manufacture of lime or cement, sands, pebbles, gravel, stone, natural bitumen and asphalt, clays</t>
  </si>
  <si>
    <t>150,151-154</t>
  </si>
  <si>
    <t>150-4</t>
  </si>
  <si>
    <t>cwatr</t>
  </si>
  <si>
    <t>Natural water</t>
  </si>
  <si>
    <t>p010</t>
  </si>
  <si>
    <t>P10</t>
  </si>
  <si>
    <t>Other minerals, chemical and fertiliser minerals, salt, sea water, precious and semi-precious stones, pumice stone, emery, natural abrasives</t>
  </si>
  <si>
    <t>161-163</t>
  </si>
  <si>
    <t>161-3</t>
  </si>
  <si>
    <t>cmeat</t>
  </si>
  <si>
    <t xml:space="preserve">Meat </t>
  </si>
  <si>
    <t>p011</t>
  </si>
  <si>
    <t>P11</t>
  </si>
  <si>
    <t>Electrical energy, gas, steam, hot water, ice, snow</t>
  </si>
  <si>
    <t>171-174</t>
  </si>
  <si>
    <t>171-4</t>
  </si>
  <si>
    <t>cpfis</t>
  </si>
  <si>
    <t xml:space="preserve">Fish </t>
  </si>
  <si>
    <t>p012</t>
  </si>
  <si>
    <t>P12</t>
  </si>
  <si>
    <t>cvege</t>
  </si>
  <si>
    <t xml:space="preserve">Vegetables </t>
  </si>
  <si>
    <t>p013</t>
  </si>
  <si>
    <t>P13</t>
  </si>
  <si>
    <t>Meat and edible offal of mammals and poultry, fresh, chilled or frozen</t>
  </si>
  <si>
    <t>cfrui</t>
  </si>
  <si>
    <t>Fruit and nuts</t>
  </si>
  <si>
    <t>p014</t>
  </si>
  <si>
    <t>P14</t>
  </si>
  <si>
    <t>Prepared and preserved fish, frozen, dried, crustaceans, molluscs and other aquatic invertebrates</t>
  </si>
  <si>
    <t>cfats</t>
  </si>
  <si>
    <t>Oils and fats</t>
  </si>
  <si>
    <t>p015</t>
  </si>
  <si>
    <t>P15</t>
  </si>
  <si>
    <t>Frozen and canned vegetables, pulses and potatoes, vegetable juices</t>
  </si>
  <si>
    <t>cdair</t>
  </si>
  <si>
    <t>p016</t>
  </si>
  <si>
    <t>P16</t>
  </si>
  <si>
    <t>Dried and canned fruit, shelled nuts, fruit juices</t>
  </si>
  <si>
    <t>cgrai</t>
  </si>
  <si>
    <t>Grain mill products</t>
  </si>
  <si>
    <t>p017</t>
  </si>
  <si>
    <t>P17</t>
  </si>
  <si>
    <t>Animal and vegetables oils and fats, margarine, oil-cake, flours, meals, waxes</t>
  </si>
  <si>
    <t>215-217</t>
  </si>
  <si>
    <t>215-7</t>
  </si>
  <si>
    <t>cstar</t>
  </si>
  <si>
    <t>Starches products</t>
  </si>
  <si>
    <t>p018</t>
  </si>
  <si>
    <t>P18</t>
  </si>
  <si>
    <t>Milk and cream in liquid and solid forms, yoghurt, butter, ice cream, eggs</t>
  </si>
  <si>
    <t>221-223</t>
  </si>
  <si>
    <t>221-3</t>
  </si>
  <si>
    <t>cafee</t>
  </si>
  <si>
    <t xml:space="preserve">Animal feeding </t>
  </si>
  <si>
    <t>p019</t>
  </si>
  <si>
    <t>P19</t>
  </si>
  <si>
    <t>Wheat, meslin and other cereal flours, groats, meal, pellets of wheat, rice; and glucose and glucose syrup, artificial syrup, caramel, starches, inulin, gluten</t>
  </si>
  <si>
    <t>231; 232</t>
  </si>
  <si>
    <t>cgrss</t>
  </si>
  <si>
    <t>cbake</t>
  </si>
  <si>
    <t>Bakery products</t>
  </si>
  <si>
    <t>p020</t>
  </si>
  <si>
    <t>P20</t>
  </si>
  <si>
    <t>Preparations used in animal feeding n.e.c., lucerne meal and pellets</t>
  </si>
  <si>
    <t>csuga</t>
  </si>
  <si>
    <t>p021</t>
  </si>
  <si>
    <t>P21</t>
  </si>
  <si>
    <t>Bread, rusks, sweet biscuits, waffles and wafers, pastry goods and cakes</t>
  </si>
  <si>
    <t>cconf</t>
  </si>
  <si>
    <t>Confectionary products</t>
  </si>
  <si>
    <t>p022</t>
  </si>
  <si>
    <t>P22</t>
  </si>
  <si>
    <t>Raw and refined cane or beet sugar, maple sugar and syrup, molasses</t>
  </si>
  <si>
    <t>cpast</t>
  </si>
  <si>
    <t>Pasta products</t>
  </si>
  <si>
    <t>p023</t>
  </si>
  <si>
    <t>P23</t>
  </si>
  <si>
    <t>Cocoa paste, butter, fat, oil and powder, chocolate, sugar confectionery</t>
  </si>
  <si>
    <t>cofoo</t>
  </si>
  <si>
    <t>Food n.e.c.</t>
  </si>
  <si>
    <t>p024</t>
  </si>
  <si>
    <t>P24</t>
  </si>
  <si>
    <t>Food n.e.c. including pasta, cooked or uncooked, couscous, prepared dishes containing pasta and coffee, tea, spices and aromatics, soups, vinegar, sauces, yeasts, other n.e.c.</t>
  </si>
  <si>
    <t>237; 239</t>
  </si>
  <si>
    <t>cpofd</t>
  </si>
  <si>
    <t>calcb</t>
  </si>
  <si>
    <t>Alcohol, beverages</t>
  </si>
  <si>
    <t>p025</t>
  </si>
  <si>
    <t>P25</t>
  </si>
  <si>
    <t>Ethyl alcohol, spirits, liqueurs, wines, malt liquors and malt</t>
  </si>
  <si>
    <t>241-243</t>
  </si>
  <si>
    <t>241-3</t>
  </si>
  <si>
    <t>csftd</t>
  </si>
  <si>
    <t>Soft drinks</t>
  </si>
  <si>
    <t>p026</t>
  </si>
  <si>
    <t>P26</t>
  </si>
  <si>
    <t>Soft drinks, bottled mineral waters</t>
  </si>
  <si>
    <t>ctoba</t>
  </si>
  <si>
    <t>Tobacco products</t>
  </si>
  <si>
    <t>p027</t>
  </si>
  <si>
    <t>P27</t>
  </si>
  <si>
    <t>ctexf</t>
  </si>
  <si>
    <t>Textile fabrics</t>
  </si>
  <si>
    <t>p028</t>
  </si>
  <si>
    <t>P28</t>
  </si>
  <si>
    <t>Textile fibres and yarn, woven fabrics</t>
  </si>
  <si>
    <t>261-268</t>
  </si>
  <si>
    <t>261-8</t>
  </si>
  <si>
    <t>ctexm</t>
  </si>
  <si>
    <t>Made-up textile, articles</t>
  </si>
  <si>
    <t>p029</t>
  </si>
  <si>
    <t>P29</t>
  </si>
  <si>
    <t>Blankets, travelling rugs, linen, curtains, sacks, bags, sails, parachutes, quilts</t>
  </si>
  <si>
    <t>ccarp</t>
  </si>
  <si>
    <t>Carpets</t>
  </si>
  <si>
    <t>p030</t>
  </si>
  <si>
    <t>P30</t>
  </si>
  <si>
    <t>Carpets and other textile floor coverings, knotted, woven, tufted, felt</t>
  </si>
  <si>
    <t>cotex</t>
  </si>
  <si>
    <t>Textile n.e.c.</t>
  </si>
  <si>
    <t>p031</t>
  </si>
  <si>
    <t>P31</t>
  </si>
  <si>
    <t>Twine, cordage, ropes, cables, tulles, lace, trimmings, embroidery, felt</t>
  </si>
  <si>
    <t>273, 279</t>
  </si>
  <si>
    <t>273/9</t>
  </si>
  <si>
    <t>cknit</t>
  </si>
  <si>
    <t>Knitting fabrics</t>
  </si>
  <si>
    <t>p032</t>
  </si>
  <si>
    <t>P32</t>
  </si>
  <si>
    <t>Pile fabrics and terry fabrics, knitted or crocheted</t>
  </si>
  <si>
    <t>cwear</t>
  </si>
  <si>
    <t>p033</t>
  </si>
  <si>
    <t>P33</t>
  </si>
  <si>
    <t>Wearing apparel, tanned or dressed fur skins and artificial fur</t>
  </si>
  <si>
    <t>282-283</t>
  </si>
  <si>
    <t>282-3</t>
  </si>
  <si>
    <t>cleat</t>
  </si>
  <si>
    <t>p034</t>
  </si>
  <si>
    <t>P34</t>
  </si>
  <si>
    <t>Tanned or dressed leather, luggage, handbags, saddlery, harness, straps</t>
  </si>
  <si>
    <t>291-292</t>
  </si>
  <si>
    <t>291-2</t>
  </si>
  <si>
    <t>cfoot</t>
  </si>
  <si>
    <t>p035</t>
  </si>
  <si>
    <t>P35</t>
  </si>
  <si>
    <t>Footwear, waterproof, rubber, plastic, leather, textile materials, wood, sport</t>
  </si>
  <si>
    <t>293-296</t>
  </si>
  <si>
    <t>293-6</t>
  </si>
  <si>
    <t>cwood</t>
  </si>
  <si>
    <t>p036</t>
  </si>
  <si>
    <t>P36</t>
  </si>
  <si>
    <t>Wood, sawn, rough, boards, panels, sheets, boxes, cork, straw, plaiting materials</t>
  </si>
  <si>
    <t>311-317, 319</t>
  </si>
  <si>
    <t>311-7/9</t>
  </si>
  <si>
    <t>cpapp</t>
  </si>
  <si>
    <t>Paper products</t>
  </si>
  <si>
    <t>p037</t>
  </si>
  <si>
    <t>P37</t>
  </si>
  <si>
    <t>Pulp, paper, paperboard, sacks, bags, envelopes, cards, toilet paper, towels</t>
  </si>
  <si>
    <t>cprnt</t>
  </si>
  <si>
    <t>Printing</t>
  </si>
  <si>
    <t>p038</t>
  </si>
  <si>
    <t>P38</t>
  </si>
  <si>
    <t>Books, newspapers, maps, postcards, pictures, plans, stamps, brochures</t>
  </si>
  <si>
    <t>322-328</t>
  </si>
  <si>
    <t>322-8</t>
  </si>
  <si>
    <t>cpetr</t>
  </si>
  <si>
    <t>Petroleum products</t>
  </si>
  <si>
    <t>p039</t>
  </si>
  <si>
    <t>P39</t>
  </si>
  <si>
    <t>Coke oven products, coke and semi-coke of coal, tar distilled from coal, from lignite, from peat and other minerals, and nuclear fuel elements and radioactive elements</t>
  </si>
  <si>
    <t>331-332, 336, 337</t>
  </si>
  <si>
    <t>331-2/6-7</t>
  </si>
  <si>
    <t>cbchm</t>
  </si>
  <si>
    <t xml:space="preserve">Basic chemicals </t>
  </si>
  <si>
    <t>p040</t>
  </si>
  <si>
    <t>P40</t>
  </si>
  <si>
    <t>Petroleum oils, oils from bituminous minerals, kerosene, gas oils, fuel oils n.e.c., petroleum gases and other gaseous hydrocarbons except natural gas, petroleum jelly, paraffin wax, petroleum bitumen and other residues of petroleum oils and of oils obtained from bituminous materials</t>
  </si>
  <si>
    <t>333-335</t>
  </si>
  <si>
    <t>333-5</t>
  </si>
  <si>
    <t>cfert</t>
  </si>
  <si>
    <t>Fertilizers, pesticides</t>
  </si>
  <si>
    <t>p041</t>
  </si>
  <si>
    <t>P41</t>
  </si>
  <si>
    <t>Basic chemicals, organic, inorganic, primary plastics, synthetic rubber and fertilisers and pesticides</t>
  </si>
  <si>
    <t>341-345, 346; 347-348</t>
  </si>
  <si>
    <t>341-8</t>
  </si>
  <si>
    <t>cbchf</t>
  </si>
  <si>
    <t>cpain</t>
  </si>
  <si>
    <t>Paint, related products</t>
  </si>
  <si>
    <t>p042</t>
  </si>
  <si>
    <t>P42</t>
  </si>
  <si>
    <t>Paints and varnishes and related products, artists' colours, ink</t>
  </si>
  <si>
    <t>cphar</t>
  </si>
  <si>
    <t>Pharmaceutical products</t>
  </si>
  <si>
    <t>p043</t>
  </si>
  <si>
    <t>P43</t>
  </si>
  <si>
    <t>csoap</t>
  </si>
  <si>
    <t>Soap, cleaning, perfume</t>
  </si>
  <si>
    <t>p044</t>
  </si>
  <si>
    <t>P44</t>
  </si>
  <si>
    <t>Soap, cleaning and polishing preparations, perfumes and toilet preparations</t>
  </si>
  <si>
    <t>coche</t>
  </si>
  <si>
    <t>Chemical products, n.e.c.</t>
  </si>
  <si>
    <t>p045</t>
  </si>
  <si>
    <t>P45</t>
  </si>
  <si>
    <t>Chemical products n.e.c., man-made fibres</t>
  </si>
  <si>
    <t>354-355</t>
  </si>
  <si>
    <t>354-5</t>
  </si>
  <si>
    <t>ctyre</t>
  </si>
  <si>
    <t>Rubber tyres</t>
  </si>
  <si>
    <t>p046</t>
  </si>
  <si>
    <t>P46</t>
  </si>
  <si>
    <t>Rubber tyres, new, retreated, inner tubes, tyre flaps; and Reclaimed rubber, tubes, pipes, hoses, conveyor or transmission belts</t>
  </si>
  <si>
    <t>361; 362</t>
  </si>
  <si>
    <t>361-2</t>
  </si>
  <si>
    <t>carub</t>
  </si>
  <si>
    <t>corub</t>
  </si>
  <si>
    <t>Other rubber products</t>
  </si>
  <si>
    <t>p047</t>
  </si>
  <si>
    <t>P47</t>
  </si>
  <si>
    <t>Tubes, pipes, hoses, plates, sheets, foil, strips, sacks, bags, caps, floor covering</t>
  </si>
  <si>
    <t>363-364, 369</t>
  </si>
  <si>
    <t>363-4/9</t>
  </si>
  <si>
    <t>cplas</t>
  </si>
  <si>
    <t>p048</t>
  </si>
  <si>
    <t>P48</t>
  </si>
  <si>
    <t>Glass, bottles, jars, glassware for kitchen and laboratories, lamps, signs</t>
  </si>
  <si>
    <t>cglas</t>
  </si>
  <si>
    <t>Glass products</t>
  </si>
  <si>
    <t>p049</t>
  </si>
  <si>
    <t>P49</t>
  </si>
  <si>
    <t>Ceramic sinks, baths, pans, pots, tableware, kitchenware, toilet articles</t>
  </si>
  <si>
    <t>ccera</t>
  </si>
  <si>
    <t>Non-structural ceramic</t>
  </si>
  <si>
    <t>p050</t>
  </si>
  <si>
    <t>P50</t>
  </si>
  <si>
    <t>Bricks, blocks, tiles, refractory cements, mortars, concretes compositions</t>
  </si>
  <si>
    <t>cclay</t>
  </si>
  <si>
    <t>Structure non-refractory clay</t>
  </si>
  <si>
    <t>p051</t>
  </si>
  <si>
    <t>P51</t>
  </si>
  <si>
    <t>Plasters, quicklime, slaked lime, cement, calcinated or agglomerated dolomite</t>
  </si>
  <si>
    <t>ccmnt</t>
  </si>
  <si>
    <t>Plaster, cement</t>
  </si>
  <si>
    <t>p052</t>
  </si>
  <si>
    <t>P52</t>
  </si>
  <si>
    <t>Boards, blocks, tiles, flagstones, bricks, artificial stone</t>
  </si>
  <si>
    <t>cconc</t>
  </si>
  <si>
    <t>Articles of concrete</t>
  </si>
  <si>
    <t>p053</t>
  </si>
  <si>
    <t>P53</t>
  </si>
  <si>
    <t>Marble, travertine, alabaster, monumental or building stone, mill or grind stones</t>
  </si>
  <si>
    <t>376, 379</t>
  </si>
  <si>
    <t>376/9</t>
  </si>
  <si>
    <t>conmp</t>
  </si>
  <si>
    <t>Non-metallic products n.e.c.</t>
  </si>
  <si>
    <t>p054</t>
  </si>
  <si>
    <t>P54</t>
  </si>
  <si>
    <t>Furniture, mattress support, mattresses, parts of furniture</t>
  </si>
  <si>
    <t>cfurn</t>
  </si>
  <si>
    <t>p055</t>
  </si>
  <si>
    <t>P55</t>
  </si>
  <si>
    <t>Pearls, industrial diamonds, jewellery and other articles of precious metal, coin</t>
  </si>
  <si>
    <t>cjewl</t>
  </si>
  <si>
    <t>Jewellery</t>
  </si>
  <si>
    <t>p056</t>
  </si>
  <si>
    <t>P56</t>
  </si>
  <si>
    <t>Musical instruments, sports goods, games and toys, swings, other manufactured articles n.e.c.</t>
  </si>
  <si>
    <t>383-387, 389</t>
  </si>
  <si>
    <t>383-7/9</t>
  </si>
  <si>
    <t>comnf</t>
  </si>
  <si>
    <t>Manufactured products n.e.c.</t>
  </si>
  <si>
    <t>p057</t>
  </si>
  <si>
    <t>P57</t>
  </si>
  <si>
    <t>Wastes from food, tobacco, wastes or scraps from non-metal, waste or scraps from metal, other wastes and scraps</t>
  </si>
  <si>
    <t>391-393, 399</t>
  </si>
  <si>
    <t>391-3/9</t>
  </si>
  <si>
    <t>cwast</t>
  </si>
  <si>
    <t>Wastes, scraps</t>
  </si>
  <si>
    <t>p058</t>
  </si>
  <si>
    <t>P58</t>
  </si>
  <si>
    <t>cirst</t>
  </si>
  <si>
    <t>Iron, steel products</t>
  </si>
  <si>
    <t>p059</t>
  </si>
  <si>
    <t>P59</t>
  </si>
  <si>
    <t xml:space="preserve">Products of iron and steel </t>
  </si>
  <si>
    <t>cnfme</t>
  </si>
  <si>
    <t>Non-ferrous metals</t>
  </si>
  <si>
    <t>p060</t>
  </si>
  <si>
    <t>P60</t>
  </si>
  <si>
    <t>Basic precious metals, metals clad with precious metals, non-ferrous metals</t>
  </si>
  <si>
    <t>413-416</t>
  </si>
  <si>
    <t>413-6</t>
  </si>
  <si>
    <t>cstrm</t>
  </si>
  <si>
    <t>Structural metal products</t>
  </si>
  <si>
    <t>p061</t>
  </si>
  <si>
    <t>P61</t>
  </si>
  <si>
    <t>Bridges, towers, doors, windows, frames and parts of structures and tanks, reservoirs, vats and similar containers, steam generators</t>
  </si>
  <si>
    <t>421-3</t>
  </si>
  <si>
    <t>csmtk</t>
  </si>
  <si>
    <t>ctank</t>
  </si>
  <si>
    <t>Tanks, reservoirs</t>
  </si>
  <si>
    <t>p062</t>
  </si>
  <si>
    <t>P62</t>
  </si>
  <si>
    <t>Sinks, knives, razors, spoons, forks, hand tools, casks, drums, cans, cable, needles</t>
  </si>
  <si>
    <t>cofbm</t>
  </si>
  <si>
    <t xml:space="preserve">Other fabricated metal </t>
  </si>
  <si>
    <t>p063</t>
  </si>
  <si>
    <t>P63</t>
  </si>
  <si>
    <t>Motors and engines for aircraft, steam and other turbines; pumps, compressors, hydraulic and pneumatic power engines, valves; and Bearings, gears, gearing and driving elements, and parts thereof</t>
  </si>
  <si>
    <t>431-3</t>
  </si>
  <si>
    <t>cenpg</t>
  </si>
  <si>
    <t>cengt</t>
  </si>
  <si>
    <t>Engines, turbines</t>
  </si>
  <si>
    <t>p064</t>
  </si>
  <si>
    <t>P64</t>
  </si>
  <si>
    <t>Pulley tackle and hoists, cranes, lifting frames, fork-lifts, escalators</t>
  </si>
  <si>
    <t>cpump</t>
  </si>
  <si>
    <t>Pumps, compressors</t>
  </si>
  <si>
    <t>p065</t>
  </si>
  <si>
    <t>P65</t>
  </si>
  <si>
    <t>Other general-purpose machinery, parts thereof, ovens and furnace burners</t>
  </si>
  <si>
    <t>434, 439</t>
  </si>
  <si>
    <t>434/9</t>
  </si>
  <si>
    <t>cgear</t>
  </si>
  <si>
    <t>Bearings, gears</t>
  </si>
  <si>
    <t>p066</t>
  </si>
  <si>
    <t>P66</t>
  </si>
  <si>
    <t>Special-purpose machinery, machine tools, weapons, ammunition</t>
  </si>
  <si>
    <t>441-447, 449</t>
  </si>
  <si>
    <t>441-7/9</t>
  </si>
  <si>
    <t>clift</t>
  </si>
  <si>
    <t>Lifting equipment</t>
  </si>
  <si>
    <t>p067</t>
  </si>
  <si>
    <t>P67</t>
  </si>
  <si>
    <t>Refrigerators, freezers, dish washing machines, electric blankets, fans, heaters</t>
  </si>
  <si>
    <t>cgenm</t>
  </si>
  <si>
    <t>General machinery</t>
  </si>
  <si>
    <t>p068</t>
  </si>
  <si>
    <t>P68</t>
  </si>
  <si>
    <t>Typewriters, calculators, cash registers, automatic data processing machines</t>
  </si>
  <si>
    <t>451-452</t>
  </si>
  <si>
    <t>451-2</t>
  </si>
  <si>
    <t>cspcm</t>
  </si>
  <si>
    <t>Special machinery</t>
  </si>
  <si>
    <t>p069</t>
  </si>
  <si>
    <t>P69</t>
  </si>
  <si>
    <t>Electric motors, generators, transformers, distribution, control apparatus, wire</t>
  </si>
  <si>
    <t>461-465, 469</t>
  </si>
  <si>
    <t>461-5/9</t>
  </si>
  <si>
    <t>cdoma</t>
  </si>
  <si>
    <t>Domestic appliances</t>
  </si>
  <si>
    <t>p070</t>
  </si>
  <si>
    <t>P70</t>
  </si>
  <si>
    <t>Electronic valves, tubes, television, cameras, telephone sets, receivers</t>
  </si>
  <si>
    <t>471-476, 478-479</t>
  </si>
  <si>
    <t>471-6/8-9</t>
  </si>
  <si>
    <t>coffm</t>
  </si>
  <si>
    <t>Office machinery</t>
  </si>
  <si>
    <t>p071</t>
  </si>
  <si>
    <t>P71</t>
  </si>
  <si>
    <t>Medical appliances, precision, optical instruments, watches and clocks</t>
  </si>
  <si>
    <t>481-484</t>
  </si>
  <si>
    <t>481-4</t>
  </si>
  <si>
    <t>celcm</t>
  </si>
  <si>
    <t>Electrical machinery</t>
  </si>
  <si>
    <t>p072</t>
  </si>
  <si>
    <t>P72</t>
  </si>
  <si>
    <t>Motor vehicles, bodies for motors, trailers and semi-trailers, parts thereof</t>
  </si>
  <si>
    <t>crdtv</t>
  </si>
  <si>
    <t>Radio, television</t>
  </si>
  <si>
    <t>p073</t>
  </si>
  <si>
    <t>P73</t>
  </si>
  <si>
    <t xml:space="preserve">Bodies (coachwork) for motor vehicles, trailers and semi-trailers, parts and accessories thereof </t>
  </si>
  <si>
    <t>cmeda</t>
  </si>
  <si>
    <t>p074</t>
  </si>
  <si>
    <t>P74</t>
  </si>
  <si>
    <t>Ships, sailboats, sporting boats such as rowing boats and canoes</t>
  </si>
  <si>
    <t>493-494</t>
  </si>
  <si>
    <t>493-4</t>
  </si>
  <si>
    <t>cmtvp</t>
  </si>
  <si>
    <t xml:space="preserve">Motor vehicles, parts </t>
  </si>
  <si>
    <t>p075</t>
  </si>
  <si>
    <t>P75</t>
  </si>
  <si>
    <t>Railway and tramway locomotives and rolling stock</t>
  </si>
  <si>
    <t>cship</t>
  </si>
  <si>
    <t>Ships and boats</t>
  </si>
  <si>
    <t>p076</t>
  </si>
  <si>
    <t>P76</t>
  </si>
  <si>
    <t>Balloons, gliders, hang gliders, aeroplanes, helicopters, and parts thereof</t>
  </si>
  <si>
    <t>crail</t>
  </si>
  <si>
    <t>Railway and trams</t>
  </si>
  <si>
    <t>p077</t>
  </si>
  <si>
    <t>P77</t>
  </si>
  <si>
    <t>Motorcycles, bicycles, invalid carriages</t>
  </si>
  <si>
    <t>cairc</t>
  </si>
  <si>
    <t xml:space="preserve">Aircrafts </t>
  </si>
  <si>
    <t>p078</t>
  </si>
  <si>
    <t>Construction services</t>
  </si>
  <si>
    <t>P78</t>
  </si>
  <si>
    <t>Construction services including: buildings, highways, bridges, tunnels, harbours, pipelines, industrial plants; and demolition, excavating, framing, roofing, installation, plastering, painting, fencing</t>
  </si>
  <si>
    <t>531-532; 541-547</t>
  </si>
  <si>
    <t>ccnsv</t>
  </si>
  <si>
    <t>coteq</t>
  </si>
  <si>
    <t>p079</t>
  </si>
  <si>
    <t>P79</t>
  </si>
  <si>
    <t>Wholesale services</t>
  </si>
  <si>
    <t>611-612</t>
  </si>
  <si>
    <t>611-2</t>
  </si>
  <si>
    <t>ccnst</t>
  </si>
  <si>
    <t>p080</t>
  </si>
  <si>
    <t>P80</t>
  </si>
  <si>
    <t>Retail trade services</t>
  </si>
  <si>
    <t>621-625</t>
  </si>
  <si>
    <t>621-5</t>
  </si>
  <si>
    <t>ccsrv</t>
  </si>
  <si>
    <t>p081</t>
  </si>
  <si>
    <t>P81</t>
  </si>
  <si>
    <t>Room or unit accommodation, camp site services</t>
  </si>
  <si>
    <t>631-632</t>
  </si>
  <si>
    <t>631-2</t>
  </si>
  <si>
    <t>ctrad</t>
  </si>
  <si>
    <t>Trade services</t>
  </si>
  <si>
    <t>p082</t>
  </si>
  <si>
    <t>P82</t>
  </si>
  <si>
    <t>Meal serving, event catering, beverage serving services</t>
  </si>
  <si>
    <t>633-634</t>
  </si>
  <si>
    <t>633-4</t>
  </si>
  <si>
    <t>cacco</t>
  </si>
  <si>
    <t xml:space="preserve">Accommodation </t>
  </si>
  <si>
    <t>p083</t>
  </si>
  <si>
    <t>P83</t>
  </si>
  <si>
    <t>Transportation services: local transport, sightseeing transportation and long distance transport services of passengers</t>
  </si>
  <si>
    <t>641; 642</t>
  </si>
  <si>
    <t>641-2</t>
  </si>
  <si>
    <t>ccats</t>
  </si>
  <si>
    <t>Catering services</t>
  </si>
  <si>
    <t>p084</t>
  </si>
  <si>
    <t>P84</t>
  </si>
  <si>
    <t>Land transport, water transport, air and space transport services of freight</t>
  </si>
  <si>
    <t>651-653</t>
  </si>
  <si>
    <t>651-3</t>
  </si>
  <si>
    <t>cptrp</t>
  </si>
  <si>
    <t xml:space="preserve">Passenger transport </t>
  </si>
  <si>
    <t>p085</t>
  </si>
  <si>
    <t>P85</t>
  </si>
  <si>
    <t>Rental, cargo handling, storage, warehousing, other supporting services</t>
  </si>
  <si>
    <t>660, 671-676, 679</t>
  </si>
  <si>
    <t>660/71-6/9</t>
  </si>
  <si>
    <t>cftrp</t>
  </si>
  <si>
    <t xml:space="preserve">Freight transport </t>
  </si>
  <si>
    <t>p086</t>
  </si>
  <si>
    <t>P86</t>
  </si>
  <si>
    <t>Postal services, courier services, local delivery services</t>
  </si>
  <si>
    <t>ctrps</t>
  </si>
  <si>
    <t>Supporting transport services</t>
  </si>
  <si>
    <t>p087</t>
  </si>
  <si>
    <t>P87</t>
  </si>
  <si>
    <t>Electricity distribution services, gas distribution services</t>
  </si>
  <si>
    <t>cpost</t>
  </si>
  <si>
    <t>Postal,  courier services</t>
  </si>
  <si>
    <t>p088</t>
  </si>
  <si>
    <t>P88</t>
  </si>
  <si>
    <t>Water distribution services</t>
  </si>
  <si>
    <t>celcd</t>
  </si>
  <si>
    <t xml:space="preserve">Electricity distribution </t>
  </si>
  <si>
    <t>p089</t>
  </si>
  <si>
    <t>P89</t>
  </si>
  <si>
    <t>Central banking, deposit, credit-granting, financial leasing, investment banking (FISIM)</t>
  </si>
  <si>
    <t>FISIM</t>
  </si>
  <si>
    <t>cwatd</t>
  </si>
  <si>
    <t xml:space="preserve">Water distribution </t>
  </si>
  <si>
    <t>p090</t>
  </si>
  <si>
    <t>P90</t>
  </si>
  <si>
    <t>Other financial services excluding FISIM</t>
  </si>
  <si>
    <t>711-712</t>
  </si>
  <si>
    <t>711-2</t>
  </si>
  <si>
    <t>cfins</t>
  </si>
  <si>
    <t>Financial services</t>
  </si>
  <si>
    <t>p091</t>
  </si>
  <si>
    <t>P91</t>
  </si>
  <si>
    <t>Insurance (life, accident, health, motor, freight, property, credit, travel insurance) and pensions</t>
  </si>
  <si>
    <t>713-714</t>
  </si>
  <si>
    <t>713-4</t>
  </si>
  <si>
    <t>cinsp</t>
  </si>
  <si>
    <t xml:space="preserve">Insurance, pension </t>
  </si>
  <si>
    <t>p092</t>
  </si>
  <si>
    <t>P92</t>
  </si>
  <si>
    <t>Mergers, acquisition, corporate finance services, brokerage, trust, custody</t>
  </si>
  <si>
    <t>715-716</t>
  </si>
  <si>
    <t>715-6</t>
  </si>
  <si>
    <t>cofin</t>
  </si>
  <si>
    <t>Other financial services</t>
  </si>
  <si>
    <t>p093</t>
  </si>
  <si>
    <t>P93</t>
  </si>
  <si>
    <t>Owner-occupied real estate services, involving own property</t>
  </si>
  <si>
    <t>Owner Occupied</t>
  </si>
  <si>
    <t>creal</t>
  </si>
  <si>
    <t>Real estate services</t>
  </si>
  <si>
    <t>p094</t>
  </si>
  <si>
    <t>P94</t>
  </si>
  <si>
    <t xml:space="preserve">Real estate services involving leased property, real estate services on a fee or contract basis </t>
  </si>
  <si>
    <t>721-722</t>
  </si>
  <si>
    <t>721-2</t>
  </si>
  <si>
    <t>crent</t>
  </si>
  <si>
    <t>Leasing, Rental services</t>
  </si>
  <si>
    <t>p095</t>
  </si>
  <si>
    <t>P95</t>
  </si>
  <si>
    <t>Leasing or rental of transport equipment, machinery, television, radio, licensing services</t>
  </si>
  <si>
    <t>731-733</t>
  </si>
  <si>
    <t>731-3</t>
  </si>
  <si>
    <t>crsea</t>
  </si>
  <si>
    <t>Research, development</t>
  </si>
  <si>
    <t>p096</t>
  </si>
  <si>
    <t>P96</t>
  </si>
  <si>
    <t>Research and development services in natural and social sciences, engineering</t>
  </si>
  <si>
    <t>811-814</t>
  </si>
  <si>
    <t>811-4</t>
  </si>
  <si>
    <t>clacc</t>
  </si>
  <si>
    <t xml:space="preserve">Legal, accounting </t>
  </si>
  <si>
    <t>p097</t>
  </si>
  <si>
    <t>P97</t>
  </si>
  <si>
    <t>Legal, accounting, auditing, bookkeeping, tax consultancy, insolvency</t>
  </si>
  <si>
    <t>821-824</t>
  </si>
  <si>
    <t>821-4</t>
  </si>
  <si>
    <t>cobus</t>
  </si>
  <si>
    <t>Other business services</t>
  </si>
  <si>
    <t>p098</t>
  </si>
  <si>
    <t>P98</t>
  </si>
  <si>
    <t>Management, architectural, engineering, scientific, veterinary, advertising</t>
  </si>
  <si>
    <t>831-839</t>
  </si>
  <si>
    <t>831-9</t>
  </si>
  <si>
    <t>ctelc</t>
  </si>
  <si>
    <t>Telecommunications</t>
  </si>
  <si>
    <t>p099</t>
  </si>
  <si>
    <t>P99</t>
  </si>
  <si>
    <t>Telephony, internet, on-line, news agency, library, broadcasting, programming</t>
  </si>
  <si>
    <t>841-846</t>
  </si>
  <si>
    <t>841-6</t>
  </si>
  <si>
    <t>csupp</t>
  </si>
  <si>
    <t>Support services</t>
  </si>
  <si>
    <t>p100</t>
  </si>
  <si>
    <t>P100</t>
  </si>
  <si>
    <t>Support services, maintenance, repair, installation services</t>
  </si>
  <si>
    <t>851-855, 859, 861-863, 871-873, 881-889</t>
  </si>
  <si>
    <t>85/6/7/8</t>
  </si>
  <si>
    <t>cspps</t>
  </si>
  <si>
    <t>cmnfs</t>
  </si>
  <si>
    <t>Manufactured services n.e.c.</t>
  </si>
  <si>
    <t>p101</t>
  </si>
  <si>
    <t>P101</t>
  </si>
  <si>
    <t>Publishing, printing and reproduction services, materials recovery services</t>
  </si>
  <si>
    <t>891-894</t>
  </si>
  <si>
    <t>891-4</t>
  </si>
  <si>
    <t>cpuba</t>
  </si>
  <si>
    <t>Public administration</t>
  </si>
  <si>
    <t>p102</t>
  </si>
  <si>
    <t>P102</t>
  </si>
  <si>
    <t>Public administration, compulsory social security, sewage, waste collection</t>
  </si>
  <si>
    <t>911-913, 941-945, 949</t>
  </si>
  <si>
    <t>911-3/41-5/9</t>
  </si>
  <si>
    <t>ceduc</t>
  </si>
  <si>
    <t>Education services</t>
  </si>
  <si>
    <t>p103</t>
  </si>
  <si>
    <t>P103</t>
  </si>
  <si>
    <t>Pre-primary, primary, secondary, post-secondary, tertiary, other education</t>
  </si>
  <si>
    <t>921-925, 929</t>
  </si>
  <si>
    <t>921-5/9</t>
  </si>
  <si>
    <t>cheal</t>
  </si>
  <si>
    <t>Health, social services</t>
  </si>
  <si>
    <t>p104</t>
  </si>
  <si>
    <t>P104</t>
  </si>
  <si>
    <t>Human health and social care services</t>
  </si>
  <si>
    <t>931-935</t>
  </si>
  <si>
    <t>931-5</t>
  </si>
  <si>
    <t>cosrv</t>
  </si>
  <si>
    <t>Other services n.e.c.</t>
  </si>
  <si>
    <t>p105</t>
  </si>
  <si>
    <t>P105</t>
  </si>
  <si>
    <t>Membership organisations, services by business, employers and professional organisations, services furnished by trade unions, services by other membership organisations, services provided by extraterritorial organisations and bodies</t>
  </si>
  <si>
    <t>951-952, 959, 990</t>
  </si>
  <si>
    <t>951-2/9/90</t>
  </si>
  <si>
    <t>p106</t>
  </si>
  <si>
    <t>P106</t>
  </si>
  <si>
    <t>Audio-visual and related services, performing arts and other live entertainment, services of performing and other artists, museum and preservation services, sports and recreational sports services, other amusement and recreational services, services of athletes and related support services</t>
  </si>
  <si>
    <t>961-966, 969</t>
  </si>
  <si>
    <t>961-6/9</t>
  </si>
  <si>
    <t>p107</t>
  </si>
  <si>
    <t>P107</t>
  </si>
  <si>
    <t>Washing, cleaning and dyeing services, beauty and physical well-being services, funeral, cremation and undertaking services, other miscellaneous services</t>
  </si>
  <si>
    <t>971-973, 979</t>
  </si>
  <si>
    <t>971-3/9</t>
  </si>
  <si>
    <t>p108</t>
  </si>
  <si>
    <t>P108</t>
  </si>
  <si>
    <t>Domestic services</t>
  </si>
  <si>
    <t>Accommodation</t>
  </si>
  <si>
    <t>ent</t>
  </si>
  <si>
    <t>Enterprises</t>
  </si>
  <si>
    <t xml:space="preserve">Sales tax </t>
  </si>
  <si>
    <t>Import duties</t>
  </si>
  <si>
    <t>Income tax</t>
  </si>
  <si>
    <t>stx</t>
  </si>
  <si>
    <t>mtx</t>
  </si>
  <si>
    <t>dtx</t>
  </si>
  <si>
    <t>Coal mining</t>
  </si>
  <si>
    <t>Oil &amp; gas extraction</t>
  </si>
  <si>
    <t>Gold mining</t>
  </si>
  <si>
    <t>Metal ores mining</t>
  </si>
  <si>
    <t>Other mining</t>
  </si>
  <si>
    <t>Services to mining</t>
  </si>
  <si>
    <t>Grain &amp; animal feeds</t>
  </si>
  <si>
    <t>Printing &amp; reproduction</t>
  </si>
  <si>
    <t>Iron &amp; steel</t>
  </si>
  <si>
    <t>Television &amp; radios</t>
  </si>
  <si>
    <t>Construct site preps</t>
  </si>
  <si>
    <t>Construct installation</t>
  </si>
  <si>
    <t>Construct completion</t>
  </si>
  <si>
    <t>Construct equipm rent &amp; ops</t>
  </si>
  <si>
    <t>Fee basis wholesale</t>
  </si>
  <si>
    <t>Agr raw materials wholesale</t>
  </si>
  <si>
    <t>Household goods wholesale</t>
  </si>
  <si>
    <t>Non-agr wholesale</t>
  </si>
  <si>
    <t>Mach &amp; equipm wholesale</t>
  </si>
  <si>
    <t>Other wholesale</t>
  </si>
  <si>
    <t>Non-specialised retail</t>
  </si>
  <si>
    <t>Food &amp; bev retail</t>
  </si>
  <si>
    <t>Household goods retail</t>
  </si>
  <si>
    <t>Other retail</t>
  </si>
  <si>
    <t>Motor vehicles trade</t>
  </si>
  <si>
    <t>Motor vehicle parts trade</t>
  </si>
  <si>
    <t>Automotive fuel retail</t>
  </si>
  <si>
    <t>Insurance &amp; pensions</t>
  </si>
  <si>
    <t>Owner occupied</t>
  </si>
  <si>
    <t>Own real estate activities</t>
  </si>
  <si>
    <t>Renting of household goods</t>
  </si>
  <si>
    <t>Research &amp; development</t>
  </si>
  <si>
    <t>Legal &amp; accounting</t>
  </si>
  <si>
    <t>Sewage &amp; refuse</t>
  </si>
  <si>
    <t>Buss, empl &amp; prof orgs</t>
  </si>
  <si>
    <t>Radio,TV &amp; entertainment</t>
  </si>
  <si>
    <t>Libraries &amp; oth cult serv</t>
  </si>
  <si>
    <t>Sport &amp; recreational serv</t>
  </si>
  <si>
    <t>Other Trnsp Equipm</t>
  </si>
  <si>
    <t>Railway equipment</t>
  </si>
  <si>
    <t>Short industry description</t>
  </si>
  <si>
    <t>General purpose mach</t>
  </si>
  <si>
    <t>Oth electr compnts</t>
  </si>
  <si>
    <t>Oth fabricated metal</t>
  </si>
  <si>
    <t>Auxiliary to insur &amp; pens</t>
  </si>
  <si>
    <t>Auxiliary to financial act</t>
  </si>
  <si>
    <t>Oth fin intermediation</t>
  </si>
  <si>
    <t>Supp transport activities</t>
  </si>
  <si>
    <t>Fee basis real est activities</t>
  </si>
  <si>
    <t>Renting of transport equipm</t>
  </si>
  <si>
    <t>Oth computer related serv</t>
  </si>
  <si>
    <t>Architect &amp; engineering</t>
  </si>
  <si>
    <t>Oth business activities</t>
  </si>
  <si>
    <t>Central government</t>
  </si>
  <si>
    <t>Oth membership orgs</t>
  </si>
  <si>
    <t>Informal, non-prof &amp; hh</t>
  </si>
  <si>
    <t>Pasta &amp; food n.e.c.</t>
  </si>
  <si>
    <t>Tyres &amp; oth rubber</t>
  </si>
  <si>
    <t>Oth non-metallic</t>
  </si>
  <si>
    <t>Cereals, oilseeds</t>
  </si>
  <si>
    <t>SAM code</t>
  </si>
  <si>
    <t>Short product description</t>
  </si>
  <si>
    <t>Construction serv</t>
  </si>
  <si>
    <t>Change in stocks+resid</t>
  </si>
  <si>
    <t>Rest of the world</t>
  </si>
  <si>
    <t>Vegetables, fruits</t>
  </si>
  <si>
    <t>Live animals</t>
  </si>
  <si>
    <t>Fish</t>
  </si>
  <si>
    <t>Coal, lignite; peat</t>
  </si>
  <si>
    <t>Crude petroleum, gas</t>
  </si>
  <si>
    <t>Stone, s&amp;, clay</t>
  </si>
  <si>
    <t>Oth minerals</t>
  </si>
  <si>
    <t>Electricity, steam</t>
  </si>
  <si>
    <t>Meat</t>
  </si>
  <si>
    <t>Prepared fish</t>
  </si>
  <si>
    <t>Prepared vegetables</t>
  </si>
  <si>
    <t>Prepared fruit, nuts</t>
  </si>
  <si>
    <t>Oils, fats</t>
  </si>
  <si>
    <t>Dairy products, egg</t>
  </si>
  <si>
    <t>Grain mill, starch &amp; syrups</t>
  </si>
  <si>
    <t>Animal feeding</t>
  </si>
  <si>
    <t>Cocoa, chocolate</t>
  </si>
  <si>
    <t>Alcohol beverages</t>
  </si>
  <si>
    <t>Yarn, thread; textile</t>
  </si>
  <si>
    <t>Made-up textile</t>
  </si>
  <si>
    <t>Knitted, crocheted</t>
  </si>
  <si>
    <t>Wood</t>
  </si>
  <si>
    <t>Pulp, paper</t>
  </si>
  <si>
    <t>Coke oven</t>
  </si>
  <si>
    <t>Petroleum oils</t>
  </si>
  <si>
    <t>Bas chems, fert &amp; pest</t>
  </si>
  <si>
    <t>Paints, varnishes</t>
  </si>
  <si>
    <t>Pharmaceutical</t>
  </si>
  <si>
    <t>Soap, perfumes</t>
  </si>
  <si>
    <t>Chemicals n.e.c.</t>
  </si>
  <si>
    <t>Plastics</t>
  </si>
  <si>
    <t>Clay products</t>
  </si>
  <si>
    <t>Plaster, lime, cement</t>
  </si>
  <si>
    <t>Concr, cement, plast</t>
  </si>
  <si>
    <t>Oth manufacturing</t>
  </si>
  <si>
    <t>Basic iron, steel</t>
  </si>
  <si>
    <t>Basic precious metals</t>
  </si>
  <si>
    <t>Eng, pmps, bearngs &amp; grs</t>
  </si>
  <si>
    <t>Oth general mach</t>
  </si>
  <si>
    <t>Special-purpose mach</t>
  </si>
  <si>
    <t>Office mach</t>
  </si>
  <si>
    <t>Electrical mach</t>
  </si>
  <si>
    <t>Motor vehicles, parts</t>
  </si>
  <si>
    <t>Bodies (coachwork)</t>
  </si>
  <si>
    <t>Railway, rolling stock</t>
  </si>
  <si>
    <t>Aircraft, spacecraft</t>
  </si>
  <si>
    <t>Oth transport equipment</t>
  </si>
  <si>
    <t>Wholesale trade</t>
  </si>
  <si>
    <t>Food serving serv</t>
  </si>
  <si>
    <t>Passenger transportation</t>
  </si>
  <si>
    <t>Freight transport serv</t>
  </si>
  <si>
    <t>Rental, supporting transport</t>
  </si>
  <si>
    <t>Postal, courier serv</t>
  </si>
  <si>
    <t>Electricity, gas distribution</t>
  </si>
  <si>
    <t>Water distribution serv</t>
  </si>
  <si>
    <t>Oth Financial serv</t>
  </si>
  <si>
    <t>Insurance, pension serv</t>
  </si>
  <si>
    <t>Auxiliary to financial serv</t>
  </si>
  <si>
    <t>Oth Real estate serv</t>
  </si>
  <si>
    <t>Leasing or rental serv</t>
  </si>
  <si>
    <t>Legal, accounting serv</t>
  </si>
  <si>
    <t>Oth business serv</t>
  </si>
  <si>
    <t>Support serv</t>
  </si>
  <si>
    <t>Publishing, printing</t>
  </si>
  <si>
    <t>Education serv</t>
  </si>
  <si>
    <t>Health &amp; social care</t>
  </si>
  <si>
    <t>Membership orgs</t>
  </si>
  <si>
    <t>Recreational &amp; cultural</t>
  </si>
  <si>
    <t>Oth serv n.e.c.</t>
  </si>
  <si>
    <t>Domestic serv</t>
  </si>
  <si>
    <t>Meat, frt, veg, oils &amp; fats</t>
  </si>
  <si>
    <t>Other textiles</t>
  </si>
  <si>
    <t>Other chemicals</t>
  </si>
  <si>
    <t>Special purpose mach</t>
  </si>
  <si>
    <t>Other manufacturing</t>
  </si>
  <si>
    <t>Construct engineering</t>
  </si>
  <si>
    <t>Veterinary</t>
  </si>
  <si>
    <t>Other transport</t>
  </si>
  <si>
    <t>Lifting, pulling equipmnt</t>
  </si>
  <si>
    <t>Struct metal, tanks &amp; resv</t>
  </si>
  <si>
    <t>I001</t>
  </si>
  <si>
    <t>I002</t>
  </si>
  <si>
    <t>I003</t>
  </si>
  <si>
    <t>I004</t>
  </si>
  <si>
    <t>I005</t>
  </si>
  <si>
    <t>I006</t>
  </si>
  <si>
    <t>I007</t>
  </si>
  <si>
    <t>I008</t>
  </si>
  <si>
    <t>I009</t>
  </si>
  <si>
    <t>I010</t>
  </si>
  <si>
    <t>I011</t>
  </si>
  <si>
    <t>I012</t>
  </si>
  <si>
    <t>I013</t>
  </si>
  <si>
    <t>I014</t>
  </si>
  <si>
    <t>I015</t>
  </si>
  <si>
    <t>I016</t>
  </si>
  <si>
    <t>I017</t>
  </si>
  <si>
    <t>I018</t>
  </si>
  <si>
    <t>I019</t>
  </si>
  <si>
    <t>I020</t>
  </si>
  <si>
    <t>I021</t>
  </si>
  <si>
    <t>I022</t>
  </si>
  <si>
    <t>I023</t>
  </si>
  <si>
    <t>I024</t>
  </si>
  <si>
    <t>amets</t>
  </si>
  <si>
    <t>Metal products (ferr, non-ferr &amp; casting of metals)</t>
  </si>
  <si>
    <t>I025</t>
  </si>
  <si>
    <t>I026</t>
  </si>
  <si>
    <t>I027</t>
  </si>
  <si>
    <t>I028</t>
  </si>
  <si>
    <t>I029</t>
  </si>
  <si>
    <t>I030</t>
  </si>
  <si>
    <t>I031</t>
  </si>
  <si>
    <t>I032</t>
  </si>
  <si>
    <t>I033</t>
  </si>
  <si>
    <t>I034</t>
  </si>
  <si>
    <t>I035</t>
  </si>
  <si>
    <t>I036</t>
  </si>
  <si>
    <t>I037</t>
  </si>
  <si>
    <t>I038</t>
  </si>
  <si>
    <t>I039</t>
  </si>
  <si>
    <t>I040</t>
  </si>
  <si>
    <t>I041</t>
  </si>
  <si>
    <t>I042</t>
  </si>
  <si>
    <t>I043</t>
  </si>
  <si>
    <t>I044</t>
  </si>
  <si>
    <t>I045</t>
  </si>
  <si>
    <t>I046</t>
  </si>
  <si>
    <t>I047</t>
  </si>
  <si>
    <t>I048</t>
  </si>
  <si>
    <t>I049</t>
  </si>
  <si>
    <t>I050</t>
  </si>
  <si>
    <t>I051</t>
  </si>
  <si>
    <t>I052</t>
  </si>
  <si>
    <t>I053</t>
  </si>
  <si>
    <t>I054</t>
  </si>
  <si>
    <t>I055</t>
  </si>
  <si>
    <t>I056</t>
  </si>
  <si>
    <t>I057</t>
  </si>
  <si>
    <t>I058</t>
  </si>
  <si>
    <t>I059</t>
  </si>
  <si>
    <t>I060</t>
  </si>
  <si>
    <t>I061</t>
  </si>
  <si>
    <t>cceri</t>
  </si>
  <si>
    <t>cvegf</t>
  </si>
  <si>
    <t>coilg</t>
  </si>
  <si>
    <t>cquar</t>
  </si>
  <si>
    <t>cmemb</t>
  </si>
  <si>
    <t>centa</t>
  </si>
  <si>
    <t>cpers</t>
  </si>
  <si>
    <t>cdoms</t>
  </si>
  <si>
    <t>ccoke</t>
  </si>
  <si>
    <t>cimet</t>
  </si>
  <si>
    <t>cmbod</t>
  </si>
  <si>
    <t>cwhol</t>
  </si>
  <si>
    <t>creta</t>
  </si>
  <si>
    <t>chotl</t>
  </si>
  <si>
    <t>crest</t>
  </si>
  <si>
    <t>ccrpf</t>
  </si>
  <si>
    <t>crrea</t>
  </si>
  <si>
    <t>Full SUT code</t>
  </si>
  <si>
    <t>gvt</t>
  </si>
  <si>
    <t>si</t>
  </si>
  <si>
    <t>marg</t>
  </si>
  <si>
    <t>atx</t>
  </si>
  <si>
    <t>dstk</t>
  </si>
  <si>
    <t>row</t>
  </si>
  <si>
    <t>Empl</t>
  </si>
  <si>
    <t>Prof</t>
  </si>
  <si>
    <t>Tech</t>
  </si>
  <si>
    <t>Mana</t>
  </si>
  <si>
    <t>Cler</t>
  </si>
  <si>
    <t>Sale</t>
  </si>
  <si>
    <t>Skag</t>
  </si>
  <si>
    <t>Craf</t>
  </si>
  <si>
    <t>Oper</t>
  </si>
  <si>
    <t>Elmn</t>
  </si>
  <si>
    <t>Doms</t>
  </si>
  <si>
    <t>land</t>
  </si>
  <si>
    <t>immo</t>
  </si>
  <si>
    <t>mach</t>
  </si>
  <si>
    <t>nitc</t>
  </si>
  <si>
    <t>trnp</t>
  </si>
  <si>
    <t>inta</t>
  </si>
  <si>
    <t>mang</t>
  </si>
  <si>
    <t>prof</t>
  </si>
  <si>
    <t>tech</t>
  </si>
  <si>
    <t>cler</t>
  </si>
  <si>
    <t>sale</t>
  </si>
  <si>
    <t>skag</t>
  </si>
  <si>
    <t>craf</t>
  </si>
  <si>
    <t>oper</t>
  </si>
  <si>
    <t>elmn</t>
  </si>
  <si>
    <t>doms</t>
  </si>
  <si>
    <t>hhd1</t>
  </si>
  <si>
    <t>hhd2</t>
  </si>
  <si>
    <t>hhd3</t>
  </si>
  <si>
    <t>hhd4</t>
  </si>
  <si>
    <t>hhd5</t>
  </si>
  <si>
    <t>hhd6</t>
  </si>
  <si>
    <t>hhd7</t>
  </si>
  <si>
    <t>hhd8</t>
  </si>
  <si>
    <t>hhd9</t>
  </si>
  <si>
    <t>hhd10</t>
  </si>
  <si>
    <t>hhd11</t>
  </si>
  <si>
    <t>hhd12</t>
  </si>
  <si>
    <t>hhd13</t>
  </si>
  <si>
    <t>hhd14</t>
  </si>
  <si>
    <t>Mapping to SAM Industries</t>
  </si>
  <si>
    <t>SAM Code</t>
  </si>
  <si>
    <t>SAM Label</t>
  </si>
  <si>
    <t>SAM Industry Number Code</t>
  </si>
  <si>
    <t>Own SAM Label</t>
  </si>
  <si>
    <t>Land</t>
  </si>
  <si>
    <t>Buildings, Construction Works &amp; Land Improvements (Immovables)</t>
  </si>
  <si>
    <t>Network, Computer &amp; Other IT Equipment (NITC)</t>
  </si>
  <si>
    <t>Transport Equipment</t>
  </si>
  <si>
    <t>Machinery</t>
  </si>
  <si>
    <t>Intangible assets</t>
  </si>
  <si>
    <r>
      <t>Mapping to Old SUT (2</t>
    </r>
    <r>
      <rPr>
        <vertAlign val="superscript"/>
        <sz val="10"/>
        <color theme="1"/>
        <rFont val="Arial Narrow"/>
        <family val="2"/>
      </rPr>
      <t>nd</t>
    </r>
    <r>
      <rPr>
        <sz val="10"/>
        <color theme="1"/>
        <rFont val="Arial Narrow"/>
        <family val="2"/>
      </rPr>
      <t>)</t>
    </r>
  </si>
  <si>
    <r>
      <t>Mapping to Old SUT (3</t>
    </r>
    <r>
      <rPr>
        <vertAlign val="superscript"/>
        <sz val="10"/>
        <color theme="1"/>
        <rFont val="Arial Narrow"/>
        <family val="2"/>
      </rPr>
      <t>rd</t>
    </r>
    <r>
      <rPr>
        <sz val="10"/>
        <color theme="1"/>
        <rFont val="Arial Narrow"/>
        <family val="2"/>
      </rPr>
      <t>)</t>
    </r>
  </si>
  <si>
    <t>SAM Description</t>
  </si>
  <si>
    <t>manager</t>
  </si>
  <si>
    <t>professional</t>
  </si>
  <si>
    <t>skilled agriculture</t>
  </si>
  <si>
    <t>operators</t>
  </si>
  <si>
    <t>techical</t>
  </si>
  <si>
    <t>elementary</t>
  </si>
  <si>
    <t>domestic</t>
  </si>
  <si>
    <t>clerical</t>
  </si>
  <si>
    <t>sales</t>
  </si>
  <si>
    <t>craft</t>
  </si>
  <si>
    <t>Households - Decile 1</t>
  </si>
  <si>
    <t>Households - Decile 2</t>
  </si>
  <si>
    <t>Households - Decile 3</t>
  </si>
  <si>
    <t>Households - Decile 4</t>
  </si>
  <si>
    <t>Households - Decile 5</t>
  </si>
  <si>
    <t>Households - Decile 6</t>
  </si>
  <si>
    <t>Households - Decile 7</t>
  </si>
  <si>
    <t>Households - Decile 8</t>
  </si>
  <si>
    <t>Households - Decile 9</t>
  </si>
  <si>
    <t>Households - Percentile 90-92</t>
  </si>
  <si>
    <t>Households - Percentile 92-94</t>
  </si>
  <si>
    <t>Households - Percentile 94-96</t>
  </si>
  <si>
    <t>Households - Percentile 96-98</t>
  </si>
  <si>
    <t>Households - Percentile 98-100</t>
  </si>
  <si>
    <t>max abs err</t>
  </si>
  <si>
    <t>Employ-ment</t>
  </si>
  <si>
    <t>flab</t>
  </si>
  <si>
    <t>All labour</t>
  </si>
  <si>
    <t>flab-p</t>
  </si>
  <si>
    <t>flab-m</t>
  </si>
  <si>
    <t>flab-s</t>
  </si>
  <si>
    <t>flab-t</t>
  </si>
  <si>
    <t>gos</t>
  </si>
  <si>
    <t>gross operating surplus / mixed income</t>
  </si>
  <si>
    <t>Labor with primary school education (grades 1-7)</t>
  </si>
  <si>
    <t>Labor with middle school education (grades 8-11)</t>
  </si>
  <si>
    <t>Labor completed sedondary school education (grade 12)</t>
  </si>
  <si>
    <t>Labor with tertiary education (certificates, diplomas or degrees)</t>
  </si>
  <si>
    <t>61Ind</t>
  </si>
  <si>
    <t>SASAM 2019 61Ind 10Occ</t>
  </si>
  <si>
    <t>Employment 61Indx10Occ</t>
  </si>
  <si>
    <t>Contents</t>
  </si>
  <si>
    <t>Employment disaggregated by occupation</t>
  </si>
  <si>
    <t>SASAM 2019 61Ind 4Educ</t>
  </si>
  <si>
    <t>Employment 61Indx4Educ</t>
  </si>
  <si>
    <t>Other Accounts 10Occ 2019 SAM</t>
  </si>
  <si>
    <t>Other Accounts 4Educ 2019 SAM</t>
  </si>
  <si>
    <t>1_prim education w&amp;s</t>
  </si>
  <si>
    <t>2_midd education w&amp;s</t>
  </si>
  <si>
    <t>3_secd education w&amp;s</t>
  </si>
  <si>
    <t>4_tert educated w&amp;s</t>
  </si>
  <si>
    <t>Employment disaggregated by education</t>
  </si>
  <si>
    <t>List of products used in both SAMs</t>
  </si>
  <si>
    <t>List of industries used in both SAMs</t>
  </si>
  <si>
    <t>Other accounts used in Education SAM</t>
  </si>
  <si>
    <t>"Occupation SAM": South African SAM 2019 with occupational disaggregation of wages</t>
  </si>
  <si>
    <t>"Education SAM": South African SAM 2019 with educational disaggregation of wages</t>
  </si>
  <si>
    <t>Other accounts used in Occupation SAM</t>
  </si>
  <si>
    <t>Industry_List</t>
  </si>
  <si>
    <t>Product_List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</si>
</sst>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0_);_(* \(#,##0.00\);_(* &quot;-&quot;??_);_(@_)"/>
    <numFmt numFmtId="165" formatCode="_ * #,##0.00_ ;_ * \-#,##0.00_ ;_ * &quot;-&quot;??_ ;_ @_ "/>
    <numFmt numFmtId="166" formatCode="_-* #,##0_-;\-* #,##0_-;_-* &quot;-&quot;??_-;_-@_-"/>
    <numFmt numFmtId="167" formatCode="#,##0.000000"/>
  </numFmts>
  <fonts count="26" x14ac:knownFonts="1">
    <font>
      <sz val="11"/>
      <color theme="1"/>
      <name val="Calibri"/>
      <family val="2"/>
      <scheme val="minor"/>
    </font>
    <font>
      <sz val="10"/>
      <color theme="1"/>
      <name val="Arial Narrow"/>
      <family val="2"/>
    </font>
    <font>
      <sz val="10"/>
      <color theme="1"/>
      <name val="Arial Narrow"/>
      <family val="2"/>
    </font>
    <font>
      <sz val="10"/>
      <color theme="1"/>
      <name val="Arial Narrow"/>
      <family val="2"/>
    </font>
    <font>
      <sz val="11"/>
      <color theme="1"/>
      <name val="Calibri"/>
      <family val="2"/>
      <scheme val="minor"/>
    </font>
    <font>
      <u/>
      <sz val="11"/>
      <color theme="10"/>
      <name val="Calibri"/>
      <family val="2"/>
      <scheme val="minor"/>
    </font>
    <font>
      <b/>
      <sz val="10"/>
      <color theme="1"/>
      <name val="Arial Narrow"/>
      <family val="2"/>
    </font>
    <font>
      <sz val="10"/>
      <name val="Arial Narrow"/>
      <family val="2"/>
    </font>
    <font>
      <b/>
      <sz val="10"/>
      <color rgb="FF000000"/>
      <name val="Arial Narrow"/>
      <family val="2"/>
    </font>
    <font>
      <sz val="10"/>
      <color rgb="FF000000"/>
      <name val="Arial Narrow"/>
      <family val="2"/>
    </font>
    <font>
      <sz val="10"/>
      <name val="MS Sans Serif"/>
      <family val="2"/>
    </font>
    <font>
      <u/>
      <sz val="10"/>
      <color indexed="12"/>
      <name val="MS Sans Serif"/>
      <family val="2"/>
    </font>
    <font>
      <sz val="11"/>
      <name val="Calibri"/>
      <family val="2"/>
    </font>
    <font>
      <sz val="11"/>
      <name val="Calibri"/>
      <family val="2"/>
    </font>
    <font>
      <sz val="11"/>
      <name val="Calibri"/>
      <family val="2"/>
    </font>
    <font>
      <b/>
      <sz val="10"/>
      <color rgb="FF99FF66"/>
      <name val="Arial Narrow"/>
      <family val="2"/>
    </font>
    <font>
      <sz val="10"/>
      <color rgb="FF99FF66"/>
      <name val="Arial Narrow"/>
      <family val="2"/>
    </font>
    <font>
      <sz val="10"/>
      <color rgb="FF00FF99"/>
      <name val="Arial Narrow"/>
      <family val="2"/>
    </font>
    <font>
      <b/>
      <sz val="10"/>
      <name val="Arial Narrow"/>
      <family val="2"/>
    </font>
    <font>
      <vertAlign val="superscript"/>
      <sz val="10"/>
      <color theme="1"/>
      <name val="Arial Narrow"/>
      <family val="2"/>
    </font>
    <font>
      <sz val="10"/>
      <color rgb="FF002060"/>
      <name val="Arial Narrow"/>
      <family val="2"/>
    </font>
    <font>
      <sz val="10"/>
      <color rgb="FFFF0000"/>
      <name val="Arial Narrow"/>
      <family val="2"/>
    </font>
    <font>
      <sz val="10"/>
      <color rgb="FF0000FF"/>
      <name val="Arial Narrow"/>
      <family val="2"/>
    </font>
    <font>
      <b/>
      <sz val="11"/>
      <color theme="1"/>
      <name val="Calibri"/>
      <family val="2"/>
      <scheme val="minor"/>
    </font>
    <font>
      <sz val="11"/>
      <color indexed="81"/>
      <name val="Tahoma"/>
      <family val="2"/>
    </font>
    <font>
      <b/>
      <sz val="11"/>
      <color indexed="81"/>
      <name val="Tahoma"/>
      <family val="2"/>
    </font>
  </fonts>
  <fills count="20">
    <fill>
      <patternFill patternType="none"/>
    </fill>
    <fill>
      <patternFill patternType="gray125"/>
    </fill>
    <fill>
      <patternFill patternType="solid">
        <fgColor indexed="22"/>
        <bgColor indexed="64"/>
      </patternFill>
    </fill>
    <fill>
      <patternFill patternType="solid">
        <fgColor rgb="FFFFCCFF"/>
        <bgColor indexed="64"/>
      </patternFill>
    </fill>
    <fill>
      <patternFill patternType="solid">
        <fgColor rgb="FFFFFF00"/>
        <bgColor indexed="64"/>
      </patternFill>
    </fill>
    <fill>
      <patternFill patternType="solid">
        <fgColor rgb="FFFFC000"/>
        <bgColor indexed="64"/>
      </patternFill>
    </fill>
    <fill>
      <patternFill patternType="solid">
        <fgColor rgb="FFCCFFCC"/>
        <bgColor indexed="64"/>
      </patternFill>
    </fill>
    <fill>
      <patternFill patternType="solid">
        <fgColor rgb="FF33CCFF"/>
        <bgColor indexed="64"/>
      </patternFill>
    </fill>
    <fill>
      <patternFill patternType="solid">
        <fgColor theme="8" tint="0.59999389629810485"/>
        <bgColor indexed="64"/>
      </patternFill>
    </fill>
    <fill>
      <patternFill patternType="solid">
        <fgColor rgb="FF92D050"/>
        <bgColor indexed="64"/>
      </patternFill>
    </fill>
    <fill>
      <patternFill patternType="solid">
        <fgColor rgb="FF7030A0"/>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rgb="FF00FF99"/>
        <bgColor indexed="64"/>
      </patternFill>
    </fill>
    <fill>
      <patternFill patternType="solid">
        <fgColor rgb="FF99FFCC"/>
        <bgColor indexed="64"/>
      </patternFill>
    </fill>
    <fill>
      <patternFill patternType="solid">
        <fgColor rgb="FFFFFF66"/>
        <bgColor indexed="64"/>
      </patternFill>
    </fill>
    <fill>
      <patternFill patternType="solid">
        <fgColor rgb="FFFF99FF"/>
        <bgColor indexed="64"/>
      </patternFill>
    </fill>
    <fill>
      <patternFill patternType="solid">
        <fgColor rgb="FF99FF66"/>
        <bgColor indexed="64"/>
      </patternFill>
    </fill>
    <fill>
      <patternFill patternType="solid">
        <fgColor theme="7" tint="0.79998168889431442"/>
        <bgColor indexed="64"/>
      </patternFill>
    </fill>
    <fill>
      <patternFill patternType="solid">
        <fgColor rgb="FF99FF99"/>
        <bgColor indexed="64"/>
      </patternFill>
    </fill>
  </fills>
  <borders count="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14">
    <xf numFmtId="0" fontId="0" fillId="0" borderId="0"/>
    <xf numFmtId="43" fontId="4" fillId="0" borderId="0" applyFont="0" applyFill="0" applyBorder="0" applyAlignment="0" applyProtection="0"/>
    <xf numFmtId="0" fontId="5" fillId="0" borderId="0" applyNumberFormat="0" applyFill="0" applyBorder="0" applyAlignment="0" applyProtection="0"/>
    <xf numFmtId="0" fontId="4" fillId="0" borderId="0"/>
    <xf numFmtId="9" fontId="4"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1" fillId="0" borderId="0" applyNumberFormat="0" applyFill="0" applyBorder="0" applyAlignment="0" applyProtection="0"/>
    <xf numFmtId="165" fontId="10" fillId="0" borderId="0" applyFont="0" applyFill="0" applyBorder="0" applyAlignment="0" applyProtection="0"/>
    <xf numFmtId="0" fontId="12" fillId="0" borderId="0"/>
    <xf numFmtId="0" fontId="13" fillId="0" borderId="0"/>
    <xf numFmtId="0" fontId="14" fillId="0" borderId="0"/>
    <xf numFmtId="164" fontId="4" fillId="0" borderId="0" applyFont="0" applyFill="0" applyBorder="0" applyAlignment="0" applyProtection="0"/>
  </cellStyleXfs>
  <cellXfs count="93">
    <xf numFmtId="0" fontId="0" fillId="0" borderId="0" xfId="0"/>
    <xf numFmtId="0" fontId="8" fillId="0" borderId="0" xfId="0" applyFont="1" applyAlignment="1">
      <alignment horizontal="center" vertical="center" wrapText="1"/>
    </xf>
    <xf numFmtId="0" fontId="9" fillId="0" borderId="3" xfId="0" applyFont="1" applyBorder="1" applyAlignment="1">
      <alignment horizontal="left" vertical="center"/>
    </xf>
    <xf numFmtId="0" fontId="9" fillId="0" borderId="3" xfId="0" applyFont="1" applyBorder="1" applyAlignment="1">
      <alignment horizontal="right" vertical="center"/>
    </xf>
    <xf numFmtId="0" fontId="9" fillId="7" borderId="3" xfId="0" applyFont="1" applyFill="1" applyBorder="1" applyAlignment="1">
      <alignment horizontal="left" vertical="center"/>
    </xf>
    <xf numFmtId="0" fontId="9" fillId="0" borderId="0" xfId="0" applyFont="1" applyAlignment="1">
      <alignment horizontal="right" vertical="center"/>
    </xf>
    <xf numFmtId="0" fontId="7" fillId="12" borderId="0" xfId="0" applyFont="1" applyFill="1" applyAlignment="1">
      <alignment horizontal="left" vertical="top"/>
    </xf>
    <xf numFmtId="0" fontId="8" fillId="0" borderId="4" xfId="0" applyFont="1" applyBorder="1" applyAlignment="1">
      <alignment horizontal="left" vertical="center" wrapText="1"/>
    </xf>
    <xf numFmtId="0" fontId="15" fillId="10" borderId="0" xfId="0" applyFont="1" applyFill="1" applyAlignment="1">
      <alignment horizontal="right"/>
    </xf>
    <xf numFmtId="0" fontId="16" fillId="10" borderId="0" xfId="0" applyFont="1" applyFill="1"/>
    <xf numFmtId="0" fontId="7" fillId="13" borderId="0" xfId="0" applyFont="1" applyFill="1"/>
    <xf numFmtId="0" fontId="17" fillId="10" borderId="0" xfId="0" applyFont="1" applyFill="1"/>
    <xf numFmtId="166" fontId="17" fillId="10" borderId="0" xfId="0" applyNumberFormat="1" applyFont="1" applyFill="1" applyAlignment="1">
      <alignment horizontal="right"/>
    </xf>
    <xf numFmtId="0" fontId="17" fillId="10" borderId="0" xfId="0" applyFont="1" applyFill="1" applyAlignment="1">
      <alignment horizontal="right"/>
    </xf>
    <xf numFmtId="0" fontId="7" fillId="13" borderId="0" xfId="0" applyFont="1" applyFill="1" applyAlignment="1">
      <alignment horizontal="center" vertical="top" wrapText="1"/>
    </xf>
    <xf numFmtId="0" fontId="7" fillId="9" borderId="0" xfId="0" applyFont="1" applyFill="1"/>
    <xf numFmtId="0" fontId="7" fillId="5" borderId="0" xfId="0" applyFont="1" applyFill="1"/>
    <xf numFmtId="0" fontId="18" fillId="5" borderId="0" xfId="0" applyFont="1" applyFill="1" applyAlignment="1">
      <alignment horizontal="right"/>
    </xf>
    <xf numFmtId="0" fontId="18" fillId="9" borderId="0" xfId="0" applyFont="1" applyFill="1" applyAlignment="1">
      <alignment horizontal="right"/>
    </xf>
    <xf numFmtId="0" fontId="16" fillId="10" borderId="0" xfId="0" applyFont="1" applyFill="1" applyAlignment="1">
      <alignment horizontal="right"/>
    </xf>
    <xf numFmtId="11" fontId="6" fillId="13" borderId="0" xfId="1" applyNumberFormat="1" applyFont="1" applyFill="1"/>
    <xf numFmtId="0" fontId="8" fillId="0" borderId="1" xfId="0" applyFont="1" applyBorder="1" applyAlignment="1">
      <alignment horizontal="left" vertical="center" wrapText="1"/>
    </xf>
    <xf numFmtId="0" fontId="8" fillId="0" borderId="4" xfId="0" applyFont="1" applyBorder="1" applyAlignment="1">
      <alignment horizontal="right" vertical="center" wrapText="1"/>
    </xf>
    <xf numFmtId="0" fontId="7" fillId="16" borderId="0" xfId="0" applyFont="1" applyFill="1" applyAlignment="1">
      <alignment horizontal="left" vertical="top"/>
    </xf>
    <xf numFmtId="0" fontId="3" fillId="0" borderId="0" xfId="0" applyFont="1"/>
    <xf numFmtId="0" fontId="3" fillId="3" borderId="0" xfId="0" applyFont="1" applyFill="1" applyAlignment="1">
      <alignment horizontal="left" vertical="center"/>
    </xf>
    <xf numFmtId="0" fontId="18" fillId="2" borderId="2" xfId="0" applyFont="1" applyFill="1" applyBorder="1" applyAlignment="1">
      <alignment horizontal="left" vertical="center" wrapText="1"/>
    </xf>
    <xf numFmtId="0" fontId="18" fillId="2" borderId="0" xfId="0" applyFont="1" applyFill="1" applyAlignment="1">
      <alignment vertical="center" wrapText="1"/>
    </xf>
    <xf numFmtId="0" fontId="18" fillId="2" borderId="0" xfId="0" applyFont="1" applyFill="1" applyAlignment="1">
      <alignment horizontal="left" vertical="center" wrapText="1"/>
    </xf>
    <xf numFmtId="0" fontId="3" fillId="3" borderId="0" xfId="0" applyFont="1" applyFill="1"/>
    <xf numFmtId="0" fontId="3" fillId="0" borderId="5" xfId="0" applyFont="1" applyBorder="1" applyAlignment="1">
      <alignment horizontal="justify" vertical="center" wrapText="1"/>
    </xf>
    <xf numFmtId="0" fontId="3" fillId="0" borderId="3" xfId="0" applyFont="1" applyBorder="1" applyAlignment="1">
      <alignment horizontal="right" vertical="center" wrapText="1"/>
    </xf>
    <xf numFmtId="49" fontId="3" fillId="0" borderId="3" xfId="0" applyNumberFormat="1" applyFont="1" applyBorder="1" applyAlignment="1">
      <alignment horizontal="right" vertical="center" wrapText="1"/>
    </xf>
    <xf numFmtId="166" fontId="3" fillId="13" borderId="0" xfId="1" applyNumberFormat="1" applyFont="1" applyFill="1" applyAlignment="1">
      <alignment horizontal="right" vertical="top" textRotation="43" wrapText="1"/>
    </xf>
    <xf numFmtId="0" fontId="3" fillId="0" borderId="0" xfId="0" applyFont="1" applyAlignment="1">
      <alignment horizontal="center" vertical="top" wrapText="1"/>
    </xf>
    <xf numFmtId="3" fontId="3" fillId="0" borderId="0" xfId="4" applyNumberFormat="1" applyFont="1"/>
    <xf numFmtId="3" fontId="3" fillId="0" borderId="0" xfId="0" applyNumberFormat="1" applyFont="1"/>
    <xf numFmtId="3" fontId="3" fillId="2" borderId="0" xfId="4" applyNumberFormat="1" applyFont="1" applyFill="1"/>
    <xf numFmtId="3" fontId="3" fillId="2" borderId="0" xfId="0" applyNumberFormat="1" applyFont="1" applyFill="1"/>
    <xf numFmtId="0" fontId="3" fillId="0" borderId="0" xfId="0" quotePrefix="1" applyFont="1"/>
    <xf numFmtId="3" fontId="3" fillId="6" borderId="0" xfId="0" applyNumberFormat="1" applyFont="1" applyFill="1"/>
    <xf numFmtId="166" fontId="3" fillId="0" borderId="0" xfId="1" applyNumberFormat="1" applyFont="1"/>
    <xf numFmtId="3" fontId="3" fillId="14" borderId="0" xfId="0" applyNumberFormat="1" applyFont="1" applyFill="1"/>
    <xf numFmtId="43" fontId="3" fillId="0" borderId="0" xfId="1" applyFont="1"/>
    <xf numFmtId="3" fontId="3" fillId="13" borderId="0" xfId="0" applyNumberFormat="1" applyFont="1" applyFill="1"/>
    <xf numFmtId="3" fontId="3" fillId="15" borderId="0" xfId="0" applyNumberFormat="1" applyFont="1" applyFill="1"/>
    <xf numFmtId="0" fontId="3" fillId="8" borderId="0" xfId="0" applyFont="1" applyFill="1" applyAlignment="1">
      <alignment vertical="center" wrapText="1"/>
    </xf>
    <xf numFmtId="0" fontId="3" fillId="2" borderId="0" xfId="0" applyFont="1" applyFill="1" applyAlignment="1">
      <alignment horizontal="center" vertical="top" wrapText="1"/>
    </xf>
    <xf numFmtId="0" fontId="3" fillId="9" borderId="0" xfId="0" applyFont="1" applyFill="1" applyAlignment="1">
      <alignment horizontal="center" vertical="top" wrapText="1"/>
    </xf>
    <xf numFmtId="0" fontId="3" fillId="2" borderId="0" xfId="0" applyFont="1" applyFill="1" applyAlignment="1">
      <alignment horizontal="left" vertical="top" wrapText="1"/>
    </xf>
    <xf numFmtId="0" fontId="3" fillId="2" borderId="0" xfId="0" applyFont="1" applyFill="1"/>
    <xf numFmtId="0" fontId="3" fillId="8" borderId="0" xfId="0" applyFont="1" applyFill="1"/>
    <xf numFmtId="0" fontId="3" fillId="0" borderId="5" xfId="0" applyFont="1" applyBorder="1" applyAlignment="1">
      <alignment horizontal="left" vertical="center" wrapText="1"/>
    </xf>
    <xf numFmtId="2" fontId="3" fillId="0" borderId="0" xfId="0" applyNumberFormat="1" applyFont="1"/>
    <xf numFmtId="0" fontId="3" fillId="0" borderId="3" xfId="0" applyFont="1" applyBorder="1" applyAlignment="1">
      <alignment horizontal="left" vertical="center"/>
    </xf>
    <xf numFmtId="2" fontId="3" fillId="4" borderId="0" xfId="0" applyNumberFormat="1" applyFont="1" applyFill="1"/>
    <xf numFmtId="0" fontId="3" fillId="6" borderId="0" xfId="0" applyFont="1" applyFill="1"/>
    <xf numFmtId="0" fontId="3" fillId="4" borderId="0" xfId="0" applyFont="1" applyFill="1"/>
    <xf numFmtId="0" fontId="3" fillId="0" borderId="0" xfId="0" applyFont="1" applyAlignment="1">
      <alignment horizontal="left"/>
    </xf>
    <xf numFmtId="0" fontId="3" fillId="11" borderId="0" xfId="0" applyFont="1" applyFill="1"/>
    <xf numFmtId="0" fontId="3" fillId="9" borderId="0" xfId="0" applyFont="1" applyFill="1"/>
    <xf numFmtId="0" fontId="9" fillId="0" borderId="0" xfId="0" applyFont="1" applyAlignment="1">
      <alignment vertical="center"/>
    </xf>
    <xf numFmtId="0" fontId="9" fillId="0" borderId="0" xfId="0" applyFont="1"/>
    <xf numFmtId="0" fontId="3" fillId="0" borderId="0" xfId="10" applyFont="1"/>
    <xf numFmtId="0" fontId="20" fillId="6" borderId="0" xfId="0" applyFont="1" applyFill="1"/>
    <xf numFmtId="0" fontId="2" fillId="0" borderId="0" xfId="0" applyFont="1"/>
    <xf numFmtId="0" fontId="2" fillId="2" borderId="0" xfId="0" applyFont="1" applyFill="1"/>
    <xf numFmtId="0" fontId="2" fillId="2" borderId="0" xfId="0" applyFont="1" applyFill="1" applyAlignment="1">
      <alignment horizontal="right"/>
    </xf>
    <xf numFmtId="0" fontId="2" fillId="5" borderId="0" xfId="0" quotePrefix="1" applyFont="1" applyFill="1" applyAlignment="1">
      <alignment horizontal="right"/>
    </xf>
    <xf numFmtId="0" fontId="2" fillId="5" borderId="0" xfId="0" applyFont="1" applyFill="1" applyAlignment="1">
      <alignment horizontal="right"/>
    </xf>
    <xf numFmtId="0" fontId="2" fillId="9" borderId="0" xfId="0" applyFont="1" applyFill="1" applyAlignment="1">
      <alignment horizontal="right"/>
    </xf>
    <xf numFmtId="11" fontId="6" fillId="17" borderId="0" xfId="0" applyNumberFormat="1" applyFont="1" applyFill="1" applyAlignment="1">
      <alignment horizontal="right"/>
    </xf>
    <xf numFmtId="3" fontId="2" fillId="0" borderId="0" xfId="0" applyNumberFormat="1" applyFont="1"/>
    <xf numFmtId="167" fontId="2" fillId="0" borderId="0" xfId="0" applyNumberFormat="1" applyFont="1"/>
    <xf numFmtId="3" fontId="22" fillId="6" borderId="0" xfId="0" applyNumberFormat="1" applyFont="1" applyFill="1"/>
    <xf numFmtId="0" fontId="2" fillId="5" borderId="0" xfId="0" applyFont="1" applyFill="1"/>
    <xf numFmtId="3" fontId="21" fillId="18" borderId="0" xfId="0" applyNumberFormat="1" applyFont="1" applyFill="1"/>
    <xf numFmtId="3" fontId="2" fillId="3" borderId="0" xfId="0" applyNumberFormat="1" applyFont="1" applyFill="1"/>
    <xf numFmtId="0" fontId="2" fillId="9" borderId="0" xfId="0" applyFont="1" applyFill="1"/>
    <xf numFmtId="0" fontId="0" fillId="2" borderId="0" xfId="0" applyFill="1"/>
    <xf numFmtId="0" fontId="0" fillId="4" borderId="0" xfId="0" applyFill="1"/>
    <xf numFmtId="0" fontId="0" fillId="4" borderId="0" xfId="0" applyFill="1" applyAlignment="1">
      <alignment horizontal="right" vertical="top" wrapText="1"/>
    </xf>
    <xf numFmtId="0" fontId="2" fillId="19" borderId="0" xfId="0" applyFont="1" applyFill="1" applyAlignment="1">
      <alignment horizontal="right" vertical="top" wrapText="1"/>
    </xf>
    <xf numFmtId="0" fontId="0" fillId="2" borderId="0" xfId="0" applyFill="1" applyAlignment="1">
      <alignment horizontal="left" vertical="top" wrapText="1"/>
    </xf>
    <xf numFmtId="3" fontId="0" fillId="0" borderId="0" xfId="0" applyNumberFormat="1"/>
    <xf numFmtId="3" fontId="23" fillId="0" borderId="0" xfId="0" applyNumberFormat="1" applyFont="1"/>
    <xf numFmtId="3" fontId="0" fillId="3" borderId="0" xfId="0" applyNumberFormat="1" applyFill="1"/>
    <xf numFmtId="0" fontId="2" fillId="3" borderId="0" xfId="0" applyFont="1" applyFill="1"/>
    <xf numFmtId="0" fontId="18" fillId="2" borderId="2" xfId="0" applyFont="1" applyFill="1" applyBorder="1" applyAlignment="1">
      <alignment horizontal="left" vertical="top" wrapText="1"/>
    </xf>
    <xf numFmtId="0" fontId="18" fillId="2" borderId="0" xfId="0" applyFont="1" applyFill="1" applyAlignment="1">
      <alignment horizontal="left" vertical="top" wrapText="1"/>
    </xf>
    <xf numFmtId="0" fontId="5" fillId="0" borderId="0" xfId="2"/>
    <xf numFmtId="0" fontId="2" fillId="0" borderId="0" xfId="0" applyFont="1" applyFill="1"/>
    <xf numFmtId="0" fontId="2" fillId="0" borderId="0" xfId="0" applyFont="1" applyFill="1" applyAlignment="1">
      <alignment horizontal="right"/>
    </xf>
  </cellXfs>
  <cellStyles count="14">
    <cellStyle name="Comma" xfId="1" builtinId="3"/>
    <cellStyle name="Comma 2" xfId="9" xr:uid="{A13BC773-B5F1-419D-BDF9-B715D41D5612}"/>
    <cellStyle name="Comma 3" xfId="13" xr:uid="{0E0267CA-CC09-4E2C-A84F-E65542018844}"/>
    <cellStyle name="Hyperlink" xfId="2" builtinId="8"/>
    <cellStyle name="Hyperlink 2" xfId="8" xr:uid="{F84B4819-7F8B-456A-8675-8008AC543008}"/>
    <cellStyle name="Normal" xfId="0" builtinId="0"/>
    <cellStyle name="Normal 2" xfId="10" xr:uid="{E81B67DC-E87D-408E-944D-7034B79304C7}"/>
    <cellStyle name="Normal 2 3" xfId="5" xr:uid="{49529CBC-7E46-4650-B724-10C2D8BF9728}"/>
    <cellStyle name="Normal 3" xfId="3" xr:uid="{3723B17A-5894-4EA1-B855-5E8B4A5CE896}"/>
    <cellStyle name="Normal 3 2" xfId="7" xr:uid="{B3141B29-8D3F-4919-BCAA-4CDF043452CE}"/>
    <cellStyle name="Normal 4" xfId="11" xr:uid="{575AF2C8-84FB-47F6-B6C2-5FBC8F51058F}"/>
    <cellStyle name="Normal 5" xfId="12" xr:uid="{D7070772-E0D6-42D3-BA37-35BB2E5853C9}"/>
    <cellStyle name="Percent" xfId="4" builtinId="5"/>
    <cellStyle name="Percent 2" xfId="6" xr:uid="{B1263A9A-9AA0-4307-A553-D998FE3E0A60}"/>
  </cellStyles>
  <dxfs count="0"/>
  <tableStyles count="0" defaultTableStyle="TableStyleMedium2" defaultPivotStyle="PivotStyleLight16"/>
  <colors>
    <mruColors>
      <color rgb="FFFFCCFF"/>
      <color rgb="FFCCFFCC"/>
      <color rgb="FFFF99FF"/>
      <color rgb="FF00FF99"/>
      <color rgb="FF99FFCC"/>
      <color rgb="FFFFFF66"/>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ata/Calibration%20Project%202014/SASAM%202019%20with%202017%20SASUT%20(2020%20release),%202019%20NA,%202018&amp;19%20LMD%20and%202015%20LCS%20Data/Data/QLFS%20Trends%202008-2020Q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1"/>
      <sheetName val="Table 2"/>
      <sheetName val="Table2.1"/>
      <sheetName val="Table2.2"/>
      <sheetName val="Table 2.3"/>
      <sheetName val="Table 2.4"/>
      <sheetName val="Table 2.5"/>
      <sheetName val="Table 2.6"/>
      <sheetName val="Table 2.7"/>
      <sheetName val="Table3.1"/>
      <sheetName val="Table3.2"/>
      <sheetName val="Table3.3"/>
      <sheetName val="Table3.4"/>
      <sheetName val="Table3.5"/>
      <sheetName val="Table3.6"/>
      <sheetName val="Table3.7"/>
      <sheetName val="Table3.8a"/>
      <sheetName val="Table3.8b"/>
      <sheetName val="Table3.8c"/>
      <sheetName val="Table3.9"/>
      <sheetName val="Table4"/>
      <sheetName val="Table5"/>
      <sheetName val="Table6"/>
      <sheetName val="Table 7"/>
      <sheetName val="Table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2BAAF-3D75-46CA-8380-BE68C4F2EC34}">
  <sheetPr codeName="Sheet1"/>
  <dimension ref="B4:C12"/>
  <sheetViews>
    <sheetView tabSelected="1" workbookViewId="0">
      <selection activeCell="B2" sqref="B2:C2"/>
    </sheetView>
  </sheetViews>
  <sheetFormatPr defaultRowHeight="15" x14ac:dyDescent="0.25"/>
  <cols>
    <col min="2" max="2" width="29.7109375" bestFit="1" customWidth="1"/>
    <col min="3" max="3" width="80.7109375" bestFit="1" customWidth="1"/>
  </cols>
  <sheetData>
    <row r="4" spans="2:3" x14ac:dyDescent="0.25">
      <c r="B4" s="90" t="s">
        <v>1618</v>
      </c>
      <c r="C4" t="s">
        <v>1618</v>
      </c>
    </row>
    <row r="5" spans="2:3" x14ac:dyDescent="0.25">
      <c r="B5" s="90" t="s">
        <v>1616</v>
      </c>
      <c r="C5" t="s">
        <v>1632</v>
      </c>
    </row>
    <row r="6" spans="2:3" x14ac:dyDescent="0.25">
      <c r="B6" s="90" t="s">
        <v>1617</v>
      </c>
      <c r="C6" t="s">
        <v>1619</v>
      </c>
    </row>
    <row r="7" spans="2:3" x14ac:dyDescent="0.25">
      <c r="B7" s="90" t="s">
        <v>1620</v>
      </c>
      <c r="C7" t="s">
        <v>1633</v>
      </c>
    </row>
    <row r="8" spans="2:3" x14ac:dyDescent="0.25">
      <c r="B8" s="90" t="s">
        <v>1621</v>
      </c>
      <c r="C8" t="s">
        <v>1628</v>
      </c>
    </row>
    <row r="9" spans="2:3" x14ac:dyDescent="0.25">
      <c r="B9" s="90" t="s">
        <v>1635</v>
      </c>
      <c r="C9" t="s">
        <v>1630</v>
      </c>
    </row>
    <row r="10" spans="2:3" x14ac:dyDescent="0.25">
      <c r="B10" s="90" t="s">
        <v>1636</v>
      </c>
      <c r="C10" t="s">
        <v>1629</v>
      </c>
    </row>
    <row r="11" spans="2:3" x14ac:dyDescent="0.25">
      <c r="B11" s="90" t="s">
        <v>1622</v>
      </c>
      <c r="C11" t="s">
        <v>1634</v>
      </c>
    </row>
    <row r="12" spans="2:3" x14ac:dyDescent="0.25">
      <c r="B12" s="90" t="s">
        <v>1623</v>
      </c>
      <c r="C12" t="s">
        <v>1631</v>
      </c>
    </row>
  </sheetData>
  <hyperlinks>
    <hyperlink ref="B4" location="'Contents'!A1" display="Contents" xr:uid="{A42A9F08-0827-43F1-8CF3-E7F0B4DD6A6D}"/>
    <hyperlink ref="B5" location="'SASAM 2019 61Ind 10Occ'!A1" display="SASAM 2019 61Ind 10Occ" xr:uid="{9A368732-2831-46DE-907F-5C767053C00D}"/>
    <hyperlink ref="B6" location="'Employment 61Indx10Occ'!A1" display="Employment 61Indx10Occ" xr:uid="{29860A8C-BF6C-4CB1-8EF2-A9D6609D67AC}"/>
    <hyperlink ref="B7" location="'SASAM 2019 61Ind 4Educ'!A1" display="SASAM 2019 61Ind 4Educ" xr:uid="{88E74E31-3531-4A74-A9F2-E9A0488DD5F6}"/>
    <hyperlink ref="B8" location="'Employment 61Indx4Educ'!A1" display="Employment 61Indx4Educ" xr:uid="{41B32BA0-9416-4FB4-B4A4-FE3EC4EA5A4D}"/>
    <hyperlink ref="B9" location="'Industry_List'!A1" display="Industry_List" xr:uid="{8FB646CD-F51A-490B-A099-9CF89B341282}"/>
    <hyperlink ref="B10" location="'Product_List'!A1" display="Product_List" xr:uid="{8B72312A-9137-435C-A376-39F91C1E9BE1}"/>
    <hyperlink ref="B11" location="'Other Accounts 10Occ 2019 SAM'!A1" display="Other Accounts 10Occ 2019 SAM" xr:uid="{8FDB66C8-0502-47F1-B51A-9E4B4CD7456E}"/>
    <hyperlink ref="B12" location="'Other Accounts 4Educ 2019 SAM'!A1" display="Other Accounts 4Educ 2019 SAM" xr:uid="{4DBEDD25-F505-4CDE-A09C-FEA7EC7B8DC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E1A74-B51C-4EFC-8F79-156529555957}">
  <sheetPr codeName="Sheet14">
    <tabColor rgb="FF7030A0"/>
  </sheetPr>
  <dimension ref="A1:HT214"/>
  <sheetViews>
    <sheetView showZeros="0" zoomScaleNormal="100" workbookViewId="0">
      <pane xSplit="2" ySplit="5" topLeftCell="AM184" activePane="bottomRight" state="frozen"/>
      <selection sqref="A1:XFD1048576"/>
      <selection pane="topRight" sqref="A1:XFD1048576"/>
      <selection pane="bottomLeft" sqref="A1:XFD1048576"/>
      <selection pane="bottomRight"/>
    </sheetView>
  </sheetViews>
  <sheetFormatPr defaultRowHeight="12.75" outlineLevelRow="1" outlineLevelCol="1" x14ac:dyDescent="0.2"/>
  <cols>
    <col min="1" max="1" width="14.28515625" style="24" bestFit="1" customWidth="1"/>
    <col min="2" max="3" width="7.7109375" style="24" customWidth="1"/>
    <col min="4" max="60" width="7.7109375" style="24" customWidth="1" outlineLevel="1"/>
    <col min="61" max="64" width="7.7109375" style="24" customWidth="1"/>
    <col min="65" max="162" width="7.7109375" style="24" hidden="1" customWidth="1" outlineLevel="1"/>
    <col min="163" max="163" width="7.7109375" style="24" customWidth="1" collapsed="1"/>
    <col min="164" max="165" width="7.7109375" style="24" customWidth="1"/>
    <col min="166" max="167" width="7.7109375" style="24" hidden="1" customWidth="1" outlineLevel="1"/>
    <col min="168" max="168" width="7.7109375" style="24" customWidth="1" collapsed="1"/>
    <col min="169" max="172" width="7.7109375" style="24" customWidth="1"/>
    <col min="173" max="180" width="7.7109375" style="24" hidden="1" customWidth="1" outlineLevel="1"/>
    <col min="181" max="181" width="7.7109375" style="24" customWidth="1" collapsed="1"/>
    <col min="182" max="182" width="7.7109375" style="24" customWidth="1"/>
    <col min="183" max="186" width="7.7109375" style="24" hidden="1" customWidth="1" outlineLevel="1"/>
    <col min="187" max="187" width="7.7109375" style="24" customWidth="1" collapsed="1"/>
    <col min="188" max="190" width="7.7109375" style="24" customWidth="1"/>
    <col min="191" max="202" width="7.7109375" style="24" hidden="1" customWidth="1" outlineLevel="1"/>
    <col min="203" max="203" width="7.7109375" style="24" customWidth="1" collapsed="1"/>
    <col min="204" max="214" width="7.7109375" style="24" customWidth="1"/>
    <col min="215" max="16384" width="9.140625" style="24"/>
  </cols>
  <sheetData>
    <row r="1" spans="1:213" ht="15" x14ac:dyDescent="0.25">
      <c r="A1" s="90" t="s">
        <v>1618</v>
      </c>
      <c r="GH1" s="39"/>
    </row>
    <row r="4" spans="1:213" x14ac:dyDescent="0.2">
      <c r="A4" s="8"/>
      <c r="B4" s="8" t="s">
        <v>141</v>
      </c>
      <c r="C4" s="8" t="s">
        <v>146</v>
      </c>
      <c r="D4" s="8" t="s">
        <v>151</v>
      </c>
      <c r="E4" s="8" t="s">
        <v>154</v>
      </c>
      <c r="F4" s="8" t="s">
        <v>158</v>
      </c>
      <c r="G4" s="8" t="s">
        <v>161</v>
      </c>
      <c r="H4" s="8" t="s">
        <v>166</v>
      </c>
      <c r="I4" s="8" t="s">
        <v>171</v>
      </c>
      <c r="J4" s="8" t="s">
        <v>175</v>
      </c>
      <c r="K4" s="8" t="s">
        <v>180</v>
      </c>
      <c r="L4" s="8" t="s">
        <v>185</v>
      </c>
      <c r="M4" s="8" t="s">
        <v>190</v>
      </c>
      <c r="N4" s="8" t="s">
        <v>196</v>
      </c>
      <c r="O4" s="8" t="s">
        <v>202</v>
      </c>
      <c r="P4" s="8" t="s">
        <v>206</v>
      </c>
      <c r="Q4" s="8" t="s">
        <v>212</v>
      </c>
      <c r="R4" s="8" t="s">
        <v>218</v>
      </c>
      <c r="S4" s="8" t="s">
        <v>223</v>
      </c>
      <c r="T4" s="8" t="s">
        <v>229</v>
      </c>
      <c r="U4" s="8" t="s">
        <v>235</v>
      </c>
      <c r="V4" s="8" t="s">
        <v>238</v>
      </c>
      <c r="W4" s="8" t="s">
        <v>243</v>
      </c>
      <c r="X4" s="8" t="s">
        <v>249</v>
      </c>
      <c r="Y4" s="8" t="s">
        <v>1459</v>
      </c>
      <c r="Z4" s="8" t="s">
        <v>264</v>
      </c>
      <c r="AA4" s="8" t="s">
        <v>269</v>
      </c>
      <c r="AB4" s="8" t="s">
        <v>275</v>
      </c>
      <c r="AC4" s="8" t="s">
        <v>281</v>
      </c>
      <c r="AD4" s="8" t="s">
        <v>286</v>
      </c>
      <c r="AE4" s="8" t="s">
        <v>291</v>
      </c>
      <c r="AF4" s="8" t="s">
        <v>295</v>
      </c>
      <c r="AG4" s="8" t="s">
        <v>300</v>
      </c>
      <c r="AH4" s="8" t="s">
        <v>305</v>
      </c>
      <c r="AI4" s="8" t="s">
        <v>309</v>
      </c>
      <c r="AJ4" s="8" t="s">
        <v>313</v>
      </c>
      <c r="AK4" s="8" t="s">
        <v>318</v>
      </c>
      <c r="AL4" s="8" t="s">
        <v>324</v>
      </c>
      <c r="AM4" s="8" t="s">
        <v>329</v>
      </c>
      <c r="AN4" s="8" t="s">
        <v>334</v>
      </c>
      <c r="AO4" s="8" t="s">
        <v>339</v>
      </c>
      <c r="AP4" s="8" t="s">
        <v>344</v>
      </c>
      <c r="AQ4" s="8" t="s">
        <v>349</v>
      </c>
      <c r="AR4" s="8" t="s">
        <v>355</v>
      </c>
      <c r="AS4" s="8" t="s">
        <v>360</v>
      </c>
      <c r="AT4" s="8" t="s">
        <v>366</v>
      </c>
      <c r="AU4" s="8" t="s">
        <v>370</v>
      </c>
      <c r="AV4" s="8" t="s">
        <v>382</v>
      </c>
      <c r="AW4" s="8" t="s">
        <v>377</v>
      </c>
      <c r="AX4" s="8" t="s">
        <v>387</v>
      </c>
      <c r="AY4" s="8" t="s">
        <v>392</v>
      </c>
      <c r="AZ4" s="8" t="s">
        <v>398</v>
      </c>
      <c r="BA4" s="8" t="s">
        <v>402</v>
      </c>
      <c r="BB4" s="8" t="s">
        <v>407</v>
      </c>
      <c r="BC4" s="8" t="s">
        <v>412</v>
      </c>
      <c r="BD4" s="8" t="s">
        <v>415</v>
      </c>
      <c r="BE4" s="8" t="s">
        <v>420</v>
      </c>
      <c r="BF4" s="8" t="s">
        <v>426</v>
      </c>
      <c r="BG4" s="8" t="s">
        <v>431</v>
      </c>
      <c r="BH4" s="8" t="s">
        <v>436</v>
      </c>
      <c r="BI4" s="8" t="s">
        <v>440</v>
      </c>
      <c r="BJ4" s="8" t="s">
        <v>445</v>
      </c>
      <c r="BK4" s="8" t="s">
        <v>1498</v>
      </c>
      <c r="BL4" s="8" t="s">
        <v>1499</v>
      </c>
      <c r="BM4" s="8" t="s">
        <v>641</v>
      </c>
      <c r="BN4" s="8" t="s">
        <v>648</v>
      </c>
      <c r="BO4" s="8" t="s">
        <v>655</v>
      </c>
      <c r="BP4" s="8" t="s">
        <v>662</v>
      </c>
      <c r="BQ4" s="8" t="s">
        <v>1500</v>
      </c>
      <c r="BR4" s="8" t="s">
        <v>667</v>
      </c>
      <c r="BS4" s="8" t="s">
        <v>1501</v>
      </c>
      <c r="BT4" s="8" t="s">
        <v>672</v>
      </c>
      <c r="BU4" s="8" t="s">
        <v>679</v>
      </c>
      <c r="BV4" s="8" t="s">
        <v>686</v>
      </c>
      <c r="BW4" s="8" t="s">
        <v>693</v>
      </c>
      <c r="BX4" s="8" t="s">
        <v>700</v>
      </c>
      <c r="BY4" s="8" t="s">
        <v>704</v>
      </c>
      <c r="BZ4" s="8" t="s">
        <v>709</v>
      </c>
      <c r="CA4" s="8" t="s">
        <v>714</v>
      </c>
      <c r="CB4" s="8" t="s">
        <v>719</v>
      </c>
      <c r="CC4" s="8" t="s">
        <v>723</v>
      </c>
      <c r="CD4" s="8" t="s">
        <v>737</v>
      </c>
      <c r="CE4" s="8" t="s">
        <v>744</v>
      </c>
      <c r="CF4" s="8" t="s">
        <v>749</v>
      </c>
      <c r="CG4" s="8" t="s">
        <v>753</v>
      </c>
      <c r="CH4" s="8" t="s">
        <v>758</v>
      </c>
      <c r="CI4" s="8" t="s">
        <v>770</v>
      </c>
      <c r="CJ4" s="8" t="s">
        <v>777</v>
      </c>
      <c r="CK4" s="8" t="s">
        <v>782</v>
      </c>
      <c r="CL4" s="8" t="s">
        <v>786</v>
      </c>
      <c r="CM4" s="8" t="s">
        <v>793</v>
      </c>
      <c r="CN4" s="8" t="s">
        <v>798</v>
      </c>
      <c r="CO4" s="8" t="s">
        <v>803</v>
      </c>
      <c r="CP4" s="8" t="s">
        <v>810</v>
      </c>
      <c r="CQ4" s="8" t="s">
        <v>815</v>
      </c>
      <c r="CR4" s="8" t="s">
        <v>821</v>
      </c>
      <c r="CS4" s="8" t="s">
        <v>827</v>
      </c>
      <c r="CT4" s="8" t="s">
        <v>833</v>
      </c>
      <c r="CU4" s="8" t="s">
        <v>839</v>
      </c>
      <c r="CV4" s="8" t="s">
        <v>844</v>
      </c>
      <c r="CW4" s="8" t="s">
        <v>1506</v>
      </c>
      <c r="CX4" s="8" t="s">
        <v>851</v>
      </c>
      <c r="CY4" s="8" t="s">
        <v>858</v>
      </c>
      <c r="CZ4" s="8" t="s">
        <v>873</v>
      </c>
      <c r="DA4" s="8" t="s">
        <v>878</v>
      </c>
      <c r="DB4" s="8" t="s">
        <v>882</v>
      </c>
      <c r="DC4" s="8" t="s">
        <v>887</v>
      </c>
      <c r="DD4" s="8" t="s">
        <v>894</v>
      </c>
      <c r="DE4" s="8" t="s">
        <v>909</v>
      </c>
      <c r="DF4" s="8" t="s">
        <v>913</v>
      </c>
      <c r="DG4" s="8" t="s">
        <v>918</v>
      </c>
      <c r="DH4" s="8" t="s">
        <v>923</v>
      </c>
      <c r="DI4" s="8" t="s">
        <v>928</v>
      </c>
      <c r="DJ4" s="8" t="s">
        <v>933</v>
      </c>
      <c r="DK4" s="8" t="s">
        <v>940</v>
      </c>
      <c r="DL4" s="8" t="s">
        <v>945</v>
      </c>
      <c r="DM4" s="8" t="s">
        <v>949</v>
      </c>
      <c r="DN4" s="8" t="s">
        <v>956</v>
      </c>
      <c r="DO4" s="8" t="s">
        <v>963</v>
      </c>
      <c r="DP4" s="8" t="s">
        <v>967</v>
      </c>
      <c r="DQ4" s="8" t="s">
        <v>1507</v>
      </c>
      <c r="DR4" s="8" t="s">
        <v>972</v>
      </c>
      <c r="DS4" s="8" t="s">
        <v>979</v>
      </c>
      <c r="DT4" s="8" t="s">
        <v>991</v>
      </c>
      <c r="DU4" s="8" t="s">
        <v>998</v>
      </c>
      <c r="DV4" s="8" t="s">
        <v>1017</v>
      </c>
      <c r="DW4" s="8" t="s">
        <v>1022</v>
      </c>
      <c r="DX4" s="8" t="s">
        <v>1029</v>
      </c>
      <c r="DY4" s="8" t="s">
        <v>1036</v>
      </c>
      <c r="DZ4" s="8" t="s">
        <v>1043</v>
      </c>
      <c r="EA4" s="8" t="s">
        <v>1050</v>
      </c>
      <c r="EB4" s="8" t="s">
        <v>1055</v>
      </c>
      <c r="EC4" s="8" t="s">
        <v>1060</v>
      </c>
      <c r="ED4" s="8" t="s">
        <v>1066</v>
      </c>
      <c r="EE4" s="8" t="s">
        <v>1508</v>
      </c>
      <c r="EF4" s="8" t="s">
        <v>1071</v>
      </c>
      <c r="EG4" s="8" t="s">
        <v>1076</v>
      </c>
      <c r="EH4" s="8" t="s">
        <v>1081</v>
      </c>
      <c r="EI4" s="8" t="s">
        <v>1089</v>
      </c>
      <c r="EJ4" s="8" t="s">
        <v>1095</v>
      </c>
      <c r="EK4" s="8" t="s">
        <v>1509</v>
      </c>
      <c r="EL4" s="8" t="s">
        <v>1510</v>
      </c>
      <c r="EM4" s="8" t="s">
        <v>1511</v>
      </c>
      <c r="EN4" s="8" t="s">
        <v>1512</v>
      </c>
      <c r="EO4" s="8" t="s">
        <v>1128</v>
      </c>
      <c r="EP4" s="8" t="s">
        <v>1135</v>
      </c>
      <c r="EQ4" s="8" t="s">
        <v>1140</v>
      </c>
      <c r="ER4" s="8" t="s">
        <v>1145</v>
      </c>
      <c r="ES4" s="8" t="s">
        <v>1150</v>
      </c>
      <c r="ET4" s="8" t="s">
        <v>1156</v>
      </c>
      <c r="EU4" s="8" t="s">
        <v>1163</v>
      </c>
      <c r="EV4" s="8" t="s">
        <v>1177</v>
      </c>
      <c r="EW4" s="8" t="s">
        <v>1170</v>
      </c>
      <c r="EX4" s="8" t="s">
        <v>1513</v>
      </c>
      <c r="EY4" s="8" t="s">
        <v>1183</v>
      </c>
      <c r="EZ4" s="8" t="s">
        <v>1514</v>
      </c>
      <c r="FA4" s="8" t="s">
        <v>1190</v>
      </c>
      <c r="FB4" s="8" t="s">
        <v>1197</v>
      </c>
      <c r="FC4" s="8" t="s">
        <v>1204</v>
      </c>
      <c r="FD4" s="8" t="s">
        <v>1211</v>
      </c>
      <c r="FE4" s="8" t="s">
        <v>1218</v>
      </c>
      <c r="FF4" s="8" t="s">
        <v>1225</v>
      </c>
      <c r="FG4" s="8" t="s">
        <v>1233</v>
      </c>
      <c r="FH4" s="8" t="s">
        <v>1240</v>
      </c>
      <c r="FI4" s="8" t="s">
        <v>1247</v>
      </c>
      <c r="FJ4" s="8" t="s">
        <v>1254</v>
      </c>
      <c r="FK4" s="8" t="s">
        <v>1502</v>
      </c>
      <c r="FL4" s="8" t="s">
        <v>1503</v>
      </c>
      <c r="FM4" s="8" t="s">
        <v>1504</v>
      </c>
      <c r="FN4" s="8" t="s">
        <v>1505</v>
      </c>
      <c r="FO4" s="8" t="s">
        <v>1518</v>
      </c>
      <c r="FP4" s="18" t="s">
        <v>1539</v>
      </c>
      <c r="FQ4" s="18" t="s">
        <v>1540</v>
      </c>
      <c r="FR4" s="18" t="s">
        <v>1541</v>
      </c>
      <c r="FS4" s="18" t="s">
        <v>1542</v>
      </c>
      <c r="FT4" s="18" t="s">
        <v>1543</v>
      </c>
      <c r="FU4" s="18" t="s">
        <v>1544</v>
      </c>
      <c r="FV4" s="18" t="s">
        <v>1545</v>
      </c>
      <c r="FW4" s="18" t="s">
        <v>1546</v>
      </c>
      <c r="FX4" s="18" t="s">
        <v>1547</v>
      </c>
      <c r="FY4" s="18" t="s">
        <v>1548</v>
      </c>
      <c r="FZ4" s="17" t="s">
        <v>1533</v>
      </c>
      <c r="GA4" s="17" t="s">
        <v>1534</v>
      </c>
      <c r="GB4" s="17" t="s">
        <v>1535</v>
      </c>
      <c r="GC4" s="17" t="s">
        <v>1536</v>
      </c>
      <c r="GD4" s="17" t="s">
        <v>1537</v>
      </c>
      <c r="GE4" s="17" t="s">
        <v>1538</v>
      </c>
      <c r="GF4" s="19" t="s">
        <v>1282</v>
      </c>
      <c r="GG4" s="19" t="s">
        <v>1549</v>
      </c>
      <c r="GH4" s="19" t="s">
        <v>1550</v>
      </c>
      <c r="GI4" s="19" t="s">
        <v>1551</v>
      </c>
      <c r="GJ4" s="19" t="s">
        <v>1552</v>
      </c>
      <c r="GK4" s="19" t="s">
        <v>1553</v>
      </c>
      <c r="GL4" s="19" t="s">
        <v>1554</v>
      </c>
      <c r="GM4" s="19" t="s">
        <v>1555</v>
      </c>
      <c r="GN4" s="19" t="s">
        <v>1556</v>
      </c>
      <c r="GO4" s="19" t="s">
        <v>1557</v>
      </c>
      <c r="GP4" s="19" t="s">
        <v>1558</v>
      </c>
      <c r="GQ4" s="19" t="s">
        <v>1559</v>
      </c>
      <c r="GR4" s="19" t="s">
        <v>1560</v>
      </c>
      <c r="GS4" s="19" t="s">
        <v>1561</v>
      </c>
      <c r="GT4" s="19" t="s">
        <v>1562</v>
      </c>
      <c r="GU4" s="19" t="s">
        <v>1516</v>
      </c>
      <c r="GV4" s="19" t="s">
        <v>1519</v>
      </c>
      <c r="GW4" s="19" t="s">
        <v>1287</v>
      </c>
      <c r="GX4" s="19" t="s">
        <v>1288</v>
      </c>
      <c r="GY4" s="19" t="s">
        <v>1289</v>
      </c>
      <c r="GZ4" s="19" t="s">
        <v>1517</v>
      </c>
      <c r="HA4" s="19" t="s">
        <v>1520</v>
      </c>
      <c r="HB4" s="19" t="s">
        <v>1521</v>
      </c>
      <c r="HC4" s="8" t="s">
        <v>124</v>
      </c>
      <c r="HD4" s="8" t="s">
        <v>125</v>
      </c>
      <c r="HE4" s="8" t="s">
        <v>126</v>
      </c>
    </row>
    <row r="5" spans="1:213" x14ac:dyDescent="0.2">
      <c r="A5" s="9" t="s">
        <v>141</v>
      </c>
      <c r="B5" s="36">
        <v>0</v>
      </c>
      <c r="C5" s="36">
        <v>0</v>
      </c>
      <c r="D5" s="36">
        <v>0</v>
      </c>
      <c r="E5" s="36">
        <v>0</v>
      </c>
      <c r="F5" s="36">
        <v>0</v>
      </c>
      <c r="G5" s="36">
        <v>0</v>
      </c>
      <c r="H5" s="36">
        <v>0</v>
      </c>
      <c r="I5" s="36">
        <v>0</v>
      </c>
      <c r="J5" s="36">
        <v>0</v>
      </c>
      <c r="K5" s="36">
        <v>0</v>
      </c>
      <c r="L5" s="36">
        <v>0</v>
      </c>
      <c r="M5" s="36">
        <v>0</v>
      </c>
      <c r="N5" s="36">
        <v>0</v>
      </c>
      <c r="O5" s="36">
        <v>0</v>
      </c>
      <c r="P5" s="36">
        <v>0</v>
      </c>
      <c r="Q5" s="36">
        <v>0</v>
      </c>
      <c r="R5" s="36">
        <v>0</v>
      </c>
      <c r="S5" s="36">
        <v>0</v>
      </c>
      <c r="T5" s="36">
        <v>0</v>
      </c>
      <c r="U5" s="36">
        <v>0</v>
      </c>
      <c r="V5" s="36">
        <v>0</v>
      </c>
      <c r="W5" s="36">
        <v>0</v>
      </c>
      <c r="X5" s="36">
        <v>0</v>
      </c>
      <c r="Y5" s="36">
        <v>0</v>
      </c>
      <c r="Z5" s="36">
        <v>0</v>
      </c>
      <c r="AA5" s="36">
        <v>0</v>
      </c>
      <c r="AB5" s="36">
        <v>0</v>
      </c>
      <c r="AC5" s="36">
        <v>0</v>
      </c>
      <c r="AD5" s="36">
        <v>0</v>
      </c>
      <c r="AE5" s="36">
        <v>0</v>
      </c>
      <c r="AF5" s="36">
        <v>0</v>
      </c>
      <c r="AG5" s="36">
        <v>0</v>
      </c>
      <c r="AH5" s="36">
        <v>0</v>
      </c>
      <c r="AI5" s="36">
        <v>0</v>
      </c>
      <c r="AJ5" s="36">
        <v>0</v>
      </c>
      <c r="AK5" s="36">
        <v>0</v>
      </c>
      <c r="AL5" s="36">
        <v>0</v>
      </c>
      <c r="AM5" s="36">
        <v>0</v>
      </c>
      <c r="AN5" s="36">
        <v>0</v>
      </c>
      <c r="AO5" s="36">
        <v>0</v>
      </c>
      <c r="AP5" s="36">
        <v>0</v>
      </c>
      <c r="AQ5" s="36">
        <v>0</v>
      </c>
      <c r="AR5" s="36">
        <v>0</v>
      </c>
      <c r="AS5" s="36">
        <v>0</v>
      </c>
      <c r="AT5" s="36">
        <v>0</v>
      </c>
      <c r="AU5" s="36">
        <v>0</v>
      </c>
      <c r="AV5" s="36">
        <v>0</v>
      </c>
      <c r="AW5" s="36">
        <v>0</v>
      </c>
      <c r="AX5" s="36">
        <v>0</v>
      </c>
      <c r="AY5" s="36">
        <v>0</v>
      </c>
      <c r="AZ5" s="36">
        <v>0</v>
      </c>
      <c r="BA5" s="36">
        <v>0</v>
      </c>
      <c r="BB5" s="36">
        <v>0</v>
      </c>
      <c r="BC5" s="36">
        <v>0</v>
      </c>
      <c r="BD5" s="36">
        <v>0</v>
      </c>
      <c r="BE5" s="36">
        <v>0</v>
      </c>
      <c r="BF5" s="36">
        <v>0</v>
      </c>
      <c r="BG5" s="36">
        <v>0</v>
      </c>
      <c r="BH5" s="36">
        <v>0</v>
      </c>
      <c r="BI5" s="36">
        <v>0</v>
      </c>
      <c r="BJ5" s="36">
        <v>0</v>
      </c>
      <c r="BK5" s="40">
        <v>58526.689898286182</v>
      </c>
      <c r="BL5" s="40">
        <v>82559.964265482718</v>
      </c>
      <c r="BM5" s="40">
        <v>82208.749684879091</v>
      </c>
      <c r="BN5" s="40">
        <v>693.51370887322093</v>
      </c>
      <c r="BO5" s="40">
        <v>0</v>
      </c>
      <c r="BP5" s="40">
        <v>0</v>
      </c>
      <c r="BQ5" s="40">
        <v>0</v>
      </c>
      <c r="BR5" s="40">
        <v>0</v>
      </c>
      <c r="BS5" s="40">
        <v>0</v>
      </c>
      <c r="BT5" s="40">
        <v>0</v>
      </c>
      <c r="BU5" s="40">
        <v>0</v>
      </c>
      <c r="BV5" s="40">
        <v>1102.9988697196641</v>
      </c>
      <c r="BW5" s="40">
        <v>33496.689227352093</v>
      </c>
      <c r="BX5" s="40">
        <v>0</v>
      </c>
      <c r="BY5" s="40">
        <v>0</v>
      </c>
      <c r="BZ5" s="40">
        <v>0</v>
      </c>
      <c r="CA5" s="40">
        <v>0</v>
      </c>
      <c r="CB5" s="40">
        <v>28171.186100010833</v>
      </c>
      <c r="CC5" s="40">
        <v>0</v>
      </c>
      <c r="CD5" s="40">
        <v>5273.3524714221994</v>
      </c>
      <c r="CE5" s="40">
        <v>0</v>
      </c>
      <c r="CF5" s="40">
        <v>0</v>
      </c>
      <c r="CG5" s="40">
        <v>0</v>
      </c>
      <c r="CH5" s="40">
        <v>0</v>
      </c>
      <c r="CI5" s="40">
        <v>1362.3936334105435</v>
      </c>
      <c r="CJ5" s="40">
        <v>0</v>
      </c>
      <c r="CK5" s="40">
        <v>1362.3936334105435</v>
      </c>
      <c r="CL5" s="40">
        <v>2421.6385463794968</v>
      </c>
      <c r="CM5" s="40">
        <v>0</v>
      </c>
      <c r="CN5" s="40">
        <v>0</v>
      </c>
      <c r="CO5" s="40">
        <v>0</v>
      </c>
      <c r="CP5" s="40">
        <v>0</v>
      </c>
      <c r="CQ5" s="40">
        <v>0</v>
      </c>
      <c r="CR5" s="40">
        <v>539.0739443085813</v>
      </c>
      <c r="CS5" s="40">
        <v>0</v>
      </c>
      <c r="CT5" s="40">
        <v>0</v>
      </c>
      <c r="CU5" s="40">
        <v>0</v>
      </c>
      <c r="CV5" s="40">
        <v>0</v>
      </c>
      <c r="CW5" s="40">
        <v>0</v>
      </c>
      <c r="CX5" s="40">
        <v>0</v>
      </c>
      <c r="CY5" s="40">
        <v>716.02738284703082</v>
      </c>
      <c r="CZ5" s="40">
        <v>0</v>
      </c>
      <c r="DA5" s="40">
        <v>0</v>
      </c>
      <c r="DB5" s="40">
        <v>0</v>
      </c>
      <c r="DC5" s="40">
        <v>0</v>
      </c>
      <c r="DD5" s="40">
        <v>0</v>
      </c>
      <c r="DE5" s="40">
        <v>0</v>
      </c>
      <c r="DF5" s="40">
        <v>0</v>
      </c>
      <c r="DG5" s="40">
        <v>0</v>
      </c>
      <c r="DH5" s="40">
        <v>0</v>
      </c>
      <c r="DI5" s="40">
        <v>0</v>
      </c>
      <c r="DJ5" s="40">
        <v>0</v>
      </c>
      <c r="DK5" s="40">
        <v>0</v>
      </c>
      <c r="DL5" s="40">
        <v>0</v>
      </c>
      <c r="DM5" s="40">
        <v>0</v>
      </c>
      <c r="DN5" s="40">
        <v>0</v>
      </c>
      <c r="DO5" s="40">
        <v>0</v>
      </c>
      <c r="DP5" s="40">
        <v>0</v>
      </c>
      <c r="DQ5" s="40">
        <v>0</v>
      </c>
      <c r="DR5" s="40">
        <v>0</v>
      </c>
      <c r="DS5" s="40">
        <v>0</v>
      </c>
      <c r="DT5" s="40">
        <v>0</v>
      </c>
      <c r="DU5" s="40">
        <v>0</v>
      </c>
      <c r="DV5" s="40">
        <v>0</v>
      </c>
      <c r="DW5" s="40">
        <v>0</v>
      </c>
      <c r="DX5" s="40">
        <v>0</v>
      </c>
      <c r="DY5" s="40">
        <v>0</v>
      </c>
      <c r="DZ5" s="40">
        <v>0</v>
      </c>
      <c r="EA5" s="40">
        <v>0</v>
      </c>
      <c r="EB5" s="40">
        <v>0</v>
      </c>
      <c r="EC5" s="40">
        <v>0</v>
      </c>
      <c r="ED5" s="40">
        <v>0</v>
      </c>
      <c r="EE5" s="40">
        <v>0</v>
      </c>
      <c r="EF5" s="40">
        <v>0</v>
      </c>
      <c r="EG5" s="40">
        <v>0</v>
      </c>
      <c r="EH5" s="40">
        <v>0</v>
      </c>
      <c r="EI5" s="40">
        <v>0</v>
      </c>
      <c r="EJ5" s="40">
        <v>0</v>
      </c>
      <c r="EK5" s="40">
        <v>0</v>
      </c>
      <c r="EL5" s="40">
        <v>0</v>
      </c>
      <c r="EM5" s="40">
        <v>886.14820523438436</v>
      </c>
      <c r="EN5" s="40">
        <v>0</v>
      </c>
      <c r="EO5" s="40">
        <v>0</v>
      </c>
      <c r="EP5" s="40">
        <v>0</v>
      </c>
      <c r="EQ5" s="40">
        <v>0</v>
      </c>
      <c r="ER5" s="40">
        <v>0</v>
      </c>
      <c r="ES5" s="40">
        <v>0</v>
      </c>
      <c r="ET5" s="40">
        <v>0</v>
      </c>
      <c r="EU5" s="40">
        <v>0</v>
      </c>
      <c r="EV5" s="40">
        <v>0</v>
      </c>
      <c r="EW5" s="40">
        <v>0</v>
      </c>
      <c r="EX5" s="40">
        <v>0</v>
      </c>
      <c r="EY5" s="40">
        <v>0</v>
      </c>
      <c r="EZ5" s="40">
        <v>2585.8712746363767</v>
      </c>
      <c r="FA5" s="40">
        <v>9585.3170385898302</v>
      </c>
      <c r="FB5" s="40">
        <v>0</v>
      </c>
      <c r="FC5" s="40">
        <v>0</v>
      </c>
      <c r="FD5" s="40">
        <v>0</v>
      </c>
      <c r="FE5" s="40">
        <v>0</v>
      </c>
      <c r="FF5" s="40">
        <v>0</v>
      </c>
      <c r="FG5" s="40">
        <v>0</v>
      </c>
      <c r="FH5" s="40">
        <v>0</v>
      </c>
      <c r="FI5" s="40">
        <v>0</v>
      </c>
      <c r="FJ5" s="40">
        <v>0</v>
      </c>
      <c r="FK5" s="40">
        <v>0</v>
      </c>
      <c r="FL5" s="40">
        <v>5685.1713170693547</v>
      </c>
      <c r="FM5" s="40">
        <v>0</v>
      </c>
      <c r="FN5" s="40">
        <v>0</v>
      </c>
      <c r="FO5" s="36">
        <v>0</v>
      </c>
      <c r="FP5" s="36">
        <v>0</v>
      </c>
      <c r="FQ5" s="36">
        <v>0</v>
      </c>
      <c r="FR5" s="36">
        <v>0</v>
      </c>
      <c r="FS5" s="36">
        <v>0</v>
      </c>
      <c r="FT5" s="36">
        <v>0</v>
      </c>
      <c r="FU5" s="36">
        <v>0</v>
      </c>
      <c r="FV5" s="36">
        <v>0</v>
      </c>
      <c r="FW5" s="36">
        <v>0</v>
      </c>
      <c r="FX5" s="36">
        <v>0</v>
      </c>
      <c r="FY5" s="36">
        <v>0</v>
      </c>
      <c r="FZ5" s="36">
        <v>0</v>
      </c>
      <c r="GA5" s="36">
        <v>0</v>
      </c>
      <c r="GB5" s="36">
        <v>0</v>
      </c>
      <c r="GC5" s="36">
        <v>0</v>
      </c>
      <c r="GD5" s="36">
        <v>0</v>
      </c>
      <c r="GE5" s="36">
        <v>0</v>
      </c>
      <c r="GF5" s="36">
        <v>0</v>
      </c>
      <c r="GG5" s="36"/>
      <c r="GH5" s="36"/>
      <c r="GI5" s="36"/>
      <c r="GJ5" s="36"/>
      <c r="GK5" s="36"/>
      <c r="GL5" s="36"/>
      <c r="GM5" s="36"/>
      <c r="GN5" s="36"/>
      <c r="GO5" s="36"/>
      <c r="GP5" s="36"/>
      <c r="GQ5" s="36"/>
      <c r="GR5" s="36"/>
      <c r="GS5" s="36"/>
      <c r="GT5" s="36"/>
      <c r="GU5" s="36">
        <v>0</v>
      </c>
      <c r="GV5" s="36">
        <v>0</v>
      </c>
      <c r="GW5" s="36">
        <v>0</v>
      </c>
      <c r="GX5" s="36">
        <v>0</v>
      </c>
      <c r="GY5" s="36">
        <v>0</v>
      </c>
      <c r="GZ5" s="36">
        <v>0</v>
      </c>
      <c r="HA5" s="36">
        <v>0</v>
      </c>
      <c r="HB5" s="36">
        <v>0</v>
      </c>
      <c r="HC5" s="36">
        <f t="shared" ref="HC5:HC68" si="0">SUM(B5:HB5)</f>
        <v>317177.17920191213</v>
      </c>
      <c r="HD5" s="36">
        <f>SUM(B$5:B$213)</f>
        <v>317177.17920191219</v>
      </c>
      <c r="HE5" s="41" cm="1">
        <f t="array" ref="HE5:HE213">HD5:HD213-HC5:HC213</f>
        <v>0</v>
      </c>
    </row>
    <row r="6" spans="1:213" x14ac:dyDescent="0.2">
      <c r="A6" s="9" t="s">
        <v>146</v>
      </c>
      <c r="B6" s="36">
        <v>0</v>
      </c>
      <c r="C6" s="36">
        <v>0</v>
      </c>
      <c r="D6" s="36">
        <v>0</v>
      </c>
      <c r="E6" s="36">
        <v>0</v>
      </c>
      <c r="F6" s="36">
        <v>0</v>
      </c>
      <c r="G6" s="36">
        <v>0</v>
      </c>
      <c r="H6" s="36">
        <v>0</v>
      </c>
      <c r="I6" s="36">
        <v>0</v>
      </c>
      <c r="J6" s="36">
        <v>0</v>
      </c>
      <c r="K6" s="36">
        <v>0</v>
      </c>
      <c r="L6" s="36">
        <v>0</v>
      </c>
      <c r="M6" s="36">
        <v>0</v>
      </c>
      <c r="N6" s="36">
        <v>0</v>
      </c>
      <c r="O6" s="36">
        <v>0</v>
      </c>
      <c r="P6" s="36">
        <v>0</v>
      </c>
      <c r="Q6" s="36">
        <v>0</v>
      </c>
      <c r="R6" s="36">
        <v>0</v>
      </c>
      <c r="S6" s="36">
        <v>0</v>
      </c>
      <c r="T6" s="36">
        <v>0</v>
      </c>
      <c r="U6" s="36">
        <v>0</v>
      </c>
      <c r="V6" s="36">
        <v>0</v>
      </c>
      <c r="W6" s="36">
        <v>0</v>
      </c>
      <c r="X6" s="36">
        <v>0</v>
      </c>
      <c r="Y6" s="36">
        <v>0</v>
      </c>
      <c r="Z6" s="36">
        <v>0</v>
      </c>
      <c r="AA6" s="36">
        <v>0</v>
      </c>
      <c r="AB6" s="36">
        <v>0</v>
      </c>
      <c r="AC6" s="36">
        <v>0</v>
      </c>
      <c r="AD6" s="36">
        <v>0</v>
      </c>
      <c r="AE6" s="36">
        <v>0</v>
      </c>
      <c r="AF6" s="36">
        <v>0</v>
      </c>
      <c r="AG6" s="36">
        <v>0</v>
      </c>
      <c r="AH6" s="36">
        <v>0</v>
      </c>
      <c r="AI6" s="36">
        <v>0</v>
      </c>
      <c r="AJ6" s="36">
        <v>0</v>
      </c>
      <c r="AK6" s="36">
        <v>0</v>
      </c>
      <c r="AL6" s="36">
        <v>0</v>
      </c>
      <c r="AM6" s="36">
        <v>0</v>
      </c>
      <c r="AN6" s="36">
        <v>0</v>
      </c>
      <c r="AO6" s="36">
        <v>0</v>
      </c>
      <c r="AP6" s="36">
        <v>0</v>
      </c>
      <c r="AQ6" s="36">
        <v>0</v>
      </c>
      <c r="AR6" s="36">
        <v>0</v>
      </c>
      <c r="AS6" s="36">
        <v>0</v>
      </c>
      <c r="AT6" s="36">
        <v>0</v>
      </c>
      <c r="AU6" s="36">
        <v>0</v>
      </c>
      <c r="AV6" s="36">
        <v>0</v>
      </c>
      <c r="AW6" s="36">
        <v>0</v>
      </c>
      <c r="AX6" s="36">
        <v>0</v>
      </c>
      <c r="AY6" s="36">
        <v>0</v>
      </c>
      <c r="AZ6" s="36">
        <v>0</v>
      </c>
      <c r="BA6" s="36">
        <v>0</v>
      </c>
      <c r="BB6" s="36">
        <v>0</v>
      </c>
      <c r="BC6" s="36">
        <v>0</v>
      </c>
      <c r="BD6" s="36">
        <v>0</v>
      </c>
      <c r="BE6" s="36">
        <v>0</v>
      </c>
      <c r="BF6" s="36">
        <v>0</v>
      </c>
      <c r="BG6" s="36">
        <v>0</v>
      </c>
      <c r="BH6" s="36">
        <v>0</v>
      </c>
      <c r="BI6" s="36">
        <v>0</v>
      </c>
      <c r="BJ6" s="36">
        <v>0</v>
      </c>
      <c r="BK6" s="40">
        <v>0</v>
      </c>
      <c r="BL6" s="40">
        <v>0</v>
      </c>
      <c r="BM6" s="40">
        <v>0</v>
      </c>
      <c r="BN6" s="40">
        <v>15004.489103571585</v>
      </c>
      <c r="BO6" s="40">
        <v>0</v>
      </c>
      <c r="BP6" s="40">
        <v>0</v>
      </c>
      <c r="BQ6" s="40">
        <v>0</v>
      </c>
      <c r="BR6" s="40">
        <v>0</v>
      </c>
      <c r="BS6" s="40">
        <v>0</v>
      </c>
      <c r="BT6" s="40">
        <v>0</v>
      </c>
      <c r="BU6" s="40">
        <v>0</v>
      </c>
      <c r="BV6" s="40">
        <v>0</v>
      </c>
      <c r="BW6" s="40">
        <v>0</v>
      </c>
      <c r="BX6" s="40">
        <v>0</v>
      </c>
      <c r="BY6" s="40">
        <v>0</v>
      </c>
      <c r="BZ6" s="40">
        <v>0</v>
      </c>
      <c r="CA6" s="40">
        <v>0</v>
      </c>
      <c r="CB6" s="40">
        <v>0</v>
      </c>
      <c r="CC6" s="40">
        <v>0</v>
      </c>
      <c r="CD6" s="40">
        <v>0</v>
      </c>
      <c r="CE6" s="40">
        <v>0</v>
      </c>
      <c r="CF6" s="40">
        <v>0</v>
      </c>
      <c r="CG6" s="40">
        <v>0</v>
      </c>
      <c r="CH6" s="40">
        <v>0</v>
      </c>
      <c r="CI6" s="40">
        <v>0</v>
      </c>
      <c r="CJ6" s="40">
        <v>0</v>
      </c>
      <c r="CK6" s="40">
        <v>0</v>
      </c>
      <c r="CL6" s="40">
        <v>0</v>
      </c>
      <c r="CM6" s="40">
        <v>0</v>
      </c>
      <c r="CN6" s="40">
        <v>0</v>
      </c>
      <c r="CO6" s="40">
        <v>0</v>
      </c>
      <c r="CP6" s="40">
        <v>0</v>
      </c>
      <c r="CQ6" s="40">
        <v>0</v>
      </c>
      <c r="CR6" s="40">
        <v>0</v>
      </c>
      <c r="CS6" s="40">
        <v>0</v>
      </c>
      <c r="CT6" s="40">
        <v>0</v>
      </c>
      <c r="CU6" s="40">
        <v>0</v>
      </c>
      <c r="CV6" s="40">
        <v>0</v>
      </c>
      <c r="CW6" s="40">
        <v>0</v>
      </c>
      <c r="CX6" s="40">
        <v>0</v>
      </c>
      <c r="CY6" s="40">
        <v>0</v>
      </c>
      <c r="CZ6" s="40">
        <v>0</v>
      </c>
      <c r="DA6" s="40">
        <v>0</v>
      </c>
      <c r="DB6" s="40">
        <v>0</v>
      </c>
      <c r="DC6" s="40">
        <v>0</v>
      </c>
      <c r="DD6" s="40">
        <v>0</v>
      </c>
      <c r="DE6" s="40">
        <v>0</v>
      </c>
      <c r="DF6" s="40">
        <v>0</v>
      </c>
      <c r="DG6" s="40">
        <v>0</v>
      </c>
      <c r="DH6" s="40">
        <v>0</v>
      </c>
      <c r="DI6" s="40">
        <v>0</v>
      </c>
      <c r="DJ6" s="40">
        <v>0</v>
      </c>
      <c r="DK6" s="40">
        <v>0</v>
      </c>
      <c r="DL6" s="40">
        <v>0</v>
      </c>
      <c r="DM6" s="40">
        <v>0</v>
      </c>
      <c r="DN6" s="40">
        <v>0</v>
      </c>
      <c r="DO6" s="40">
        <v>0</v>
      </c>
      <c r="DP6" s="40">
        <v>0</v>
      </c>
      <c r="DQ6" s="40">
        <v>0</v>
      </c>
      <c r="DR6" s="40">
        <v>0</v>
      </c>
      <c r="DS6" s="40">
        <v>0</v>
      </c>
      <c r="DT6" s="40">
        <v>0</v>
      </c>
      <c r="DU6" s="40">
        <v>0</v>
      </c>
      <c r="DV6" s="40">
        <v>0</v>
      </c>
      <c r="DW6" s="40">
        <v>0</v>
      </c>
      <c r="DX6" s="40">
        <v>0</v>
      </c>
      <c r="DY6" s="40">
        <v>0</v>
      </c>
      <c r="DZ6" s="40">
        <v>0</v>
      </c>
      <c r="EA6" s="40">
        <v>0</v>
      </c>
      <c r="EB6" s="40">
        <v>0</v>
      </c>
      <c r="EC6" s="40">
        <v>0</v>
      </c>
      <c r="ED6" s="40">
        <v>0</v>
      </c>
      <c r="EE6" s="40">
        <v>0</v>
      </c>
      <c r="EF6" s="40">
        <v>0</v>
      </c>
      <c r="EG6" s="40">
        <v>0</v>
      </c>
      <c r="EH6" s="40">
        <v>0</v>
      </c>
      <c r="EI6" s="40">
        <v>0</v>
      </c>
      <c r="EJ6" s="40">
        <v>0</v>
      </c>
      <c r="EK6" s="40">
        <v>0</v>
      </c>
      <c r="EL6" s="40">
        <v>0</v>
      </c>
      <c r="EM6" s="40">
        <v>0</v>
      </c>
      <c r="EN6" s="40">
        <v>0</v>
      </c>
      <c r="EO6" s="40">
        <v>0</v>
      </c>
      <c r="EP6" s="40">
        <v>0</v>
      </c>
      <c r="EQ6" s="40">
        <v>0</v>
      </c>
      <c r="ER6" s="40">
        <v>0</v>
      </c>
      <c r="ES6" s="40">
        <v>0</v>
      </c>
      <c r="ET6" s="40">
        <v>0</v>
      </c>
      <c r="EU6" s="40">
        <v>0</v>
      </c>
      <c r="EV6" s="40">
        <v>0</v>
      </c>
      <c r="EW6" s="40">
        <v>0</v>
      </c>
      <c r="EX6" s="40">
        <v>0</v>
      </c>
      <c r="EY6" s="40">
        <v>0</v>
      </c>
      <c r="EZ6" s="40">
        <v>0</v>
      </c>
      <c r="FA6" s="40">
        <v>0</v>
      </c>
      <c r="FB6" s="40">
        <v>0</v>
      </c>
      <c r="FC6" s="40">
        <v>0</v>
      </c>
      <c r="FD6" s="40">
        <v>0</v>
      </c>
      <c r="FE6" s="40">
        <v>0</v>
      </c>
      <c r="FF6" s="40">
        <v>0</v>
      </c>
      <c r="FG6" s="40">
        <v>0</v>
      </c>
      <c r="FH6" s="40">
        <v>0</v>
      </c>
      <c r="FI6" s="40">
        <v>0</v>
      </c>
      <c r="FJ6" s="40">
        <v>0</v>
      </c>
      <c r="FK6" s="40">
        <v>0</v>
      </c>
      <c r="FL6" s="40">
        <v>0</v>
      </c>
      <c r="FM6" s="40">
        <v>0</v>
      </c>
      <c r="FN6" s="40">
        <v>0</v>
      </c>
      <c r="FO6" s="36">
        <v>0</v>
      </c>
      <c r="FP6" s="36">
        <v>0</v>
      </c>
      <c r="FQ6" s="36">
        <v>0</v>
      </c>
      <c r="FR6" s="36">
        <v>0</v>
      </c>
      <c r="FS6" s="36">
        <v>0</v>
      </c>
      <c r="FT6" s="36">
        <v>0</v>
      </c>
      <c r="FU6" s="36">
        <v>0</v>
      </c>
      <c r="FV6" s="36">
        <v>0</v>
      </c>
      <c r="FW6" s="36">
        <v>0</v>
      </c>
      <c r="FX6" s="36">
        <v>0</v>
      </c>
      <c r="FY6" s="36">
        <v>0</v>
      </c>
      <c r="FZ6" s="36">
        <v>0</v>
      </c>
      <c r="GA6" s="36">
        <v>0</v>
      </c>
      <c r="GB6" s="36">
        <v>0</v>
      </c>
      <c r="GC6" s="36">
        <v>0</v>
      </c>
      <c r="GD6" s="36">
        <v>0</v>
      </c>
      <c r="GE6" s="36">
        <v>0</v>
      </c>
      <c r="GF6" s="36">
        <v>0</v>
      </c>
      <c r="GG6" s="36"/>
      <c r="GH6" s="36"/>
      <c r="GI6" s="36"/>
      <c r="GJ6" s="36"/>
      <c r="GK6" s="36"/>
      <c r="GL6" s="36"/>
      <c r="GM6" s="36"/>
      <c r="GN6" s="36"/>
      <c r="GO6" s="36"/>
      <c r="GP6" s="36"/>
      <c r="GQ6" s="36"/>
      <c r="GR6" s="36"/>
      <c r="GS6" s="36"/>
      <c r="GT6" s="36"/>
      <c r="GU6" s="36">
        <v>0</v>
      </c>
      <c r="GV6" s="36">
        <v>0</v>
      </c>
      <c r="GW6" s="36">
        <v>0</v>
      </c>
      <c r="GX6" s="36">
        <v>0</v>
      </c>
      <c r="GY6" s="36">
        <v>0</v>
      </c>
      <c r="GZ6" s="36">
        <v>0</v>
      </c>
      <c r="HA6" s="36">
        <v>0</v>
      </c>
      <c r="HB6" s="36">
        <v>0</v>
      </c>
      <c r="HC6" s="36">
        <f t="shared" si="0"/>
        <v>15004.489103571585</v>
      </c>
      <c r="HD6" s="36">
        <f>SUM(C$5:C$213)</f>
        <v>15004.489103571586</v>
      </c>
      <c r="HE6" s="41">
        <v>0</v>
      </c>
    </row>
    <row r="7" spans="1:213" x14ac:dyDescent="0.2">
      <c r="A7" s="9" t="s">
        <v>151</v>
      </c>
      <c r="B7" s="36">
        <v>0</v>
      </c>
      <c r="C7" s="36">
        <v>0</v>
      </c>
      <c r="D7" s="36">
        <v>0</v>
      </c>
      <c r="E7" s="36">
        <v>0</v>
      </c>
      <c r="F7" s="36">
        <v>0</v>
      </c>
      <c r="G7" s="36">
        <v>0</v>
      </c>
      <c r="H7" s="36">
        <v>0</v>
      </c>
      <c r="I7" s="36">
        <v>0</v>
      </c>
      <c r="J7" s="36">
        <v>0</v>
      </c>
      <c r="K7" s="36">
        <v>0</v>
      </c>
      <c r="L7" s="36">
        <v>0</v>
      </c>
      <c r="M7" s="36">
        <v>0</v>
      </c>
      <c r="N7" s="36">
        <v>0</v>
      </c>
      <c r="O7" s="36">
        <v>0</v>
      </c>
      <c r="P7" s="36">
        <v>0</v>
      </c>
      <c r="Q7" s="36">
        <v>0</v>
      </c>
      <c r="R7" s="36">
        <v>0</v>
      </c>
      <c r="S7" s="36">
        <v>0</v>
      </c>
      <c r="T7" s="36">
        <v>0</v>
      </c>
      <c r="U7" s="36">
        <v>0</v>
      </c>
      <c r="V7" s="36">
        <v>0</v>
      </c>
      <c r="W7" s="36">
        <v>0</v>
      </c>
      <c r="X7" s="36">
        <v>0</v>
      </c>
      <c r="Y7" s="36">
        <v>0</v>
      </c>
      <c r="Z7" s="36">
        <v>0</v>
      </c>
      <c r="AA7" s="36">
        <v>0</v>
      </c>
      <c r="AB7" s="36">
        <v>0</v>
      </c>
      <c r="AC7" s="36">
        <v>0</v>
      </c>
      <c r="AD7" s="36">
        <v>0</v>
      </c>
      <c r="AE7" s="36">
        <v>0</v>
      </c>
      <c r="AF7" s="36">
        <v>0</v>
      </c>
      <c r="AG7" s="36">
        <v>0</v>
      </c>
      <c r="AH7" s="36">
        <v>0</v>
      </c>
      <c r="AI7" s="36">
        <v>0</v>
      </c>
      <c r="AJ7" s="36">
        <v>0</v>
      </c>
      <c r="AK7" s="36">
        <v>0</v>
      </c>
      <c r="AL7" s="36">
        <v>0</v>
      </c>
      <c r="AM7" s="36">
        <v>0</v>
      </c>
      <c r="AN7" s="36">
        <v>0</v>
      </c>
      <c r="AO7" s="36">
        <v>0</v>
      </c>
      <c r="AP7" s="36">
        <v>0</v>
      </c>
      <c r="AQ7" s="36">
        <v>0</v>
      </c>
      <c r="AR7" s="36">
        <v>0</v>
      </c>
      <c r="AS7" s="36">
        <v>0</v>
      </c>
      <c r="AT7" s="36">
        <v>0</v>
      </c>
      <c r="AU7" s="36">
        <v>0</v>
      </c>
      <c r="AV7" s="36">
        <v>0</v>
      </c>
      <c r="AW7" s="36">
        <v>0</v>
      </c>
      <c r="AX7" s="36">
        <v>0</v>
      </c>
      <c r="AY7" s="36">
        <v>0</v>
      </c>
      <c r="AZ7" s="36">
        <v>0</v>
      </c>
      <c r="BA7" s="36">
        <v>0</v>
      </c>
      <c r="BB7" s="36">
        <v>0</v>
      </c>
      <c r="BC7" s="36">
        <v>0</v>
      </c>
      <c r="BD7" s="36">
        <v>0</v>
      </c>
      <c r="BE7" s="36">
        <v>0</v>
      </c>
      <c r="BF7" s="36">
        <v>0</v>
      </c>
      <c r="BG7" s="36">
        <v>0</v>
      </c>
      <c r="BH7" s="36">
        <v>0</v>
      </c>
      <c r="BI7" s="36">
        <v>0</v>
      </c>
      <c r="BJ7" s="36">
        <v>0</v>
      </c>
      <c r="BK7" s="40">
        <v>0</v>
      </c>
      <c r="BL7" s="40">
        <v>0</v>
      </c>
      <c r="BM7" s="40">
        <v>0</v>
      </c>
      <c r="BN7" s="40">
        <v>0</v>
      </c>
      <c r="BO7" s="40">
        <v>7722.7186014422368</v>
      </c>
      <c r="BP7" s="40">
        <v>0</v>
      </c>
      <c r="BQ7" s="40">
        <v>0</v>
      </c>
      <c r="BR7" s="40">
        <v>0</v>
      </c>
      <c r="BS7" s="40">
        <v>0</v>
      </c>
      <c r="BT7" s="40">
        <v>0</v>
      </c>
      <c r="BU7" s="40">
        <v>0</v>
      </c>
      <c r="BV7" s="40">
        <v>0</v>
      </c>
      <c r="BW7" s="40">
        <v>0</v>
      </c>
      <c r="BX7" s="40">
        <v>12393.081466089836</v>
      </c>
      <c r="BY7" s="40">
        <v>0</v>
      </c>
      <c r="BZ7" s="40">
        <v>0</v>
      </c>
      <c r="CA7" s="40">
        <v>0</v>
      </c>
      <c r="CB7" s="40">
        <v>0</v>
      </c>
      <c r="CC7" s="40">
        <v>0</v>
      </c>
      <c r="CD7" s="40">
        <v>0</v>
      </c>
      <c r="CE7" s="40">
        <v>0</v>
      </c>
      <c r="CF7" s="40">
        <v>0</v>
      </c>
      <c r="CG7" s="40">
        <v>0</v>
      </c>
      <c r="CH7" s="40">
        <v>0</v>
      </c>
      <c r="CI7" s="40">
        <v>0</v>
      </c>
      <c r="CJ7" s="40">
        <v>0</v>
      </c>
      <c r="CK7" s="40">
        <v>0</v>
      </c>
      <c r="CL7" s="40">
        <v>0</v>
      </c>
      <c r="CM7" s="40">
        <v>0</v>
      </c>
      <c r="CN7" s="40">
        <v>0</v>
      </c>
      <c r="CO7" s="40">
        <v>0</v>
      </c>
      <c r="CP7" s="40">
        <v>0</v>
      </c>
      <c r="CQ7" s="40">
        <v>0</v>
      </c>
      <c r="CR7" s="40">
        <v>0</v>
      </c>
      <c r="CS7" s="40">
        <v>0</v>
      </c>
      <c r="CT7" s="40">
        <v>0</v>
      </c>
      <c r="CU7" s="40">
        <v>0</v>
      </c>
      <c r="CV7" s="40">
        <v>0</v>
      </c>
      <c r="CW7" s="40">
        <v>0</v>
      </c>
      <c r="CX7" s="40">
        <v>0</v>
      </c>
      <c r="CY7" s="40">
        <v>0</v>
      </c>
      <c r="CZ7" s="40">
        <v>0</v>
      </c>
      <c r="DA7" s="40">
        <v>0</v>
      </c>
      <c r="DB7" s="40">
        <v>0</v>
      </c>
      <c r="DC7" s="40">
        <v>0</v>
      </c>
      <c r="DD7" s="40">
        <v>0</v>
      </c>
      <c r="DE7" s="40">
        <v>0</v>
      </c>
      <c r="DF7" s="40">
        <v>0</v>
      </c>
      <c r="DG7" s="40">
        <v>0</v>
      </c>
      <c r="DH7" s="40">
        <v>0</v>
      </c>
      <c r="DI7" s="40">
        <v>0</v>
      </c>
      <c r="DJ7" s="40">
        <v>0</v>
      </c>
      <c r="DK7" s="40">
        <v>0</v>
      </c>
      <c r="DL7" s="40">
        <v>0</v>
      </c>
      <c r="DM7" s="40">
        <v>0</v>
      </c>
      <c r="DN7" s="40">
        <v>0</v>
      </c>
      <c r="DO7" s="40">
        <v>0</v>
      </c>
      <c r="DP7" s="40">
        <v>0</v>
      </c>
      <c r="DQ7" s="40">
        <v>0</v>
      </c>
      <c r="DR7" s="40">
        <v>0</v>
      </c>
      <c r="DS7" s="40">
        <v>0</v>
      </c>
      <c r="DT7" s="40">
        <v>0</v>
      </c>
      <c r="DU7" s="40">
        <v>0</v>
      </c>
      <c r="DV7" s="40">
        <v>0</v>
      </c>
      <c r="DW7" s="40">
        <v>0</v>
      </c>
      <c r="DX7" s="40">
        <v>0</v>
      </c>
      <c r="DY7" s="40">
        <v>0</v>
      </c>
      <c r="DZ7" s="40">
        <v>0</v>
      </c>
      <c r="EA7" s="40">
        <v>0</v>
      </c>
      <c r="EB7" s="40">
        <v>0</v>
      </c>
      <c r="EC7" s="40">
        <v>0</v>
      </c>
      <c r="ED7" s="40">
        <v>0</v>
      </c>
      <c r="EE7" s="40">
        <v>0</v>
      </c>
      <c r="EF7" s="40">
        <v>0</v>
      </c>
      <c r="EG7" s="40">
        <v>0</v>
      </c>
      <c r="EH7" s="40">
        <v>0</v>
      </c>
      <c r="EI7" s="40">
        <v>0</v>
      </c>
      <c r="EJ7" s="40">
        <v>0</v>
      </c>
      <c r="EK7" s="40">
        <v>0</v>
      </c>
      <c r="EL7" s="40">
        <v>0</v>
      </c>
      <c r="EM7" s="40">
        <v>0</v>
      </c>
      <c r="EN7" s="40">
        <v>0</v>
      </c>
      <c r="EO7" s="40">
        <v>0</v>
      </c>
      <c r="EP7" s="40">
        <v>0</v>
      </c>
      <c r="EQ7" s="40">
        <v>0</v>
      </c>
      <c r="ER7" s="40">
        <v>0</v>
      </c>
      <c r="ES7" s="40">
        <v>0</v>
      </c>
      <c r="ET7" s="40">
        <v>0</v>
      </c>
      <c r="EU7" s="40">
        <v>0</v>
      </c>
      <c r="EV7" s="40">
        <v>0</v>
      </c>
      <c r="EW7" s="40">
        <v>0</v>
      </c>
      <c r="EX7" s="40">
        <v>0</v>
      </c>
      <c r="EY7" s="40">
        <v>0</v>
      </c>
      <c r="EZ7" s="40">
        <v>0</v>
      </c>
      <c r="FA7" s="40">
        <v>0</v>
      </c>
      <c r="FB7" s="40">
        <v>0</v>
      </c>
      <c r="FC7" s="40">
        <v>0</v>
      </c>
      <c r="FD7" s="40">
        <v>0</v>
      </c>
      <c r="FE7" s="40">
        <v>0</v>
      </c>
      <c r="FF7" s="40">
        <v>0</v>
      </c>
      <c r="FG7" s="40">
        <v>0</v>
      </c>
      <c r="FH7" s="40">
        <v>0</v>
      </c>
      <c r="FI7" s="40">
        <v>0</v>
      </c>
      <c r="FJ7" s="40">
        <v>0</v>
      </c>
      <c r="FK7" s="40">
        <v>0</v>
      </c>
      <c r="FL7" s="40">
        <v>0</v>
      </c>
      <c r="FM7" s="40">
        <v>0</v>
      </c>
      <c r="FN7" s="40">
        <v>0</v>
      </c>
      <c r="FO7" s="36">
        <v>0</v>
      </c>
      <c r="FP7" s="36">
        <v>0</v>
      </c>
      <c r="FQ7" s="36">
        <v>0</v>
      </c>
      <c r="FR7" s="36">
        <v>0</v>
      </c>
      <c r="FS7" s="36">
        <v>0</v>
      </c>
      <c r="FT7" s="36">
        <v>0</v>
      </c>
      <c r="FU7" s="36">
        <v>0</v>
      </c>
      <c r="FV7" s="36">
        <v>0</v>
      </c>
      <c r="FW7" s="36">
        <v>0</v>
      </c>
      <c r="FX7" s="36">
        <v>0</v>
      </c>
      <c r="FY7" s="36">
        <v>0</v>
      </c>
      <c r="FZ7" s="36">
        <v>0</v>
      </c>
      <c r="GA7" s="36">
        <v>0</v>
      </c>
      <c r="GB7" s="36">
        <v>0</v>
      </c>
      <c r="GC7" s="36">
        <v>0</v>
      </c>
      <c r="GD7" s="36">
        <v>0</v>
      </c>
      <c r="GE7" s="36">
        <v>0</v>
      </c>
      <c r="GF7" s="36">
        <v>0</v>
      </c>
      <c r="GG7" s="36"/>
      <c r="GH7" s="36"/>
      <c r="GI7" s="36"/>
      <c r="GJ7" s="36"/>
      <c r="GK7" s="36"/>
      <c r="GL7" s="36"/>
      <c r="GM7" s="36"/>
      <c r="GN7" s="36"/>
      <c r="GO7" s="36"/>
      <c r="GP7" s="36"/>
      <c r="GQ7" s="36"/>
      <c r="GR7" s="36"/>
      <c r="GS7" s="36"/>
      <c r="GT7" s="36"/>
      <c r="GU7" s="36">
        <v>0</v>
      </c>
      <c r="GV7" s="36">
        <v>0</v>
      </c>
      <c r="GW7" s="36">
        <v>0</v>
      </c>
      <c r="GX7" s="36">
        <v>0</v>
      </c>
      <c r="GY7" s="36">
        <v>0</v>
      </c>
      <c r="GZ7" s="36">
        <v>0</v>
      </c>
      <c r="HA7" s="36">
        <v>0</v>
      </c>
      <c r="HB7" s="36">
        <v>0</v>
      </c>
      <c r="HC7" s="36">
        <f t="shared" si="0"/>
        <v>20115.800067532073</v>
      </c>
      <c r="HD7" s="36">
        <f>SUM(D$5:D$213)</f>
        <v>20115.800067532065</v>
      </c>
      <c r="HE7" s="41">
        <v>0</v>
      </c>
    </row>
    <row r="8" spans="1:213" x14ac:dyDescent="0.2">
      <c r="A8" s="9" t="s">
        <v>154</v>
      </c>
      <c r="B8" s="36">
        <v>0</v>
      </c>
      <c r="C8" s="36">
        <v>0</v>
      </c>
      <c r="D8" s="36">
        <v>0</v>
      </c>
      <c r="E8" s="36">
        <v>0</v>
      </c>
      <c r="F8" s="36">
        <v>0</v>
      </c>
      <c r="G8" s="36">
        <v>0</v>
      </c>
      <c r="H8" s="36">
        <v>0</v>
      </c>
      <c r="I8" s="36">
        <v>0</v>
      </c>
      <c r="J8" s="36">
        <v>0</v>
      </c>
      <c r="K8" s="36">
        <v>0</v>
      </c>
      <c r="L8" s="36">
        <v>0</v>
      </c>
      <c r="M8" s="36">
        <v>0</v>
      </c>
      <c r="N8" s="36">
        <v>0</v>
      </c>
      <c r="O8" s="36">
        <v>0</v>
      </c>
      <c r="P8" s="36">
        <v>0</v>
      </c>
      <c r="Q8" s="36">
        <v>0</v>
      </c>
      <c r="R8" s="36">
        <v>0</v>
      </c>
      <c r="S8" s="36">
        <v>0</v>
      </c>
      <c r="T8" s="36">
        <v>0</v>
      </c>
      <c r="U8" s="36">
        <v>0</v>
      </c>
      <c r="V8" s="36">
        <v>0</v>
      </c>
      <c r="W8" s="36">
        <v>0</v>
      </c>
      <c r="X8" s="36">
        <v>0</v>
      </c>
      <c r="Y8" s="36">
        <v>0</v>
      </c>
      <c r="Z8" s="36">
        <v>0</v>
      </c>
      <c r="AA8" s="36">
        <v>0</v>
      </c>
      <c r="AB8" s="36">
        <v>0</v>
      </c>
      <c r="AC8" s="36">
        <v>0</v>
      </c>
      <c r="AD8" s="36">
        <v>0</v>
      </c>
      <c r="AE8" s="36">
        <v>0</v>
      </c>
      <c r="AF8" s="36">
        <v>0</v>
      </c>
      <c r="AG8" s="36">
        <v>0</v>
      </c>
      <c r="AH8" s="36">
        <v>0</v>
      </c>
      <c r="AI8" s="36">
        <v>0</v>
      </c>
      <c r="AJ8" s="36">
        <v>0</v>
      </c>
      <c r="AK8" s="36">
        <v>0</v>
      </c>
      <c r="AL8" s="36">
        <v>0</v>
      </c>
      <c r="AM8" s="36">
        <v>0</v>
      </c>
      <c r="AN8" s="36">
        <v>0</v>
      </c>
      <c r="AO8" s="36">
        <v>0</v>
      </c>
      <c r="AP8" s="36">
        <v>0</v>
      </c>
      <c r="AQ8" s="36">
        <v>0</v>
      </c>
      <c r="AR8" s="36">
        <v>0</v>
      </c>
      <c r="AS8" s="36">
        <v>0</v>
      </c>
      <c r="AT8" s="36">
        <v>0</v>
      </c>
      <c r="AU8" s="36">
        <v>0</v>
      </c>
      <c r="AV8" s="36">
        <v>0</v>
      </c>
      <c r="AW8" s="36">
        <v>0</v>
      </c>
      <c r="AX8" s="36">
        <v>0</v>
      </c>
      <c r="AY8" s="36">
        <v>0</v>
      </c>
      <c r="AZ8" s="36">
        <v>0</v>
      </c>
      <c r="BA8" s="36">
        <v>0</v>
      </c>
      <c r="BB8" s="36">
        <v>0</v>
      </c>
      <c r="BC8" s="36">
        <v>0</v>
      </c>
      <c r="BD8" s="36">
        <v>0</v>
      </c>
      <c r="BE8" s="36">
        <v>0</v>
      </c>
      <c r="BF8" s="36">
        <v>0</v>
      </c>
      <c r="BG8" s="36">
        <v>0</v>
      </c>
      <c r="BH8" s="36">
        <v>0</v>
      </c>
      <c r="BI8" s="36">
        <v>0</v>
      </c>
      <c r="BJ8" s="36">
        <v>0</v>
      </c>
      <c r="BK8" s="40">
        <v>0</v>
      </c>
      <c r="BL8" s="40">
        <v>0</v>
      </c>
      <c r="BM8" s="40">
        <v>0</v>
      </c>
      <c r="BN8" s="40">
        <v>0</v>
      </c>
      <c r="BO8" s="40">
        <v>0</v>
      </c>
      <c r="BP8" s="40">
        <v>134732.53846337632</v>
      </c>
      <c r="BQ8" s="40">
        <v>0</v>
      </c>
      <c r="BR8" s="40">
        <v>0</v>
      </c>
      <c r="BS8" s="40">
        <v>0</v>
      </c>
      <c r="BT8" s="40">
        <v>433.60751650993313</v>
      </c>
      <c r="BU8" s="40">
        <v>0</v>
      </c>
      <c r="BV8" s="40">
        <v>0</v>
      </c>
      <c r="BW8" s="40">
        <v>0</v>
      </c>
      <c r="BX8" s="40">
        <v>0</v>
      </c>
      <c r="BY8" s="40">
        <v>0</v>
      </c>
      <c r="BZ8" s="40">
        <v>0</v>
      </c>
      <c r="CA8" s="40">
        <v>0</v>
      </c>
      <c r="CB8" s="40">
        <v>0</v>
      </c>
      <c r="CC8" s="40">
        <v>0</v>
      </c>
      <c r="CD8" s="40">
        <v>0</v>
      </c>
      <c r="CE8" s="40">
        <v>0</v>
      </c>
      <c r="CF8" s="40">
        <v>0</v>
      </c>
      <c r="CG8" s="40">
        <v>0</v>
      </c>
      <c r="CH8" s="40">
        <v>0</v>
      </c>
      <c r="CI8" s="40">
        <v>0</v>
      </c>
      <c r="CJ8" s="40">
        <v>0</v>
      </c>
      <c r="CK8" s="40">
        <v>0</v>
      </c>
      <c r="CL8" s="40">
        <v>0</v>
      </c>
      <c r="CM8" s="40">
        <v>0</v>
      </c>
      <c r="CN8" s="40">
        <v>0</v>
      </c>
      <c r="CO8" s="40">
        <v>0</v>
      </c>
      <c r="CP8" s="40">
        <v>0</v>
      </c>
      <c r="CQ8" s="40">
        <v>0</v>
      </c>
      <c r="CR8" s="40">
        <v>0</v>
      </c>
      <c r="CS8" s="40">
        <v>0</v>
      </c>
      <c r="CT8" s="40">
        <v>0</v>
      </c>
      <c r="CU8" s="40">
        <v>0</v>
      </c>
      <c r="CV8" s="40">
        <v>0</v>
      </c>
      <c r="CW8" s="40">
        <v>0</v>
      </c>
      <c r="CX8" s="40">
        <v>0</v>
      </c>
      <c r="CY8" s="40">
        <v>0</v>
      </c>
      <c r="CZ8" s="40">
        <v>0</v>
      </c>
      <c r="DA8" s="40">
        <v>0</v>
      </c>
      <c r="DB8" s="40">
        <v>0</v>
      </c>
      <c r="DC8" s="40">
        <v>0</v>
      </c>
      <c r="DD8" s="40">
        <v>0</v>
      </c>
      <c r="DE8" s="40">
        <v>0</v>
      </c>
      <c r="DF8" s="40">
        <v>0</v>
      </c>
      <c r="DG8" s="40">
        <v>0</v>
      </c>
      <c r="DH8" s="40">
        <v>0</v>
      </c>
      <c r="DI8" s="40">
        <v>0</v>
      </c>
      <c r="DJ8" s="40">
        <v>0</v>
      </c>
      <c r="DK8" s="40">
        <v>0</v>
      </c>
      <c r="DL8" s="40">
        <v>0</v>
      </c>
      <c r="DM8" s="40">
        <v>0</v>
      </c>
      <c r="DN8" s="40">
        <v>0</v>
      </c>
      <c r="DO8" s="40">
        <v>0</v>
      </c>
      <c r="DP8" s="40">
        <v>0</v>
      </c>
      <c r="DQ8" s="40">
        <v>0</v>
      </c>
      <c r="DR8" s="40">
        <v>0</v>
      </c>
      <c r="DS8" s="40">
        <v>0</v>
      </c>
      <c r="DT8" s="40">
        <v>0</v>
      </c>
      <c r="DU8" s="40">
        <v>0</v>
      </c>
      <c r="DV8" s="40">
        <v>0</v>
      </c>
      <c r="DW8" s="40">
        <v>0</v>
      </c>
      <c r="DX8" s="40">
        <v>0</v>
      </c>
      <c r="DY8" s="40">
        <v>0</v>
      </c>
      <c r="DZ8" s="40">
        <v>0</v>
      </c>
      <c r="EA8" s="40">
        <v>0</v>
      </c>
      <c r="EB8" s="40">
        <v>0</v>
      </c>
      <c r="EC8" s="40">
        <v>0</v>
      </c>
      <c r="ED8" s="40">
        <v>0</v>
      </c>
      <c r="EE8" s="40">
        <v>0</v>
      </c>
      <c r="EF8" s="40">
        <v>0</v>
      </c>
      <c r="EG8" s="40">
        <v>0</v>
      </c>
      <c r="EH8" s="40">
        <v>0</v>
      </c>
      <c r="EI8" s="40">
        <v>0</v>
      </c>
      <c r="EJ8" s="40">
        <v>0</v>
      </c>
      <c r="EK8" s="40">
        <v>0</v>
      </c>
      <c r="EL8" s="40">
        <v>0</v>
      </c>
      <c r="EM8" s="40">
        <v>0</v>
      </c>
      <c r="EN8" s="40">
        <v>0</v>
      </c>
      <c r="EO8" s="40">
        <v>0</v>
      </c>
      <c r="EP8" s="40">
        <v>0</v>
      </c>
      <c r="EQ8" s="40">
        <v>0</v>
      </c>
      <c r="ER8" s="40">
        <v>0</v>
      </c>
      <c r="ES8" s="40">
        <v>0</v>
      </c>
      <c r="ET8" s="40">
        <v>0</v>
      </c>
      <c r="EU8" s="40">
        <v>0</v>
      </c>
      <c r="EV8" s="40">
        <v>0</v>
      </c>
      <c r="EW8" s="40">
        <v>0</v>
      </c>
      <c r="EX8" s="40">
        <v>0</v>
      </c>
      <c r="EY8" s="40">
        <v>0</v>
      </c>
      <c r="EZ8" s="40">
        <v>0</v>
      </c>
      <c r="FA8" s="40">
        <v>0</v>
      </c>
      <c r="FB8" s="40">
        <v>0</v>
      </c>
      <c r="FC8" s="40">
        <v>0</v>
      </c>
      <c r="FD8" s="40">
        <v>0</v>
      </c>
      <c r="FE8" s="40">
        <v>0</v>
      </c>
      <c r="FF8" s="40">
        <v>13485.822180149513</v>
      </c>
      <c r="FG8" s="40">
        <v>0</v>
      </c>
      <c r="FH8" s="40">
        <v>0</v>
      </c>
      <c r="FI8" s="40">
        <v>0</v>
      </c>
      <c r="FJ8" s="40">
        <v>0</v>
      </c>
      <c r="FK8" s="40">
        <v>0</v>
      </c>
      <c r="FL8" s="40">
        <v>0</v>
      </c>
      <c r="FM8" s="40">
        <v>0</v>
      </c>
      <c r="FN8" s="40">
        <v>0</v>
      </c>
      <c r="FO8" s="36">
        <v>0</v>
      </c>
      <c r="FP8" s="36">
        <v>0</v>
      </c>
      <c r="FQ8" s="36">
        <v>0</v>
      </c>
      <c r="FR8" s="36">
        <v>0</v>
      </c>
      <c r="FS8" s="36">
        <v>0</v>
      </c>
      <c r="FT8" s="36">
        <v>0</v>
      </c>
      <c r="FU8" s="36">
        <v>0</v>
      </c>
      <c r="FV8" s="36">
        <v>0</v>
      </c>
      <c r="FW8" s="36">
        <v>0</v>
      </c>
      <c r="FX8" s="36">
        <v>0</v>
      </c>
      <c r="FY8" s="36">
        <v>0</v>
      </c>
      <c r="FZ8" s="36">
        <v>0</v>
      </c>
      <c r="GA8" s="36">
        <v>0</v>
      </c>
      <c r="GB8" s="36">
        <v>0</v>
      </c>
      <c r="GC8" s="36">
        <v>0</v>
      </c>
      <c r="GD8" s="36">
        <v>0</v>
      </c>
      <c r="GE8" s="36">
        <v>0</v>
      </c>
      <c r="GF8" s="36">
        <v>0</v>
      </c>
      <c r="GG8" s="36"/>
      <c r="GH8" s="36"/>
      <c r="GI8" s="36"/>
      <c r="GJ8" s="36"/>
      <c r="GK8" s="36"/>
      <c r="GL8" s="36"/>
      <c r="GM8" s="36"/>
      <c r="GN8" s="36"/>
      <c r="GO8" s="36"/>
      <c r="GP8" s="36"/>
      <c r="GQ8" s="36"/>
      <c r="GR8" s="36"/>
      <c r="GS8" s="36"/>
      <c r="GT8" s="36"/>
      <c r="GU8" s="36">
        <v>0</v>
      </c>
      <c r="GV8" s="36">
        <v>0</v>
      </c>
      <c r="GW8" s="36">
        <v>0</v>
      </c>
      <c r="GX8" s="36">
        <v>0</v>
      </c>
      <c r="GY8" s="36">
        <v>0</v>
      </c>
      <c r="GZ8" s="36">
        <v>0</v>
      </c>
      <c r="HA8" s="36">
        <v>0</v>
      </c>
      <c r="HB8" s="36">
        <v>0</v>
      </c>
      <c r="HC8" s="36">
        <f t="shared" si="0"/>
        <v>148651.96816003579</v>
      </c>
      <c r="HD8" s="36">
        <f>SUM(E$5:E$213)</f>
        <v>148651.96816003579</v>
      </c>
      <c r="HE8" s="41">
        <v>0</v>
      </c>
    </row>
    <row r="9" spans="1:213" hidden="1" outlineLevel="1" x14ac:dyDescent="0.2">
      <c r="A9" s="9" t="s">
        <v>158</v>
      </c>
      <c r="B9" s="36">
        <v>0</v>
      </c>
      <c r="C9" s="36">
        <v>0</v>
      </c>
      <c r="D9" s="36">
        <v>0</v>
      </c>
      <c r="E9" s="36">
        <v>0</v>
      </c>
      <c r="F9" s="36">
        <v>0</v>
      </c>
      <c r="G9" s="36">
        <v>0</v>
      </c>
      <c r="H9" s="36">
        <v>0</v>
      </c>
      <c r="I9" s="36">
        <v>0</v>
      </c>
      <c r="J9" s="36">
        <v>0</v>
      </c>
      <c r="K9" s="36">
        <v>0</v>
      </c>
      <c r="L9" s="36">
        <v>0</v>
      </c>
      <c r="M9" s="36">
        <v>0</v>
      </c>
      <c r="N9" s="36">
        <v>0</v>
      </c>
      <c r="O9" s="36">
        <v>0</v>
      </c>
      <c r="P9" s="36">
        <v>0</v>
      </c>
      <c r="Q9" s="36">
        <v>0</v>
      </c>
      <c r="R9" s="36">
        <v>0</v>
      </c>
      <c r="S9" s="36">
        <v>0</v>
      </c>
      <c r="T9" s="36">
        <v>0</v>
      </c>
      <c r="U9" s="36">
        <v>0</v>
      </c>
      <c r="V9" s="36">
        <v>0</v>
      </c>
      <c r="W9" s="36">
        <v>0</v>
      </c>
      <c r="X9" s="36">
        <v>0</v>
      </c>
      <c r="Y9" s="36">
        <v>0</v>
      </c>
      <c r="Z9" s="36">
        <v>0</v>
      </c>
      <c r="AA9" s="36">
        <v>0</v>
      </c>
      <c r="AB9" s="36">
        <v>0</v>
      </c>
      <c r="AC9" s="36">
        <v>0</v>
      </c>
      <c r="AD9" s="36">
        <v>0</v>
      </c>
      <c r="AE9" s="36">
        <v>0</v>
      </c>
      <c r="AF9" s="36">
        <v>0</v>
      </c>
      <c r="AG9" s="36">
        <v>0</v>
      </c>
      <c r="AH9" s="36">
        <v>0</v>
      </c>
      <c r="AI9" s="36">
        <v>0</v>
      </c>
      <c r="AJ9" s="36">
        <v>0</v>
      </c>
      <c r="AK9" s="36">
        <v>0</v>
      </c>
      <c r="AL9" s="36">
        <v>0</v>
      </c>
      <c r="AM9" s="36">
        <v>0</v>
      </c>
      <c r="AN9" s="36">
        <v>0</v>
      </c>
      <c r="AO9" s="36">
        <v>0</v>
      </c>
      <c r="AP9" s="36">
        <v>0</v>
      </c>
      <c r="AQ9" s="36">
        <v>0</v>
      </c>
      <c r="AR9" s="36">
        <v>0</v>
      </c>
      <c r="AS9" s="36">
        <v>0</v>
      </c>
      <c r="AT9" s="36">
        <v>0</v>
      </c>
      <c r="AU9" s="36">
        <v>0</v>
      </c>
      <c r="AV9" s="36">
        <v>0</v>
      </c>
      <c r="AW9" s="36">
        <v>0</v>
      </c>
      <c r="AX9" s="36">
        <v>0</v>
      </c>
      <c r="AY9" s="36">
        <v>0</v>
      </c>
      <c r="AZ9" s="36">
        <v>0</v>
      </c>
      <c r="BA9" s="36">
        <v>0</v>
      </c>
      <c r="BB9" s="36">
        <v>0</v>
      </c>
      <c r="BC9" s="36">
        <v>0</v>
      </c>
      <c r="BD9" s="36">
        <v>0</v>
      </c>
      <c r="BE9" s="36">
        <v>0</v>
      </c>
      <c r="BF9" s="36">
        <v>0</v>
      </c>
      <c r="BG9" s="36">
        <v>0</v>
      </c>
      <c r="BH9" s="36">
        <v>0</v>
      </c>
      <c r="BI9" s="36">
        <v>0</v>
      </c>
      <c r="BJ9" s="36">
        <v>0</v>
      </c>
      <c r="BK9" s="40">
        <v>0</v>
      </c>
      <c r="BL9" s="40">
        <v>0</v>
      </c>
      <c r="BM9" s="40">
        <v>0</v>
      </c>
      <c r="BN9" s="40">
        <v>0</v>
      </c>
      <c r="BO9" s="40">
        <v>0</v>
      </c>
      <c r="BP9" s="40">
        <v>0</v>
      </c>
      <c r="BQ9" s="40">
        <v>0</v>
      </c>
      <c r="BR9" s="40">
        <v>0</v>
      </c>
      <c r="BS9" s="40">
        <v>0</v>
      </c>
      <c r="BT9" s="40">
        <v>942.89504892179605</v>
      </c>
      <c r="BU9" s="40">
        <v>0</v>
      </c>
      <c r="BV9" s="40">
        <v>0</v>
      </c>
      <c r="BW9" s="40">
        <v>0</v>
      </c>
      <c r="BX9" s="40">
        <v>0</v>
      </c>
      <c r="BY9" s="40">
        <v>0</v>
      </c>
      <c r="BZ9" s="40">
        <v>0</v>
      </c>
      <c r="CA9" s="40">
        <v>0</v>
      </c>
      <c r="CB9" s="40">
        <v>0</v>
      </c>
      <c r="CC9" s="40">
        <v>0</v>
      </c>
      <c r="CD9" s="40">
        <v>0</v>
      </c>
      <c r="CE9" s="40">
        <v>0</v>
      </c>
      <c r="CF9" s="40">
        <v>0</v>
      </c>
      <c r="CG9" s="40">
        <v>0</v>
      </c>
      <c r="CH9" s="40">
        <v>0</v>
      </c>
      <c r="CI9" s="40">
        <v>0</v>
      </c>
      <c r="CJ9" s="40">
        <v>0</v>
      </c>
      <c r="CK9" s="40">
        <v>0</v>
      </c>
      <c r="CL9" s="40">
        <v>0</v>
      </c>
      <c r="CM9" s="40">
        <v>0</v>
      </c>
      <c r="CN9" s="40">
        <v>0</v>
      </c>
      <c r="CO9" s="40">
        <v>0</v>
      </c>
      <c r="CP9" s="40">
        <v>0</v>
      </c>
      <c r="CQ9" s="40">
        <v>0</v>
      </c>
      <c r="CR9" s="40">
        <v>0</v>
      </c>
      <c r="CS9" s="40">
        <v>0</v>
      </c>
      <c r="CT9" s="40">
        <v>0</v>
      </c>
      <c r="CU9" s="40">
        <v>0</v>
      </c>
      <c r="CV9" s="40">
        <v>0</v>
      </c>
      <c r="CW9" s="40">
        <v>0</v>
      </c>
      <c r="CX9" s="40">
        <v>0</v>
      </c>
      <c r="CY9" s="40">
        <v>0</v>
      </c>
      <c r="CZ9" s="40">
        <v>0</v>
      </c>
      <c r="DA9" s="40">
        <v>0</v>
      </c>
      <c r="DB9" s="40">
        <v>0</v>
      </c>
      <c r="DC9" s="40">
        <v>0</v>
      </c>
      <c r="DD9" s="40">
        <v>0</v>
      </c>
      <c r="DE9" s="40">
        <v>0</v>
      </c>
      <c r="DF9" s="40">
        <v>0</v>
      </c>
      <c r="DG9" s="40">
        <v>0</v>
      </c>
      <c r="DH9" s="40">
        <v>0</v>
      </c>
      <c r="DI9" s="40">
        <v>0</v>
      </c>
      <c r="DJ9" s="40">
        <v>0</v>
      </c>
      <c r="DK9" s="40">
        <v>0</v>
      </c>
      <c r="DL9" s="40">
        <v>0</v>
      </c>
      <c r="DM9" s="40">
        <v>0</v>
      </c>
      <c r="DN9" s="40">
        <v>0</v>
      </c>
      <c r="DO9" s="40">
        <v>0</v>
      </c>
      <c r="DP9" s="40">
        <v>0</v>
      </c>
      <c r="DQ9" s="40">
        <v>0</v>
      </c>
      <c r="DR9" s="40">
        <v>84095.306247314977</v>
      </c>
      <c r="DS9" s="40">
        <v>0</v>
      </c>
      <c r="DT9" s="40">
        <v>0</v>
      </c>
      <c r="DU9" s="40">
        <v>0</v>
      </c>
      <c r="DV9" s="40">
        <v>0</v>
      </c>
      <c r="DW9" s="40">
        <v>0</v>
      </c>
      <c r="DX9" s="40">
        <v>0</v>
      </c>
      <c r="DY9" s="40">
        <v>0</v>
      </c>
      <c r="DZ9" s="40">
        <v>0</v>
      </c>
      <c r="EA9" s="40">
        <v>0</v>
      </c>
      <c r="EB9" s="40">
        <v>0</v>
      </c>
      <c r="EC9" s="40">
        <v>0</v>
      </c>
      <c r="ED9" s="40">
        <v>0</v>
      </c>
      <c r="EE9" s="40">
        <v>0</v>
      </c>
      <c r="EF9" s="40">
        <v>0</v>
      </c>
      <c r="EG9" s="40">
        <v>0</v>
      </c>
      <c r="EH9" s="40">
        <v>0</v>
      </c>
      <c r="EI9" s="40">
        <v>0</v>
      </c>
      <c r="EJ9" s="40">
        <v>0</v>
      </c>
      <c r="EK9" s="40">
        <v>0</v>
      </c>
      <c r="EL9" s="40">
        <v>0</v>
      </c>
      <c r="EM9" s="40">
        <v>0</v>
      </c>
      <c r="EN9" s="40">
        <v>0</v>
      </c>
      <c r="EO9" s="40">
        <v>0</v>
      </c>
      <c r="EP9" s="40">
        <v>0</v>
      </c>
      <c r="EQ9" s="40">
        <v>0</v>
      </c>
      <c r="ER9" s="40">
        <v>0</v>
      </c>
      <c r="ES9" s="40">
        <v>0</v>
      </c>
      <c r="ET9" s="40">
        <v>0</v>
      </c>
      <c r="EU9" s="40">
        <v>0</v>
      </c>
      <c r="EV9" s="40">
        <v>0</v>
      </c>
      <c r="EW9" s="40">
        <v>0</v>
      </c>
      <c r="EX9" s="40">
        <v>0</v>
      </c>
      <c r="EY9" s="40">
        <v>0</v>
      </c>
      <c r="EZ9" s="40">
        <v>0</v>
      </c>
      <c r="FA9" s="40">
        <v>0</v>
      </c>
      <c r="FB9" s="40">
        <v>0</v>
      </c>
      <c r="FC9" s="40">
        <v>0</v>
      </c>
      <c r="FD9" s="40">
        <v>0</v>
      </c>
      <c r="FE9" s="40">
        <v>0</v>
      </c>
      <c r="FF9" s="40">
        <v>1657.5821657132442</v>
      </c>
      <c r="FG9" s="40">
        <v>0</v>
      </c>
      <c r="FH9" s="40">
        <v>0</v>
      </c>
      <c r="FI9" s="40">
        <v>0</v>
      </c>
      <c r="FJ9" s="40">
        <v>0</v>
      </c>
      <c r="FK9" s="40">
        <v>0</v>
      </c>
      <c r="FL9" s="40">
        <v>0</v>
      </c>
      <c r="FM9" s="40">
        <v>0</v>
      </c>
      <c r="FN9" s="40">
        <v>0</v>
      </c>
      <c r="FO9" s="36">
        <v>0</v>
      </c>
      <c r="FP9" s="36">
        <v>0</v>
      </c>
      <c r="FQ9" s="36">
        <v>0</v>
      </c>
      <c r="FR9" s="36">
        <v>0</v>
      </c>
      <c r="FS9" s="36">
        <v>0</v>
      </c>
      <c r="FT9" s="36">
        <v>0</v>
      </c>
      <c r="FU9" s="36">
        <v>0</v>
      </c>
      <c r="FV9" s="36">
        <v>0</v>
      </c>
      <c r="FW9" s="36">
        <v>0</v>
      </c>
      <c r="FX9" s="36">
        <v>0</v>
      </c>
      <c r="FY9" s="36">
        <v>0</v>
      </c>
      <c r="FZ9" s="36">
        <v>0</v>
      </c>
      <c r="GA9" s="36">
        <v>0</v>
      </c>
      <c r="GB9" s="36">
        <v>0</v>
      </c>
      <c r="GC9" s="36">
        <v>0</v>
      </c>
      <c r="GD9" s="36">
        <v>0</v>
      </c>
      <c r="GE9" s="36">
        <v>0</v>
      </c>
      <c r="GF9" s="36">
        <v>0</v>
      </c>
      <c r="GG9" s="36"/>
      <c r="GH9" s="36"/>
      <c r="GI9" s="36"/>
      <c r="GJ9" s="36"/>
      <c r="GK9" s="36"/>
      <c r="GL9" s="36"/>
      <c r="GM9" s="36"/>
      <c r="GN9" s="36"/>
      <c r="GO9" s="36"/>
      <c r="GP9" s="36"/>
      <c r="GQ9" s="36"/>
      <c r="GR9" s="36"/>
      <c r="GS9" s="36"/>
      <c r="GT9" s="36"/>
      <c r="GU9" s="36">
        <v>0</v>
      </c>
      <c r="GV9" s="36">
        <v>0</v>
      </c>
      <c r="GW9" s="36">
        <v>0</v>
      </c>
      <c r="GX9" s="36">
        <v>0</v>
      </c>
      <c r="GY9" s="36">
        <v>0</v>
      </c>
      <c r="GZ9" s="36">
        <v>0</v>
      </c>
      <c r="HA9" s="36">
        <v>0</v>
      </c>
      <c r="HB9" s="36">
        <v>0</v>
      </c>
      <c r="HC9" s="36">
        <f t="shared" si="0"/>
        <v>86695.783461950021</v>
      </c>
      <c r="HD9" s="36">
        <f>SUM(F$5:F$213)</f>
        <v>86695.783461950021</v>
      </c>
      <c r="HE9" s="41">
        <v>0</v>
      </c>
    </row>
    <row r="10" spans="1:213" hidden="1" outlineLevel="1" x14ac:dyDescent="0.2">
      <c r="A10" s="9" t="s">
        <v>161</v>
      </c>
      <c r="B10" s="36">
        <v>0</v>
      </c>
      <c r="C10" s="36">
        <v>0</v>
      </c>
      <c r="D10" s="36">
        <v>0</v>
      </c>
      <c r="E10" s="36">
        <v>0</v>
      </c>
      <c r="F10" s="36">
        <v>0</v>
      </c>
      <c r="G10" s="36">
        <v>0</v>
      </c>
      <c r="H10" s="36">
        <v>0</v>
      </c>
      <c r="I10" s="36">
        <v>0</v>
      </c>
      <c r="J10" s="36">
        <v>0</v>
      </c>
      <c r="K10" s="36">
        <v>0</v>
      </c>
      <c r="L10" s="36">
        <v>0</v>
      </c>
      <c r="M10" s="36">
        <v>0</v>
      </c>
      <c r="N10" s="36">
        <v>0</v>
      </c>
      <c r="O10" s="36">
        <v>0</v>
      </c>
      <c r="P10" s="36">
        <v>0</v>
      </c>
      <c r="Q10" s="36">
        <v>0</v>
      </c>
      <c r="R10" s="36">
        <v>0</v>
      </c>
      <c r="S10" s="36">
        <v>0</v>
      </c>
      <c r="T10" s="36">
        <v>0</v>
      </c>
      <c r="U10" s="36">
        <v>0</v>
      </c>
      <c r="V10" s="36">
        <v>0</v>
      </c>
      <c r="W10" s="36">
        <v>0</v>
      </c>
      <c r="X10" s="36">
        <v>0</v>
      </c>
      <c r="Y10" s="36">
        <v>0</v>
      </c>
      <c r="Z10" s="36">
        <v>0</v>
      </c>
      <c r="AA10" s="36">
        <v>0</v>
      </c>
      <c r="AB10" s="36">
        <v>0</v>
      </c>
      <c r="AC10" s="36">
        <v>0</v>
      </c>
      <c r="AD10" s="36">
        <v>0</v>
      </c>
      <c r="AE10" s="36">
        <v>0</v>
      </c>
      <c r="AF10" s="36">
        <v>0</v>
      </c>
      <c r="AG10" s="36">
        <v>0</v>
      </c>
      <c r="AH10" s="36">
        <v>0</v>
      </c>
      <c r="AI10" s="36">
        <v>0</v>
      </c>
      <c r="AJ10" s="36">
        <v>0</v>
      </c>
      <c r="AK10" s="36">
        <v>0</v>
      </c>
      <c r="AL10" s="36">
        <v>0</v>
      </c>
      <c r="AM10" s="36">
        <v>0</v>
      </c>
      <c r="AN10" s="36">
        <v>0</v>
      </c>
      <c r="AO10" s="36">
        <v>0</v>
      </c>
      <c r="AP10" s="36">
        <v>0</v>
      </c>
      <c r="AQ10" s="36">
        <v>0</v>
      </c>
      <c r="AR10" s="36">
        <v>0</v>
      </c>
      <c r="AS10" s="36">
        <v>0</v>
      </c>
      <c r="AT10" s="36">
        <v>0</v>
      </c>
      <c r="AU10" s="36">
        <v>0</v>
      </c>
      <c r="AV10" s="36">
        <v>0</v>
      </c>
      <c r="AW10" s="36">
        <v>0</v>
      </c>
      <c r="AX10" s="36">
        <v>0</v>
      </c>
      <c r="AY10" s="36">
        <v>0</v>
      </c>
      <c r="AZ10" s="36">
        <v>0</v>
      </c>
      <c r="BA10" s="36">
        <v>0</v>
      </c>
      <c r="BB10" s="36">
        <v>0</v>
      </c>
      <c r="BC10" s="36">
        <v>0</v>
      </c>
      <c r="BD10" s="36">
        <v>0</v>
      </c>
      <c r="BE10" s="36">
        <v>0</v>
      </c>
      <c r="BF10" s="36">
        <v>0</v>
      </c>
      <c r="BG10" s="36">
        <v>0</v>
      </c>
      <c r="BH10" s="36">
        <v>0</v>
      </c>
      <c r="BI10" s="36">
        <v>0</v>
      </c>
      <c r="BJ10" s="36">
        <v>0</v>
      </c>
      <c r="BK10" s="40">
        <v>0</v>
      </c>
      <c r="BL10" s="40">
        <v>0</v>
      </c>
      <c r="BM10" s="40">
        <v>0</v>
      </c>
      <c r="BN10" s="40">
        <v>0</v>
      </c>
      <c r="BO10" s="40">
        <v>0</v>
      </c>
      <c r="BP10" s="40">
        <v>0</v>
      </c>
      <c r="BQ10" s="40">
        <v>0</v>
      </c>
      <c r="BR10" s="40">
        <v>289096.19472094922</v>
      </c>
      <c r="BS10" s="40">
        <v>0</v>
      </c>
      <c r="BT10" s="40">
        <v>11035.011959322452</v>
      </c>
      <c r="BU10" s="40">
        <v>0</v>
      </c>
      <c r="BV10" s="40">
        <v>0</v>
      </c>
      <c r="BW10" s="40">
        <v>0</v>
      </c>
      <c r="BX10" s="40">
        <v>0</v>
      </c>
      <c r="BY10" s="40">
        <v>0</v>
      </c>
      <c r="BZ10" s="40">
        <v>0</v>
      </c>
      <c r="CA10" s="40">
        <v>0</v>
      </c>
      <c r="CB10" s="40">
        <v>0</v>
      </c>
      <c r="CC10" s="40">
        <v>0</v>
      </c>
      <c r="CD10" s="40">
        <v>0</v>
      </c>
      <c r="CE10" s="40">
        <v>0</v>
      </c>
      <c r="CF10" s="40">
        <v>0</v>
      </c>
      <c r="CG10" s="40">
        <v>0</v>
      </c>
      <c r="CH10" s="40">
        <v>0</v>
      </c>
      <c r="CI10" s="40">
        <v>0</v>
      </c>
      <c r="CJ10" s="40">
        <v>0</v>
      </c>
      <c r="CK10" s="40">
        <v>0</v>
      </c>
      <c r="CL10" s="40">
        <v>0</v>
      </c>
      <c r="CM10" s="40">
        <v>0</v>
      </c>
      <c r="CN10" s="40">
        <v>0</v>
      </c>
      <c r="CO10" s="40">
        <v>0</v>
      </c>
      <c r="CP10" s="40">
        <v>0</v>
      </c>
      <c r="CQ10" s="40">
        <v>0</v>
      </c>
      <c r="CR10" s="40">
        <v>0</v>
      </c>
      <c r="CS10" s="40">
        <v>0</v>
      </c>
      <c r="CT10" s="40">
        <v>0</v>
      </c>
      <c r="CU10" s="40">
        <v>0</v>
      </c>
      <c r="CV10" s="40">
        <v>0</v>
      </c>
      <c r="CW10" s="40">
        <v>0</v>
      </c>
      <c r="CX10" s="40">
        <v>0</v>
      </c>
      <c r="CY10" s="40">
        <v>0</v>
      </c>
      <c r="CZ10" s="40">
        <v>0</v>
      </c>
      <c r="DA10" s="40">
        <v>0</v>
      </c>
      <c r="DB10" s="40">
        <v>0</v>
      </c>
      <c r="DC10" s="40">
        <v>0</v>
      </c>
      <c r="DD10" s="40">
        <v>0</v>
      </c>
      <c r="DE10" s="40">
        <v>0</v>
      </c>
      <c r="DF10" s="40">
        <v>0</v>
      </c>
      <c r="DG10" s="40">
        <v>0</v>
      </c>
      <c r="DH10" s="40">
        <v>0</v>
      </c>
      <c r="DI10" s="40">
        <v>0</v>
      </c>
      <c r="DJ10" s="40">
        <v>0</v>
      </c>
      <c r="DK10" s="40">
        <v>0</v>
      </c>
      <c r="DL10" s="40">
        <v>0</v>
      </c>
      <c r="DM10" s="40">
        <v>0</v>
      </c>
      <c r="DN10" s="40">
        <v>0</v>
      </c>
      <c r="DO10" s="40">
        <v>0</v>
      </c>
      <c r="DP10" s="40">
        <v>90362.339401652353</v>
      </c>
      <c r="DQ10" s="40">
        <v>0</v>
      </c>
      <c r="DR10" s="40">
        <v>58039.112088892973</v>
      </c>
      <c r="DS10" s="40">
        <v>0</v>
      </c>
      <c r="DT10" s="40">
        <v>0</v>
      </c>
      <c r="DU10" s="40">
        <v>0</v>
      </c>
      <c r="DV10" s="40">
        <v>0</v>
      </c>
      <c r="DW10" s="40">
        <v>0</v>
      </c>
      <c r="DX10" s="40">
        <v>0</v>
      </c>
      <c r="DY10" s="40">
        <v>0</v>
      </c>
      <c r="DZ10" s="40">
        <v>0</v>
      </c>
      <c r="EA10" s="40">
        <v>0</v>
      </c>
      <c r="EB10" s="40">
        <v>0</v>
      </c>
      <c r="EC10" s="40">
        <v>0</v>
      </c>
      <c r="ED10" s="40">
        <v>0</v>
      </c>
      <c r="EE10" s="40">
        <v>0</v>
      </c>
      <c r="EF10" s="40">
        <v>0</v>
      </c>
      <c r="EG10" s="40">
        <v>0</v>
      </c>
      <c r="EH10" s="40">
        <v>0</v>
      </c>
      <c r="EI10" s="40">
        <v>0</v>
      </c>
      <c r="EJ10" s="40">
        <v>0</v>
      </c>
      <c r="EK10" s="40">
        <v>0</v>
      </c>
      <c r="EL10" s="40">
        <v>0</v>
      </c>
      <c r="EM10" s="40">
        <v>0</v>
      </c>
      <c r="EN10" s="40">
        <v>0</v>
      </c>
      <c r="EO10" s="40">
        <v>0</v>
      </c>
      <c r="EP10" s="40">
        <v>0</v>
      </c>
      <c r="EQ10" s="40">
        <v>0</v>
      </c>
      <c r="ER10" s="40">
        <v>0</v>
      </c>
      <c r="ES10" s="40">
        <v>0</v>
      </c>
      <c r="ET10" s="40">
        <v>0</v>
      </c>
      <c r="EU10" s="40">
        <v>0</v>
      </c>
      <c r="EV10" s="40">
        <v>0</v>
      </c>
      <c r="EW10" s="40">
        <v>0</v>
      </c>
      <c r="EX10" s="40">
        <v>0</v>
      </c>
      <c r="EY10" s="40">
        <v>0</v>
      </c>
      <c r="EZ10" s="40">
        <v>0</v>
      </c>
      <c r="FA10" s="40">
        <v>0</v>
      </c>
      <c r="FB10" s="40">
        <v>0</v>
      </c>
      <c r="FC10" s="40">
        <v>0</v>
      </c>
      <c r="FD10" s="40">
        <v>0</v>
      </c>
      <c r="FE10" s="40">
        <v>0</v>
      </c>
      <c r="FF10" s="40">
        <v>14143.626765915717</v>
      </c>
      <c r="FG10" s="40">
        <v>0</v>
      </c>
      <c r="FH10" s="40">
        <v>0</v>
      </c>
      <c r="FI10" s="40">
        <v>0</v>
      </c>
      <c r="FJ10" s="40">
        <v>0</v>
      </c>
      <c r="FK10" s="40">
        <v>0</v>
      </c>
      <c r="FL10" s="40">
        <v>0</v>
      </c>
      <c r="FM10" s="40">
        <v>0</v>
      </c>
      <c r="FN10" s="40">
        <v>0</v>
      </c>
      <c r="FO10" s="36">
        <v>0</v>
      </c>
      <c r="FP10" s="36">
        <v>0</v>
      </c>
      <c r="FQ10" s="36">
        <v>0</v>
      </c>
      <c r="FR10" s="36">
        <v>0</v>
      </c>
      <c r="FS10" s="36">
        <v>0</v>
      </c>
      <c r="FT10" s="36">
        <v>0</v>
      </c>
      <c r="FU10" s="36">
        <v>0</v>
      </c>
      <c r="FV10" s="36">
        <v>0</v>
      </c>
      <c r="FW10" s="36">
        <v>0</v>
      </c>
      <c r="FX10" s="36">
        <v>0</v>
      </c>
      <c r="FY10" s="36">
        <v>0</v>
      </c>
      <c r="FZ10" s="36">
        <v>0</v>
      </c>
      <c r="GA10" s="36">
        <v>0</v>
      </c>
      <c r="GB10" s="36">
        <v>0</v>
      </c>
      <c r="GC10" s="36">
        <v>0</v>
      </c>
      <c r="GD10" s="36">
        <v>0</v>
      </c>
      <c r="GE10" s="36">
        <v>0</v>
      </c>
      <c r="GF10" s="36">
        <v>0</v>
      </c>
      <c r="GG10" s="36"/>
      <c r="GH10" s="36"/>
      <c r="GI10" s="36"/>
      <c r="GJ10" s="36"/>
      <c r="GK10" s="36"/>
      <c r="GL10" s="36"/>
      <c r="GM10" s="36"/>
      <c r="GN10" s="36"/>
      <c r="GO10" s="36"/>
      <c r="GP10" s="36"/>
      <c r="GQ10" s="36"/>
      <c r="GR10" s="36"/>
      <c r="GS10" s="36"/>
      <c r="GT10" s="36"/>
      <c r="GU10" s="36">
        <v>0</v>
      </c>
      <c r="GV10" s="36">
        <v>0</v>
      </c>
      <c r="GW10" s="36">
        <v>0</v>
      </c>
      <c r="GX10" s="36">
        <v>0</v>
      </c>
      <c r="GY10" s="36">
        <v>0</v>
      </c>
      <c r="GZ10" s="36">
        <v>0</v>
      </c>
      <c r="HA10" s="36">
        <v>0</v>
      </c>
      <c r="HB10" s="36">
        <v>0</v>
      </c>
      <c r="HC10" s="36">
        <f t="shared" si="0"/>
        <v>462676.28493673267</v>
      </c>
      <c r="HD10" s="36">
        <f>SUM(G$5:G$213)</f>
        <v>462676.28493673267</v>
      </c>
      <c r="HE10" s="41">
        <v>0</v>
      </c>
    </row>
    <row r="11" spans="1:213" hidden="1" outlineLevel="1" x14ac:dyDescent="0.2">
      <c r="A11" s="9" t="s">
        <v>166</v>
      </c>
      <c r="B11" s="36">
        <v>0</v>
      </c>
      <c r="C11" s="36">
        <v>0</v>
      </c>
      <c r="D11" s="36">
        <v>0</v>
      </c>
      <c r="E11" s="36">
        <v>0</v>
      </c>
      <c r="F11" s="36">
        <v>0</v>
      </c>
      <c r="G11" s="36">
        <v>0</v>
      </c>
      <c r="H11" s="36">
        <v>0</v>
      </c>
      <c r="I11" s="36">
        <v>0</v>
      </c>
      <c r="J11" s="36">
        <v>0</v>
      </c>
      <c r="K11" s="36">
        <v>0</v>
      </c>
      <c r="L11" s="36">
        <v>0</v>
      </c>
      <c r="M11" s="36">
        <v>0</v>
      </c>
      <c r="N11" s="36">
        <v>0</v>
      </c>
      <c r="O11" s="36">
        <v>0</v>
      </c>
      <c r="P11" s="36">
        <v>0</v>
      </c>
      <c r="Q11" s="36">
        <v>0</v>
      </c>
      <c r="R11" s="36">
        <v>0</v>
      </c>
      <c r="S11" s="36">
        <v>0</v>
      </c>
      <c r="T11" s="36">
        <v>0</v>
      </c>
      <c r="U11" s="36">
        <v>0</v>
      </c>
      <c r="V11" s="36">
        <v>0</v>
      </c>
      <c r="W11" s="36">
        <v>0</v>
      </c>
      <c r="X11" s="36">
        <v>0</v>
      </c>
      <c r="Y11" s="36">
        <v>0</v>
      </c>
      <c r="Z11" s="36">
        <v>0</v>
      </c>
      <c r="AA11" s="36">
        <v>0</v>
      </c>
      <c r="AB11" s="36">
        <v>0</v>
      </c>
      <c r="AC11" s="36">
        <v>0</v>
      </c>
      <c r="AD11" s="36">
        <v>0</v>
      </c>
      <c r="AE11" s="36">
        <v>0</v>
      </c>
      <c r="AF11" s="36">
        <v>0</v>
      </c>
      <c r="AG11" s="36">
        <v>0</v>
      </c>
      <c r="AH11" s="36">
        <v>0</v>
      </c>
      <c r="AI11" s="36">
        <v>0</v>
      </c>
      <c r="AJ11" s="36">
        <v>0</v>
      </c>
      <c r="AK11" s="36">
        <v>0</v>
      </c>
      <c r="AL11" s="36">
        <v>0</v>
      </c>
      <c r="AM11" s="36">
        <v>0</v>
      </c>
      <c r="AN11" s="36">
        <v>0</v>
      </c>
      <c r="AO11" s="36">
        <v>0</v>
      </c>
      <c r="AP11" s="36">
        <v>0</v>
      </c>
      <c r="AQ11" s="36">
        <v>0</v>
      </c>
      <c r="AR11" s="36">
        <v>0</v>
      </c>
      <c r="AS11" s="36">
        <v>0</v>
      </c>
      <c r="AT11" s="36">
        <v>0</v>
      </c>
      <c r="AU11" s="36">
        <v>0</v>
      </c>
      <c r="AV11" s="36">
        <v>0</v>
      </c>
      <c r="AW11" s="36">
        <v>0</v>
      </c>
      <c r="AX11" s="36">
        <v>0</v>
      </c>
      <c r="AY11" s="36">
        <v>0</v>
      </c>
      <c r="AZ11" s="36">
        <v>0</v>
      </c>
      <c r="BA11" s="36">
        <v>0</v>
      </c>
      <c r="BB11" s="36">
        <v>0</v>
      </c>
      <c r="BC11" s="36">
        <v>0</v>
      </c>
      <c r="BD11" s="36">
        <v>0</v>
      </c>
      <c r="BE11" s="36">
        <v>0</v>
      </c>
      <c r="BF11" s="36">
        <v>0</v>
      </c>
      <c r="BG11" s="36">
        <v>0</v>
      </c>
      <c r="BH11" s="36">
        <v>0</v>
      </c>
      <c r="BI11" s="36">
        <v>0</v>
      </c>
      <c r="BJ11" s="36">
        <v>0</v>
      </c>
      <c r="BK11" s="40">
        <v>0</v>
      </c>
      <c r="BL11" s="40">
        <v>0</v>
      </c>
      <c r="BM11" s="40">
        <v>0</v>
      </c>
      <c r="BN11" s="40">
        <v>0</v>
      </c>
      <c r="BO11" s="40">
        <v>0</v>
      </c>
      <c r="BP11" s="40">
        <v>0</v>
      </c>
      <c r="BQ11" s="40">
        <v>16169.798337036576</v>
      </c>
      <c r="BR11" s="40">
        <v>0</v>
      </c>
      <c r="BS11" s="40">
        <v>29533.760122289368</v>
      </c>
      <c r="BT11" s="40">
        <v>22316.53927227213</v>
      </c>
      <c r="BU11" s="40">
        <v>0</v>
      </c>
      <c r="BV11" s="40">
        <v>0</v>
      </c>
      <c r="BW11" s="40">
        <v>0</v>
      </c>
      <c r="BX11" s="40">
        <v>0</v>
      </c>
      <c r="BY11" s="40">
        <v>0</v>
      </c>
      <c r="BZ11" s="40">
        <v>0</v>
      </c>
      <c r="CA11" s="40">
        <v>0</v>
      </c>
      <c r="CB11" s="40">
        <v>0</v>
      </c>
      <c r="CC11" s="40">
        <v>0</v>
      </c>
      <c r="CD11" s="40">
        <v>0</v>
      </c>
      <c r="CE11" s="40">
        <v>0</v>
      </c>
      <c r="CF11" s="40">
        <v>0</v>
      </c>
      <c r="CG11" s="40">
        <v>0</v>
      </c>
      <c r="CH11" s="40">
        <v>0</v>
      </c>
      <c r="CI11" s="40">
        <v>0</v>
      </c>
      <c r="CJ11" s="40">
        <v>0</v>
      </c>
      <c r="CK11" s="40">
        <v>0</v>
      </c>
      <c r="CL11" s="40">
        <v>0</v>
      </c>
      <c r="CM11" s="40">
        <v>0</v>
      </c>
      <c r="CN11" s="40">
        <v>0</v>
      </c>
      <c r="CO11" s="40">
        <v>0</v>
      </c>
      <c r="CP11" s="40">
        <v>0</v>
      </c>
      <c r="CQ11" s="40">
        <v>0</v>
      </c>
      <c r="CR11" s="40">
        <v>0</v>
      </c>
      <c r="CS11" s="40">
        <v>0</v>
      </c>
      <c r="CT11" s="40">
        <v>0</v>
      </c>
      <c r="CU11" s="40">
        <v>0</v>
      </c>
      <c r="CV11" s="40">
        <v>0</v>
      </c>
      <c r="CW11" s="40">
        <v>0</v>
      </c>
      <c r="CX11" s="40">
        <v>0</v>
      </c>
      <c r="CY11" s="40">
        <v>0</v>
      </c>
      <c r="CZ11" s="40">
        <v>0</v>
      </c>
      <c r="DA11" s="40">
        <v>0</v>
      </c>
      <c r="DB11" s="40">
        <v>0</v>
      </c>
      <c r="DC11" s="40">
        <v>0</v>
      </c>
      <c r="DD11" s="40">
        <v>0</v>
      </c>
      <c r="DE11" s="40">
        <v>0</v>
      </c>
      <c r="DF11" s="40">
        <v>0</v>
      </c>
      <c r="DG11" s="40">
        <v>0</v>
      </c>
      <c r="DH11" s="40">
        <v>0</v>
      </c>
      <c r="DI11" s="40">
        <v>0</v>
      </c>
      <c r="DJ11" s="40">
        <v>0</v>
      </c>
      <c r="DK11" s="40">
        <v>0</v>
      </c>
      <c r="DL11" s="40">
        <v>0</v>
      </c>
      <c r="DM11" s="40">
        <v>0</v>
      </c>
      <c r="DN11" s="40">
        <v>0</v>
      </c>
      <c r="DO11" s="40">
        <v>0</v>
      </c>
      <c r="DP11" s="40">
        <v>0</v>
      </c>
      <c r="DQ11" s="40">
        <v>0</v>
      </c>
      <c r="DR11" s="40">
        <v>0</v>
      </c>
      <c r="DS11" s="40">
        <v>0</v>
      </c>
      <c r="DT11" s="40">
        <v>0</v>
      </c>
      <c r="DU11" s="40">
        <v>0</v>
      </c>
      <c r="DV11" s="40">
        <v>0</v>
      </c>
      <c r="DW11" s="40">
        <v>0</v>
      </c>
      <c r="DX11" s="40">
        <v>0</v>
      </c>
      <c r="DY11" s="40">
        <v>0</v>
      </c>
      <c r="DZ11" s="40">
        <v>0</v>
      </c>
      <c r="EA11" s="40">
        <v>0</v>
      </c>
      <c r="EB11" s="40">
        <v>0</v>
      </c>
      <c r="EC11" s="40">
        <v>0</v>
      </c>
      <c r="ED11" s="40">
        <v>0</v>
      </c>
      <c r="EE11" s="40">
        <v>0</v>
      </c>
      <c r="EF11" s="40">
        <v>0</v>
      </c>
      <c r="EG11" s="40">
        <v>0</v>
      </c>
      <c r="EH11" s="40">
        <v>0</v>
      </c>
      <c r="EI11" s="40">
        <v>0</v>
      </c>
      <c r="EJ11" s="40">
        <v>0</v>
      </c>
      <c r="EK11" s="40">
        <v>0</v>
      </c>
      <c r="EL11" s="40">
        <v>0</v>
      </c>
      <c r="EM11" s="40">
        <v>0</v>
      </c>
      <c r="EN11" s="40">
        <v>0</v>
      </c>
      <c r="EO11" s="40">
        <v>0</v>
      </c>
      <c r="EP11" s="40">
        <v>0</v>
      </c>
      <c r="EQ11" s="40">
        <v>0</v>
      </c>
      <c r="ER11" s="40">
        <v>0</v>
      </c>
      <c r="ES11" s="40">
        <v>0</v>
      </c>
      <c r="ET11" s="40">
        <v>0</v>
      </c>
      <c r="EU11" s="40">
        <v>0</v>
      </c>
      <c r="EV11" s="40">
        <v>0</v>
      </c>
      <c r="EW11" s="40">
        <v>0</v>
      </c>
      <c r="EX11" s="40">
        <v>0</v>
      </c>
      <c r="EY11" s="40">
        <v>0</v>
      </c>
      <c r="EZ11" s="40">
        <v>0</v>
      </c>
      <c r="FA11" s="40">
        <v>0</v>
      </c>
      <c r="FB11" s="40">
        <v>0</v>
      </c>
      <c r="FC11" s="40">
        <v>0</v>
      </c>
      <c r="FD11" s="40">
        <v>0</v>
      </c>
      <c r="FE11" s="40">
        <v>0</v>
      </c>
      <c r="FF11" s="40">
        <v>16957.667239966242</v>
      </c>
      <c r="FG11" s="40">
        <v>0</v>
      </c>
      <c r="FH11" s="40">
        <v>0</v>
      </c>
      <c r="FI11" s="40">
        <v>0</v>
      </c>
      <c r="FJ11" s="40">
        <v>0</v>
      </c>
      <c r="FK11" s="40">
        <v>0</v>
      </c>
      <c r="FL11" s="40">
        <v>0</v>
      </c>
      <c r="FM11" s="40">
        <v>0</v>
      </c>
      <c r="FN11" s="40">
        <v>0</v>
      </c>
      <c r="FO11" s="36">
        <v>0</v>
      </c>
      <c r="FP11" s="36">
        <v>0</v>
      </c>
      <c r="FQ11" s="36">
        <v>0</v>
      </c>
      <c r="FR11" s="36">
        <v>0</v>
      </c>
      <c r="FS11" s="36">
        <v>0</v>
      </c>
      <c r="FT11" s="36">
        <v>0</v>
      </c>
      <c r="FU11" s="36">
        <v>0</v>
      </c>
      <c r="FV11" s="36">
        <v>0</v>
      </c>
      <c r="FW11" s="36">
        <v>0</v>
      </c>
      <c r="FX11" s="36">
        <v>0</v>
      </c>
      <c r="FY11" s="36">
        <v>0</v>
      </c>
      <c r="FZ11" s="36">
        <v>0</v>
      </c>
      <c r="GA11" s="36">
        <v>0</v>
      </c>
      <c r="GB11" s="36">
        <v>0</v>
      </c>
      <c r="GC11" s="36">
        <v>0</v>
      </c>
      <c r="GD11" s="36">
        <v>0</v>
      </c>
      <c r="GE11" s="36">
        <v>0</v>
      </c>
      <c r="GF11" s="36">
        <v>0</v>
      </c>
      <c r="GG11" s="36"/>
      <c r="GH11" s="36"/>
      <c r="GI11" s="36"/>
      <c r="GJ11" s="36"/>
      <c r="GK11" s="36"/>
      <c r="GL11" s="36"/>
      <c r="GM11" s="36"/>
      <c r="GN11" s="36"/>
      <c r="GO11" s="36"/>
      <c r="GP11" s="36"/>
      <c r="GQ11" s="36"/>
      <c r="GR11" s="36"/>
      <c r="GS11" s="36"/>
      <c r="GT11" s="36"/>
      <c r="GU11" s="36">
        <v>0</v>
      </c>
      <c r="GV11" s="36">
        <v>0</v>
      </c>
      <c r="GW11" s="36">
        <v>0</v>
      </c>
      <c r="GX11" s="36">
        <v>0</v>
      </c>
      <c r="GY11" s="36">
        <v>0</v>
      </c>
      <c r="GZ11" s="36">
        <v>0</v>
      </c>
      <c r="HA11" s="36">
        <v>0</v>
      </c>
      <c r="HB11" s="36">
        <v>0</v>
      </c>
      <c r="HC11" s="36">
        <f t="shared" si="0"/>
        <v>84977.76497156432</v>
      </c>
      <c r="HD11" s="36">
        <f>SUM(H$5:H$213)</f>
        <v>84977.764971564306</v>
      </c>
      <c r="HE11" s="41">
        <v>0</v>
      </c>
    </row>
    <row r="12" spans="1:213" hidden="1" outlineLevel="1" x14ac:dyDescent="0.2">
      <c r="A12" s="9" t="s">
        <v>171</v>
      </c>
      <c r="B12" s="36">
        <v>0</v>
      </c>
      <c r="C12" s="36">
        <v>0</v>
      </c>
      <c r="D12" s="36">
        <v>0</v>
      </c>
      <c r="E12" s="36">
        <v>0</v>
      </c>
      <c r="F12" s="36">
        <v>0</v>
      </c>
      <c r="G12" s="36">
        <v>0</v>
      </c>
      <c r="H12" s="36">
        <v>0</v>
      </c>
      <c r="I12" s="36">
        <v>0</v>
      </c>
      <c r="J12" s="36">
        <v>0</v>
      </c>
      <c r="K12" s="36">
        <v>0</v>
      </c>
      <c r="L12" s="36">
        <v>0</v>
      </c>
      <c r="M12" s="36">
        <v>0</v>
      </c>
      <c r="N12" s="36">
        <v>0</v>
      </c>
      <c r="O12" s="36">
        <v>0</v>
      </c>
      <c r="P12" s="36">
        <v>0</v>
      </c>
      <c r="Q12" s="36">
        <v>0</v>
      </c>
      <c r="R12" s="36">
        <v>0</v>
      </c>
      <c r="S12" s="36">
        <v>0</v>
      </c>
      <c r="T12" s="36">
        <v>0</v>
      </c>
      <c r="U12" s="36">
        <v>0</v>
      </c>
      <c r="V12" s="36">
        <v>0</v>
      </c>
      <c r="W12" s="36">
        <v>0</v>
      </c>
      <c r="X12" s="36">
        <v>0</v>
      </c>
      <c r="Y12" s="36">
        <v>0</v>
      </c>
      <c r="Z12" s="36">
        <v>0</v>
      </c>
      <c r="AA12" s="36">
        <v>0</v>
      </c>
      <c r="AB12" s="36">
        <v>0</v>
      </c>
      <c r="AC12" s="36">
        <v>0</v>
      </c>
      <c r="AD12" s="36">
        <v>0</v>
      </c>
      <c r="AE12" s="36">
        <v>0</v>
      </c>
      <c r="AF12" s="36">
        <v>0</v>
      </c>
      <c r="AG12" s="36">
        <v>0</v>
      </c>
      <c r="AH12" s="36">
        <v>0</v>
      </c>
      <c r="AI12" s="36">
        <v>0</v>
      </c>
      <c r="AJ12" s="36">
        <v>0</v>
      </c>
      <c r="AK12" s="36">
        <v>0</v>
      </c>
      <c r="AL12" s="36">
        <v>0</v>
      </c>
      <c r="AM12" s="36">
        <v>0</v>
      </c>
      <c r="AN12" s="36">
        <v>0</v>
      </c>
      <c r="AO12" s="36">
        <v>0</v>
      </c>
      <c r="AP12" s="36">
        <v>0</v>
      </c>
      <c r="AQ12" s="36">
        <v>0</v>
      </c>
      <c r="AR12" s="36">
        <v>0</v>
      </c>
      <c r="AS12" s="36">
        <v>0</v>
      </c>
      <c r="AT12" s="36">
        <v>0</v>
      </c>
      <c r="AU12" s="36">
        <v>0</v>
      </c>
      <c r="AV12" s="36">
        <v>0</v>
      </c>
      <c r="AW12" s="36">
        <v>0</v>
      </c>
      <c r="AX12" s="36">
        <v>0</v>
      </c>
      <c r="AY12" s="36">
        <v>0</v>
      </c>
      <c r="AZ12" s="36">
        <v>0</v>
      </c>
      <c r="BA12" s="36">
        <v>0</v>
      </c>
      <c r="BB12" s="36">
        <v>0</v>
      </c>
      <c r="BC12" s="36">
        <v>0</v>
      </c>
      <c r="BD12" s="36">
        <v>0</v>
      </c>
      <c r="BE12" s="36">
        <v>0</v>
      </c>
      <c r="BF12" s="36">
        <v>0</v>
      </c>
      <c r="BG12" s="36">
        <v>0</v>
      </c>
      <c r="BH12" s="36">
        <v>0</v>
      </c>
      <c r="BI12" s="36">
        <v>0</v>
      </c>
      <c r="BJ12" s="36">
        <v>0</v>
      </c>
      <c r="BK12" s="40">
        <v>0</v>
      </c>
      <c r="BL12" s="40">
        <v>0</v>
      </c>
      <c r="BM12" s="40">
        <v>0</v>
      </c>
      <c r="BN12" s="40">
        <v>0</v>
      </c>
      <c r="BO12" s="40">
        <v>0</v>
      </c>
      <c r="BP12" s="40">
        <v>0</v>
      </c>
      <c r="BQ12" s="40">
        <v>0</v>
      </c>
      <c r="BR12" s="40">
        <v>0</v>
      </c>
      <c r="BS12" s="40">
        <v>0</v>
      </c>
      <c r="BT12" s="40">
        <v>0</v>
      </c>
      <c r="BU12" s="40">
        <v>0</v>
      </c>
      <c r="BV12" s="40">
        <v>0</v>
      </c>
      <c r="BW12" s="40">
        <v>56397.630365942765</v>
      </c>
      <c r="BX12" s="40">
        <v>5149.6007312323663</v>
      </c>
      <c r="BY12" s="40">
        <v>10823.400050620034</v>
      </c>
      <c r="BZ12" s="40">
        <v>28035.912263752231</v>
      </c>
      <c r="CA12" s="40">
        <v>42751.204528741699</v>
      </c>
      <c r="CB12" s="40">
        <v>35415.068815561448</v>
      </c>
      <c r="CC12" s="40">
        <v>39147.782906858047</v>
      </c>
      <c r="CD12" s="40">
        <v>32685.534410831398</v>
      </c>
      <c r="CE12" s="40">
        <v>34887.41372114564</v>
      </c>
      <c r="CF12" s="40">
        <v>19881.676484223783</v>
      </c>
      <c r="CG12" s="40">
        <v>13804.86612791175</v>
      </c>
      <c r="CH12" s="40">
        <v>51413.641700498338</v>
      </c>
      <c r="CI12" s="40">
        <v>19.276145569935711</v>
      </c>
      <c r="CJ12" s="40">
        <v>323.06339826699309</v>
      </c>
      <c r="CK12" s="40">
        <v>0</v>
      </c>
      <c r="CL12" s="40">
        <v>0</v>
      </c>
      <c r="CM12" s="40">
        <v>0</v>
      </c>
      <c r="CN12" s="40">
        <v>0</v>
      </c>
      <c r="CO12" s="40">
        <v>0</v>
      </c>
      <c r="CP12" s="40">
        <v>0</v>
      </c>
      <c r="CQ12" s="40">
        <v>0</v>
      </c>
      <c r="CR12" s="40">
        <v>2.1798197627481413</v>
      </c>
      <c r="CS12" s="40">
        <v>0</v>
      </c>
      <c r="CT12" s="40">
        <v>0</v>
      </c>
      <c r="CU12" s="40">
        <v>0.18703117283210807</v>
      </c>
      <c r="CV12" s="40">
        <v>0</v>
      </c>
      <c r="CW12" s="40">
        <v>0</v>
      </c>
      <c r="CX12" s="40">
        <v>0</v>
      </c>
      <c r="CY12" s="40">
        <v>2286.1551112610459</v>
      </c>
      <c r="CZ12" s="40">
        <v>0</v>
      </c>
      <c r="DA12" s="40">
        <v>632.95373906301086</v>
      </c>
      <c r="DB12" s="40">
        <v>1045.0218313198275</v>
      </c>
      <c r="DC12" s="40">
        <v>483.60594781840751</v>
      </c>
      <c r="DD12" s="40">
        <v>0</v>
      </c>
      <c r="DE12" s="40">
        <v>0</v>
      </c>
      <c r="DF12" s="40">
        <v>0</v>
      </c>
      <c r="DG12" s="40">
        <v>0</v>
      </c>
      <c r="DH12" s="40">
        <v>0</v>
      </c>
      <c r="DI12" s="40">
        <v>0</v>
      </c>
      <c r="DJ12" s="40">
        <v>0</v>
      </c>
      <c r="DK12" s="40">
        <v>0</v>
      </c>
      <c r="DL12" s="40">
        <v>0</v>
      </c>
      <c r="DM12" s="40">
        <v>0</v>
      </c>
      <c r="DN12" s="40">
        <v>504.90938689628541</v>
      </c>
      <c r="DO12" s="40">
        <v>2945.0502252333163</v>
      </c>
      <c r="DP12" s="40">
        <v>0</v>
      </c>
      <c r="DQ12" s="40">
        <v>0</v>
      </c>
      <c r="DR12" s="40">
        <v>60.632702961067658</v>
      </c>
      <c r="DS12" s="40">
        <v>13.996909265229629</v>
      </c>
      <c r="DT12" s="40">
        <v>0</v>
      </c>
      <c r="DU12" s="40">
        <v>0</v>
      </c>
      <c r="DV12" s="40">
        <v>0</v>
      </c>
      <c r="DW12" s="40">
        <v>0</v>
      </c>
      <c r="DX12" s="40">
        <v>0</v>
      </c>
      <c r="DY12" s="40">
        <v>0</v>
      </c>
      <c r="DZ12" s="40">
        <v>0</v>
      </c>
      <c r="EA12" s="40">
        <v>0</v>
      </c>
      <c r="EB12" s="40">
        <v>0</v>
      </c>
      <c r="EC12" s="40">
        <v>0</v>
      </c>
      <c r="ED12" s="40">
        <v>0</v>
      </c>
      <c r="EE12" s="40">
        <v>0</v>
      </c>
      <c r="EF12" s="40">
        <v>0</v>
      </c>
      <c r="EG12" s="40">
        <v>0</v>
      </c>
      <c r="EH12" s="40">
        <v>0</v>
      </c>
      <c r="EI12" s="40">
        <v>0</v>
      </c>
      <c r="EJ12" s="40">
        <v>0</v>
      </c>
      <c r="EK12" s="40">
        <v>0</v>
      </c>
      <c r="EL12" s="40">
        <v>0</v>
      </c>
      <c r="EM12" s="40">
        <v>0</v>
      </c>
      <c r="EN12" s="40">
        <v>0</v>
      </c>
      <c r="EO12" s="40">
        <v>0</v>
      </c>
      <c r="EP12" s="40">
        <v>0</v>
      </c>
      <c r="EQ12" s="40">
        <v>0</v>
      </c>
      <c r="ER12" s="40">
        <v>0</v>
      </c>
      <c r="ES12" s="40">
        <v>0</v>
      </c>
      <c r="ET12" s="40">
        <v>0</v>
      </c>
      <c r="EU12" s="40">
        <v>0</v>
      </c>
      <c r="EV12" s="40">
        <v>0</v>
      </c>
      <c r="EW12" s="40">
        <v>0</v>
      </c>
      <c r="EX12" s="40">
        <v>0</v>
      </c>
      <c r="EY12" s="40">
        <v>0</v>
      </c>
      <c r="EZ12" s="40">
        <v>0</v>
      </c>
      <c r="FA12" s="40">
        <v>0</v>
      </c>
      <c r="FB12" s="40">
        <v>0</v>
      </c>
      <c r="FC12" s="40">
        <v>0</v>
      </c>
      <c r="FD12" s="40">
        <v>0</v>
      </c>
      <c r="FE12" s="40">
        <v>0</v>
      </c>
      <c r="FF12" s="40">
        <v>4831.5755270369236</v>
      </c>
      <c r="FG12" s="40">
        <v>0</v>
      </c>
      <c r="FH12" s="40">
        <v>0</v>
      </c>
      <c r="FI12" s="40">
        <v>0</v>
      </c>
      <c r="FJ12" s="40">
        <v>0</v>
      </c>
      <c r="FK12" s="40">
        <v>0</v>
      </c>
      <c r="FL12" s="40">
        <v>0</v>
      </c>
      <c r="FM12" s="40">
        <v>0</v>
      </c>
      <c r="FN12" s="40">
        <v>0</v>
      </c>
      <c r="FO12" s="36">
        <v>0</v>
      </c>
      <c r="FP12" s="36">
        <v>0</v>
      </c>
      <c r="FQ12" s="36">
        <v>0</v>
      </c>
      <c r="FR12" s="36">
        <v>0</v>
      </c>
      <c r="FS12" s="36">
        <v>0</v>
      </c>
      <c r="FT12" s="36">
        <v>0</v>
      </c>
      <c r="FU12" s="36">
        <v>0</v>
      </c>
      <c r="FV12" s="36">
        <v>0</v>
      </c>
      <c r="FW12" s="36">
        <v>0</v>
      </c>
      <c r="FX12" s="36">
        <v>0</v>
      </c>
      <c r="FY12" s="36">
        <v>0</v>
      </c>
      <c r="FZ12" s="36">
        <v>0</v>
      </c>
      <c r="GA12" s="36">
        <v>0</v>
      </c>
      <c r="GB12" s="36">
        <v>0</v>
      </c>
      <c r="GC12" s="36">
        <v>0</v>
      </c>
      <c r="GD12" s="36">
        <v>0</v>
      </c>
      <c r="GE12" s="36">
        <v>0</v>
      </c>
      <c r="GF12" s="36">
        <v>0</v>
      </c>
      <c r="GG12" s="36"/>
      <c r="GH12" s="36"/>
      <c r="GI12" s="36"/>
      <c r="GJ12" s="36"/>
      <c r="GK12" s="36"/>
      <c r="GL12" s="36"/>
      <c r="GM12" s="36"/>
      <c r="GN12" s="36"/>
      <c r="GO12" s="36"/>
      <c r="GP12" s="36"/>
      <c r="GQ12" s="36"/>
      <c r="GR12" s="36"/>
      <c r="GS12" s="36"/>
      <c r="GT12" s="36"/>
      <c r="GU12" s="36">
        <v>0</v>
      </c>
      <c r="GV12" s="36">
        <v>0</v>
      </c>
      <c r="GW12" s="36">
        <v>0</v>
      </c>
      <c r="GX12" s="36">
        <v>0</v>
      </c>
      <c r="GY12" s="36">
        <v>0</v>
      </c>
      <c r="GZ12" s="36">
        <v>0</v>
      </c>
      <c r="HA12" s="36">
        <v>0</v>
      </c>
      <c r="HB12" s="36">
        <v>0</v>
      </c>
      <c r="HC12" s="36">
        <f t="shared" si="0"/>
        <v>383542.33988294716</v>
      </c>
      <c r="HD12" s="36">
        <f>SUM(I$5:I$213)</f>
        <v>383542.3398829471</v>
      </c>
      <c r="HE12" s="41">
        <v>0</v>
      </c>
    </row>
    <row r="13" spans="1:213" hidden="1" outlineLevel="1" x14ac:dyDescent="0.2">
      <c r="A13" s="9" t="s">
        <v>175</v>
      </c>
      <c r="B13" s="36">
        <v>0</v>
      </c>
      <c r="C13" s="36">
        <v>0</v>
      </c>
      <c r="D13" s="36">
        <v>0</v>
      </c>
      <c r="E13" s="36">
        <v>0</v>
      </c>
      <c r="F13" s="36">
        <v>0</v>
      </c>
      <c r="G13" s="36">
        <v>0</v>
      </c>
      <c r="H13" s="36">
        <v>0</v>
      </c>
      <c r="I13" s="36">
        <v>0</v>
      </c>
      <c r="J13" s="36">
        <v>0</v>
      </c>
      <c r="K13" s="36">
        <v>0</v>
      </c>
      <c r="L13" s="36">
        <v>0</v>
      </c>
      <c r="M13" s="36">
        <v>0</v>
      </c>
      <c r="N13" s="36">
        <v>0</v>
      </c>
      <c r="O13" s="36">
        <v>0</v>
      </c>
      <c r="P13" s="36">
        <v>0</v>
      </c>
      <c r="Q13" s="36">
        <v>0</v>
      </c>
      <c r="R13" s="36">
        <v>0</v>
      </c>
      <c r="S13" s="36">
        <v>0</v>
      </c>
      <c r="T13" s="36">
        <v>0</v>
      </c>
      <c r="U13" s="36">
        <v>0</v>
      </c>
      <c r="V13" s="36">
        <v>0</v>
      </c>
      <c r="W13" s="36">
        <v>0</v>
      </c>
      <c r="X13" s="36">
        <v>0</v>
      </c>
      <c r="Y13" s="36">
        <v>0</v>
      </c>
      <c r="Z13" s="36">
        <v>0</v>
      </c>
      <c r="AA13" s="36">
        <v>0</v>
      </c>
      <c r="AB13" s="36">
        <v>0</v>
      </c>
      <c r="AC13" s="36">
        <v>0</v>
      </c>
      <c r="AD13" s="36">
        <v>0</v>
      </c>
      <c r="AE13" s="36">
        <v>0</v>
      </c>
      <c r="AF13" s="36">
        <v>0</v>
      </c>
      <c r="AG13" s="36">
        <v>0</v>
      </c>
      <c r="AH13" s="36">
        <v>0</v>
      </c>
      <c r="AI13" s="36">
        <v>0</v>
      </c>
      <c r="AJ13" s="36">
        <v>0</v>
      </c>
      <c r="AK13" s="36">
        <v>0</v>
      </c>
      <c r="AL13" s="36">
        <v>0</v>
      </c>
      <c r="AM13" s="36">
        <v>0</v>
      </c>
      <c r="AN13" s="36">
        <v>0</v>
      </c>
      <c r="AO13" s="36">
        <v>0</v>
      </c>
      <c r="AP13" s="36">
        <v>0</v>
      </c>
      <c r="AQ13" s="36">
        <v>0</v>
      </c>
      <c r="AR13" s="36">
        <v>0</v>
      </c>
      <c r="AS13" s="36">
        <v>0</v>
      </c>
      <c r="AT13" s="36">
        <v>0</v>
      </c>
      <c r="AU13" s="36">
        <v>0</v>
      </c>
      <c r="AV13" s="36">
        <v>0</v>
      </c>
      <c r="AW13" s="36">
        <v>0</v>
      </c>
      <c r="AX13" s="36">
        <v>0</v>
      </c>
      <c r="AY13" s="36">
        <v>0</v>
      </c>
      <c r="AZ13" s="36">
        <v>0</v>
      </c>
      <c r="BA13" s="36">
        <v>0</v>
      </c>
      <c r="BB13" s="36">
        <v>0</v>
      </c>
      <c r="BC13" s="36">
        <v>0</v>
      </c>
      <c r="BD13" s="36">
        <v>0</v>
      </c>
      <c r="BE13" s="36">
        <v>0</v>
      </c>
      <c r="BF13" s="36">
        <v>0</v>
      </c>
      <c r="BG13" s="36">
        <v>0</v>
      </c>
      <c r="BH13" s="36">
        <v>0</v>
      </c>
      <c r="BI13" s="36">
        <v>0</v>
      </c>
      <c r="BJ13" s="36">
        <v>0</v>
      </c>
      <c r="BK13" s="40">
        <v>0</v>
      </c>
      <c r="BL13" s="40">
        <v>0</v>
      </c>
      <c r="BM13" s="40">
        <v>0</v>
      </c>
      <c r="BN13" s="40">
        <v>0</v>
      </c>
      <c r="BO13" s="40">
        <v>0</v>
      </c>
      <c r="BP13" s="40">
        <v>0</v>
      </c>
      <c r="BQ13" s="40">
        <v>0</v>
      </c>
      <c r="BR13" s="40">
        <v>0</v>
      </c>
      <c r="BS13" s="40">
        <v>0</v>
      </c>
      <c r="BT13" s="40">
        <v>0</v>
      </c>
      <c r="BU13" s="40">
        <v>0</v>
      </c>
      <c r="BV13" s="40">
        <v>0</v>
      </c>
      <c r="BW13" s="40">
        <v>0</v>
      </c>
      <c r="BX13" s="40">
        <v>0</v>
      </c>
      <c r="BY13" s="40">
        <v>0</v>
      </c>
      <c r="BZ13" s="40">
        <v>1562.8626215568768</v>
      </c>
      <c r="CA13" s="40">
        <v>0</v>
      </c>
      <c r="CB13" s="40">
        <v>0</v>
      </c>
      <c r="CC13" s="40">
        <v>22.352097268870626</v>
      </c>
      <c r="CD13" s="40">
        <v>0</v>
      </c>
      <c r="CE13" s="40">
        <v>0</v>
      </c>
      <c r="CF13" s="40">
        <v>0</v>
      </c>
      <c r="CG13" s="40">
        <v>0</v>
      </c>
      <c r="CH13" s="40">
        <v>25.204768871595611</v>
      </c>
      <c r="CI13" s="40">
        <v>76087.372350834165</v>
      </c>
      <c r="CJ13" s="40">
        <v>40937.955262866635</v>
      </c>
      <c r="CK13" s="40">
        <v>16149.415437932326</v>
      </c>
      <c r="CL13" s="40">
        <v>0</v>
      </c>
      <c r="CM13" s="40">
        <v>0</v>
      </c>
      <c r="CN13" s="40">
        <v>0</v>
      </c>
      <c r="CO13" s="40">
        <v>0</v>
      </c>
      <c r="CP13" s="40">
        <v>0</v>
      </c>
      <c r="CQ13" s="40">
        <v>0</v>
      </c>
      <c r="CR13" s="40">
        <v>0</v>
      </c>
      <c r="CS13" s="40">
        <v>0</v>
      </c>
      <c r="CT13" s="40">
        <v>0</v>
      </c>
      <c r="CU13" s="40">
        <v>0</v>
      </c>
      <c r="CV13" s="40">
        <v>0</v>
      </c>
      <c r="CW13" s="40">
        <v>0</v>
      </c>
      <c r="CX13" s="40">
        <v>0</v>
      </c>
      <c r="CY13" s="40">
        <v>0</v>
      </c>
      <c r="CZ13" s="40">
        <v>0</v>
      </c>
      <c r="DA13" s="40">
        <v>0</v>
      </c>
      <c r="DB13" s="40">
        <v>0</v>
      </c>
      <c r="DC13" s="40">
        <v>0</v>
      </c>
      <c r="DD13" s="40">
        <v>0</v>
      </c>
      <c r="DE13" s="40">
        <v>0</v>
      </c>
      <c r="DF13" s="40">
        <v>0</v>
      </c>
      <c r="DG13" s="40">
        <v>0</v>
      </c>
      <c r="DH13" s="40">
        <v>0</v>
      </c>
      <c r="DI13" s="40">
        <v>0</v>
      </c>
      <c r="DJ13" s="40">
        <v>0</v>
      </c>
      <c r="DK13" s="40">
        <v>0</v>
      </c>
      <c r="DL13" s="40">
        <v>0</v>
      </c>
      <c r="DM13" s="40">
        <v>0</v>
      </c>
      <c r="DN13" s="40">
        <v>0</v>
      </c>
      <c r="DO13" s="40">
        <v>2.9322376536659034</v>
      </c>
      <c r="DP13" s="40">
        <v>0</v>
      </c>
      <c r="DQ13" s="40">
        <v>0</v>
      </c>
      <c r="DR13" s="40">
        <v>0</v>
      </c>
      <c r="DS13" s="40">
        <v>0</v>
      </c>
      <c r="DT13" s="40">
        <v>0</v>
      </c>
      <c r="DU13" s="40">
        <v>0</v>
      </c>
      <c r="DV13" s="40">
        <v>0</v>
      </c>
      <c r="DW13" s="40">
        <v>0</v>
      </c>
      <c r="DX13" s="40">
        <v>0</v>
      </c>
      <c r="DY13" s="40">
        <v>0</v>
      </c>
      <c r="DZ13" s="40">
        <v>0</v>
      </c>
      <c r="EA13" s="40">
        <v>0</v>
      </c>
      <c r="EB13" s="40">
        <v>0</v>
      </c>
      <c r="EC13" s="40">
        <v>0</v>
      </c>
      <c r="ED13" s="40">
        <v>0</v>
      </c>
      <c r="EE13" s="40">
        <v>0</v>
      </c>
      <c r="EF13" s="40">
        <v>0</v>
      </c>
      <c r="EG13" s="40">
        <v>0</v>
      </c>
      <c r="EH13" s="40">
        <v>0</v>
      </c>
      <c r="EI13" s="40">
        <v>0</v>
      </c>
      <c r="EJ13" s="40">
        <v>0</v>
      </c>
      <c r="EK13" s="40">
        <v>0</v>
      </c>
      <c r="EL13" s="40">
        <v>0</v>
      </c>
      <c r="EM13" s="40">
        <v>0</v>
      </c>
      <c r="EN13" s="40">
        <v>0</v>
      </c>
      <c r="EO13" s="40">
        <v>0</v>
      </c>
      <c r="EP13" s="40">
        <v>0</v>
      </c>
      <c r="EQ13" s="40">
        <v>0</v>
      </c>
      <c r="ER13" s="40">
        <v>0</v>
      </c>
      <c r="ES13" s="40">
        <v>0</v>
      </c>
      <c r="ET13" s="40">
        <v>0</v>
      </c>
      <c r="EU13" s="40">
        <v>0</v>
      </c>
      <c r="EV13" s="40">
        <v>0</v>
      </c>
      <c r="EW13" s="40">
        <v>0</v>
      </c>
      <c r="EX13" s="40">
        <v>0</v>
      </c>
      <c r="EY13" s="40">
        <v>0</v>
      </c>
      <c r="EZ13" s="40">
        <v>0</v>
      </c>
      <c r="FA13" s="40">
        <v>0</v>
      </c>
      <c r="FB13" s="40">
        <v>0</v>
      </c>
      <c r="FC13" s="40">
        <v>0</v>
      </c>
      <c r="FD13" s="40">
        <v>0</v>
      </c>
      <c r="FE13" s="40">
        <v>0</v>
      </c>
      <c r="FF13" s="40">
        <v>285.68573837161028</v>
      </c>
      <c r="FG13" s="40">
        <v>0</v>
      </c>
      <c r="FH13" s="40">
        <v>0</v>
      </c>
      <c r="FI13" s="40">
        <v>0</v>
      </c>
      <c r="FJ13" s="40">
        <v>0</v>
      </c>
      <c r="FK13" s="40">
        <v>0</v>
      </c>
      <c r="FL13" s="40">
        <v>0</v>
      </c>
      <c r="FM13" s="40">
        <v>0</v>
      </c>
      <c r="FN13" s="40">
        <v>0</v>
      </c>
      <c r="FO13" s="36">
        <v>0</v>
      </c>
      <c r="FP13" s="36">
        <v>0</v>
      </c>
      <c r="FQ13" s="36">
        <v>0</v>
      </c>
      <c r="FR13" s="36">
        <v>0</v>
      </c>
      <c r="FS13" s="36">
        <v>0</v>
      </c>
      <c r="FT13" s="36">
        <v>0</v>
      </c>
      <c r="FU13" s="36">
        <v>0</v>
      </c>
      <c r="FV13" s="36">
        <v>0</v>
      </c>
      <c r="FW13" s="36">
        <v>0</v>
      </c>
      <c r="FX13" s="36">
        <v>0</v>
      </c>
      <c r="FY13" s="36">
        <v>0</v>
      </c>
      <c r="FZ13" s="36">
        <v>0</v>
      </c>
      <c r="GA13" s="36">
        <v>0</v>
      </c>
      <c r="GB13" s="36">
        <v>0</v>
      </c>
      <c r="GC13" s="36">
        <v>0</v>
      </c>
      <c r="GD13" s="36">
        <v>0</v>
      </c>
      <c r="GE13" s="36">
        <v>0</v>
      </c>
      <c r="GF13" s="36">
        <v>0</v>
      </c>
      <c r="GG13" s="36"/>
      <c r="GH13" s="36"/>
      <c r="GI13" s="36"/>
      <c r="GJ13" s="36"/>
      <c r="GK13" s="36"/>
      <c r="GL13" s="36"/>
      <c r="GM13" s="36"/>
      <c r="GN13" s="36"/>
      <c r="GO13" s="36"/>
      <c r="GP13" s="36"/>
      <c r="GQ13" s="36"/>
      <c r="GR13" s="36"/>
      <c r="GS13" s="36"/>
      <c r="GT13" s="36"/>
      <c r="GU13" s="36">
        <v>0</v>
      </c>
      <c r="GV13" s="36">
        <v>0</v>
      </c>
      <c r="GW13" s="36">
        <v>0</v>
      </c>
      <c r="GX13" s="36">
        <v>0</v>
      </c>
      <c r="GY13" s="36">
        <v>0</v>
      </c>
      <c r="GZ13" s="36">
        <v>0</v>
      </c>
      <c r="HA13" s="36">
        <v>0</v>
      </c>
      <c r="HB13" s="36">
        <v>0</v>
      </c>
      <c r="HC13" s="36">
        <f t="shared" si="0"/>
        <v>135073.78051535576</v>
      </c>
      <c r="HD13" s="36">
        <f>SUM(J$5:J$213)</f>
        <v>135073.78051535576</v>
      </c>
      <c r="HE13" s="41">
        <v>0</v>
      </c>
    </row>
    <row r="14" spans="1:213" hidden="1" outlineLevel="1" x14ac:dyDescent="0.2">
      <c r="A14" s="9" t="s">
        <v>180</v>
      </c>
      <c r="B14" s="36">
        <v>0</v>
      </c>
      <c r="C14" s="36">
        <v>0</v>
      </c>
      <c r="D14" s="36">
        <v>0</v>
      </c>
      <c r="E14" s="36">
        <v>0</v>
      </c>
      <c r="F14" s="36">
        <v>0</v>
      </c>
      <c r="G14" s="36">
        <v>0</v>
      </c>
      <c r="H14" s="36">
        <v>0</v>
      </c>
      <c r="I14" s="36">
        <v>0</v>
      </c>
      <c r="J14" s="36">
        <v>0</v>
      </c>
      <c r="K14" s="36">
        <v>0</v>
      </c>
      <c r="L14" s="36">
        <v>0</v>
      </c>
      <c r="M14" s="36">
        <v>0</v>
      </c>
      <c r="N14" s="36">
        <v>0</v>
      </c>
      <c r="O14" s="36">
        <v>0</v>
      </c>
      <c r="P14" s="36">
        <v>0</v>
      </c>
      <c r="Q14" s="36">
        <v>0</v>
      </c>
      <c r="R14" s="36">
        <v>0</v>
      </c>
      <c r="S14" s="36">
        <v>0</v>
      </c>
      <c r="T14" s="36">
        <v>0</v>
      </c>
      <c r="U14" s="36">
        <v>0</v>
      </c>
      <c r="V14" s="36">
        <v>0</v>
      </c>
      <c r="W14" s="36">
        <v>0</v>
      </c>
      <c r="X14" s="36">
        <v>0</v>
      </c>
      <c r="Y14" s="36">
        <v>0</v>
      </c>
      <c r="Z14" s="36">
        <v>0</v>
      </c>
      <c r="AA14" s="36">
        <v>0</v>
      </c>
      <c r="AB14" s="36">
        <v>0</v>
      </c>
      <c r="AC14" s="36">
        <v>0</v>
      </c>
      <c r="AD14" s="36">
        <v>0</v>
      </c>
      <c r="AE14" s="36">
        <v>0</v>
      </c>
      <c r="AF14" s="36">
        <v>0</v>
      </c>
      <c r="AG14" s="36">
        <v>0</v>
      </c>
      <c r="AH14" s="36">
        <v>0</v>
      </c>
      <c r="AI14" s="36">
        <v>0</v>
      </c>
      <c r="AJ14" s="36">
        <v>0</v>
      </c>
      <c r="AK14" s="36">
        <v>0</v>
      </c>
      <c r="AL14" s="36">
        <v>0</v>
      </c>
      <c r="AM14" s="36">
        <v>0</v>
      </c>
      <c r="AN14" s="36">
        <v>0</v>
      </c>
      <c r="AO14" s="36">
        <v>0</v>
      </c>
      <c r="AP14" s="36">
        <v>0</v>
      </c>
      <c r="AQ14" s="36">
        <v>0</v>
      </c>
      <c r="AR14" s="36">
        <v>0</v>
      </c>
      <c r="AS14" s="36">
        <v>0</v>
      </c>
      <c r="AT14" s="36">
        <v>0</v>
      </c>
      <c r="AU14" s="36">
        <v>0</v>
      </c>
      <c r="AV14" s="36">
        <v>0</v>
      </c>
      <c r="AW14" s="36">
        <v>0</v>
      </c>
      <c r="AX14" s="36">
        <v>0</v>
      </c>
      <c r="AY14" s="36">
        <v>0</v>
      </c>
      <c r="AZ14" s="36">
        <v>0</v>
      </c>
      <c r="BA14" s="36">
        <v>0</v>
      </c>
      <c r="BB14" s="36">
        <v>0</v>
      </c>
      <c r="BC14" s="36">
        <v>0</v>
      </c>
      <c r="BD14" s="36">
        <v>0</v>
      </c>
      <c r="BE14" s="36">
        <v>0</v>
      </c>
      <c r="BF14" s="36">
        <v>0</v>
      </c>
      <c r="BG14" s="36">
        <v>0</v>
      </c>
      <c r="BH14" s="36">
        <v>0</v>
      </c>
      <c r="BI14" s="36">
        <v>0</v>
      </c>
      <c r="BJ14" s="36">
        <v>0</v>
      </c>
      <c r="BK14" s="40">
        <v>0</v>
      </c>
      <c r="BL14" s="40">
        <v>0</v>
      </c>
      <c r="BM14" s="40">
        <v>0</v>
      </c>
      <c r="BN14" s="40">
        <v>0</v>
      </c>
      <c r="BO14" s="40">
        <v>0</v>
      </c>
      <c r="BP14" s="40">
        <v>0</v>
      </c>
      <c r="BQ14" s="40">
        <v>0</v>
      </c>
      <c r="BR14" s="40">
        <v>0</v>
      </c>
      <c r="BS14" s="40">
        <v>0</v>
      </c>
      <c r="BT14" s="40">
        <v>0</v>
      </c>
      <c r="BU14" s="40">
        <v>0</v>
      </c>
      <c r="BV14" s="40">
        <v>0</v>
      </c>
      <c r="BW14" s="40">
        <v>0</v>
      </c>
      <c r="BX14" s="40">
        <v>0</v>
      </c>
      <c r="BY14" s="40">
        <v>0</v>
      </c>
      <c r="BZ14" s="40">
        <v>0</v>
      </c>
      <c r="CA14" s="40">
        <v>45.854257148901191</v>
      </c>
      <c r="CB14" s="40">
        <v>0</v>
      </c>
      <c r="CC14" s="40">
        <v>0</v>
      </c>
      <c r="CD14" s="40">
        <v>0</v>
      </c>
      <c r="CE14" s="40">
        <v>0</v>
      </c>
      <c r="CF14" s="40">
        <v>0</v>
      </c>
      <c r="CG14" s="40">
        <v>0</v>
      </c>
      <c r="CH14" s="40">
        <v>0</v>
      </c>
      <c r="CI14" s="40">
        <v>0</v>
      </c>
      <c r="CJ14" s="40">
        <v>0</v>
      </c>
      <c r="CK14" s="40">
        <v>0</v>
      </c>
      <c r="CL14" s="40">
        <v>11710.063614230929</v>
      </c>
      <c r="CM14" s="40">
        <v>6068.7007206861717</v>
      </c>
      <c r="CN14" s="40">
        <v>2570.6383348256441</v>
      </c>
      <c r="CO14" s="40">
        <v>5339.2265527047784</v>
      </c>
      <c r="CP14" s="40">
        <v>355.61084080044304</v>
      </c>
      <c r="CQ14" s="40">
        <v>263.00320661827215</v>
      </c>
      <c r="CR14" s="40">
        <v>0</v>
      </c>
      <c r="CS14" s="40">
        <v>120.03688653611253</v>
      </c>
      <c r="CT14" s="40">
        <v>0</v>
      </c>
      <c r="CU14" s="40">
        <v>0</v>
      </c>
      <c r="CV14" s="40">
        <v>0</v>
      </c>
      <c r="CW14" s="40">
        <v>0</v>
      </c>
      <c r="CX14" s="40">
        <v>0</v>
      </c>
      <c r="CY14" s="40">
        <v>153.16023233976074</v>
      </c>
      <c r="CZ14" s="40">
        <v>0</v>
      </c>
      <c r="DA14" s="40">
        <v>0</v>
      </c>
      <c r="DB14" s="40">
        <v>0</v>
      </c>
      <c r="DC14" s="40">
        <v>162.53549323013027</v>
      </c>
      <c r="DD14" s="40">
        <v>0</v>
      </c>
      <c r="DE14" s="40">
        <v>28.163762588748398</v>
      </c>
      <c r="DF14" s="40">
        <v>30.09277572731455</v>
      </c>
      <c r="DG14" s="40">
        <v>0</v>
      </c>
      <c r="DH14" s="40">
        <v>0</v>
      </c>
      <c r="DI14" s="40">
        <v>0</v>
      </c>
      <c r="DJ14" s="40">
        <v>0</v>
      </c>
      <c r="DK14" s="40">
        <v>0</v>
      </c>
      <c r="DL14" s="40">
        <v>20.074598373072639</v>
      </c>
      <c r="DM14" s="40">
        <v>0</v>
      </c>
      <c r="DN14" s="40">
        <v>0</v>
      </c>
      <c r="DO14" s="40">
        <v>177.65230747459941</v>
      </c>
      <c r="DP14" s="40">
        <v>0</v>
      </c>
      <c r="DQ14" s="40">
        <v>0</v>
      </c>
      <c r="DR14" s="40">
        <v>0</v>
      </c>
      <c r="DS14" s="40">
        <v>0</v>
      </c>
      <c r="DT14" s="40">
        <v>75.812245359220896</v>
      </c>
      <c r="DU14" s="40">
        <v>0</v>
      </c>
      <c r="DV14" s="40">
        <v>0</v>
      </c>
      <c r="DW14" s="40">
        <v>0</v>
      </c>
      <c r="DX14" s="40">
        <v>0</v>
      </c>
      <c r="DY14" s="40">
        <v>0</v>
      </c>
      <c r="DZ14" s="40">
        <v>0</v>
      </c>
      <c r="EA14" s="40">
        <v>0</v>
      </c>
      <c r="EB14" s="40">
        <v>0</v>
      </c>
      <c r="EC14" s="40">
        <v>0</v>
      </c>
      <c r="ED14" s="40">
        <v>140.84144007242372</v>
      </c>
      <c r="EE14" s="40">
        <v>392.72773726169675</v>
      </c>
      <c r="EF14" s="40">
        <v>0</v>
      </c>
      <c r="EG14" s="40">
        <v>0</v>
      </c>
      <c r="EH14" s="40">
        <v>0</v>
      </c>
      <c r="EI14" s="40">
        <v>0</v>
      </c>
      <c r="EJ14" s="40">
        <v>0</v>
      </c>
      <c r="EK14" s="40">
        <v>0</v>
      </c>
      <c r="EL14" s="40">
        <v>0</v>
      </c>
      <c r="EM14" s="40">
        <v>0</v>
      </c>
      <c r="EN14" s="40">
        <v>0</v>
      </c>
      <c r="EO14" s="40">
        <v>0</v>
      </c>
      <c r="EP14" s="40">
        <v>0</v>
      </c>
      <c r="EQ14" s="40">
        <v>0</v>
      </c>
      <c r="ER14" s="40">
        <v>0</v>
      </c>
      <c r="ES14" s="40">
        <v>0</v>
      </c>
      <c r="ET14" s="40">
        <v>0</v>
      </c>
      <c r="EU14" s="40">
        <v>0</v>
      </c>
      <c r="EV14" s="40">
        <v>0</v>
      </c>
      <c r="EW14" s="40">
        <v>0</v>
      </c>
      <c r="EX14" s="40">
        <v>0</v>
      </c>
      <c r="EY14" s="40">
        <v>0</v>
      </c>
      <c r="EZ14" s="40">
        <v>0</v>
      </c>
      <c r="FA14" s="40">
        <v>0</v>
      </c>
      <c r="FB14" s="40">
        <v>0</v>
      </c>
      <c r="FC14" s="40">
        <v>0</v>
      </c>
      <c r="FD14" s="40">
        <v>0</v>
      </c>
      <c r="FE14" s="40">
        <v>0</v>
      </c>
      <c r="FF14" s="40">
        <v>317.24557112705679</v>
      </c>
      <c r="FG14" s="40">
        <v>0</v>
      </c>
      <c r="FH14" s="40">
        <v>0</v>
      </c>
      <c r="FI14" s="40">
        <v>0</v>
      </c>
      <c r="FJ14" s="40">
        <v>0</v>
      </c>
      <c r="FK14" s="40">
        <v>0</v>
      </c>
      <c r="FL14" s="40">
        <v>0</v>
      </c>
      <c r="FM14" s="40">
        <v>0</v>
      </c>
      <c r="FN14" s="40">
        <v>0</v>
      </c>
      <c r="FO14" s="36">
        <v>0</v>
      </c>
      <c r="FP14" s="36">
        <v>0</v>
      </c>
      <c r="FQ14" s="36">
        <v>0</v>
      </c>
      <c r="FR14" s="36">
        <v>0</v>
      </c>
      <c r="FS14" s="36">
        <v>0</v>
      </c>
      <c r="FT14" s="36">
        <v>0</v>
      </c>
      <c r="FU14" s="36">
        <v>0</v>
      </c>
      <c r="FV14" s="36">
        <v>0</v>
      </c>
      <c r="FW14" s="36">
        <v>0</v>
      </c>
      <c r="FX14" s="36">
        <v>0</v>
      </c>
      <c r="FY14" s="36">
        <v>0</v>
      </c>
      <c r="FZ14" s="36">
        <v>0</v>
      </c>
      <c r="GA14" s="36">
        <v>0</v>
      </c>
      <c r="GB14" s="36">
        <v>0</v>
      </c>
      <c r="GC14" s="36">
        <v>0</v>
      </c>
      <c r="GD14" s="36">
        <v>0</v>
      </c>
      <c r="GE14" s="36">
        <v>0</v>
      </c>
      <c r="GF14" s="36">
        <v>0</v>
      </c>
      <c r="GG14" s="36"/>
      <c r="GH14" s="36"/>
      <c r="GI14" s="36"/>
      <c r="GJ14" s="36"/>
      <c r="GK14" s="36"/>
      <c r="GL14" s="36"/>
      <c r="GM14" s="36"/>
      <c r="GN14" s="36"/>
      <c r="GO14" s="36"/>
      <c r="GP14" s="36"/>
      <c r="GQ14" s="36"/>
      <c r="GR14" s="36"/>
      <c r="GS14" s="36"/>
      <c r="GT14" s="36"/>
      <c r="GU14" s="36">
        <v>0</v>
      </c>
      <c r="GV14" s="36">
        <v>0</v>
      </c>
      <c r="GW14" s="36">
        <v>0</v>
      </c>
      <c r="GX14" s="36">
        <v>0</v>
      </c>
      <c r="GY14" s="36">
        <v>0</v>
      </c>
      <c r="GZ14" s="36">
        <v>0</v>
      </c>
      <c r="HA14" s="36">
        <v>0</v>
      </c>
      <c r="HB14" s="36">
        <v>0</v>
      </c>
      <c r="HC14" s="36">
        <f t="shared" si="0"/>
        <v>27971.440577105281</v>
      </c>
      <c r="HD14" s="36">
        <f>SUM(K$5:K$213)</f>
        <v>27971.440577105292</v>
      </c>
      <c r="HE14" s="41">
        <v>0</v>
      </c>
    </row>
    <row r="15" spans="1:213" hidden="1" outlineLevel="1" x14ac:dyDescent="0.2">
      <c r="A15" s="9" t="s">
        <v>185</v>
      </c>
      <c r="B15" s="36">
        <v>0</v>
      </c>
      <c r="C15" s="36">
        <v>0</v>
      </c>
      <c r="D15" s="36">
        <v>0</v>
      </c>
      <c r="E15" s="36">
        <v>0</v>
      </c>
      <c r="F15" s="36">
        <v>0</v>
      </c>
      <c r="G15" s="36">
        <v>0</v>
      </c>
      <c r="H15" s="36">
        <v>0</v>
      </c>
      <c r="I15" s="36">
        <v>0</v>
      </c>
      <c r="J15" s="36">
        <v>0</v>
      </c>
      <c r="K15" s="36">
        <v>0</v>
      </c>
      <c r="L15" s="36">
        <v>0</v>
      </c>
      <c r="M15" s="36">
        <v>0</v>
      </c>
      <c r="N15" s="36">
        <v>0</v>
      </c>
      <c r="O15" s="36">
        <v>0</v>
      </c>
      <c r="P15" s="36">
        <v>0</v>
      </c>
      <c r="Q15" s="36">
        <v>0</v>
      </c>
      <c r="R15" s="36">
        <v>0</v>
      </c>
      <c r="S15" s="36">
        <v>0</v>
      </c>
      <c r="T15" s="36">
        <v>0</v>
      </c>
      <c r="U15" s="36">
        <v>0</v>
      </c>
      <c r="V15" s="36">
        <v>0</v>
      </c>
      <c r="W15" s="36">
        <v>0</v>
      </c>
      <c r="X15" s="36">
        <v>0</v>
      </c>
      <c r="Y15" s="36">
        <v>0</v>
      </c>
      <c r="Z15" s="36">
        <v>0</v>
      </c>
      <c r="AA15" s="36">
        <v>0</v>
      </c>
      <c r="AB15" s="36">
        <v>0</v>
      </c>
      <c r="AC15" s="36">
        <v>0</v>
      </c>
      <c r="AD15" s="36">
        <v>0</v>
      </c>
      <c r="AE15" s="36">
        <v>0</v>
      </c>
      <c r="AF15" s="36">
        <v>0</v>
      </c>
      <c r="AG15" s="36">
        <v>0</v>
      </c>
      <c r="AH15" s="36">
        <v>0</v>
      </c>
      <c r="AI15" s="36">
        <v>0</v>
      </c>
      <c r="AJ15" s="36">
        <v>0</v>
      </c>
      <c r="AK15" s="36">
        <v>0</v>
      </c>
      <c r="AL15" s="36">
        <v>0</v>
      </c>
      <c r="AM15" s="36">
        <v>0</v>
      </c>
      <c r="AN15" s="36">
        <v>0</v>
      </c>
      <c r="AO15" s="36">
        <v>0</v>
      </c>
      <c r="AP15" s="36">
        <v>0</v>
      </c>
      <c r="AQ15" s="36">
        <v>0</v>
      </c>
      <c r="AR15" s="36">
        <v>0</v>
      </c>
      <c r="AS15" s="36">
        <v>0</v>
      </c>
      <c r="AT15" s="36">
        <v>0</v>
      </c>
      <c r="AU15" s="36">
        <v>0</v>
      </c>
      <c r="AV15" s="36">
        <v>0</v>
      </c>
      <c r="AW15" s="36">
        <v>0</v>
      </c>
      <c r="AX15" s="36">
        <v>0</v>
      </c>
      <c r="AY15" s="36">
        <v>0</v>
      </c>
      <c r="AZ15" s="36">
        <v>0</v>
      </c>
      <c r="BA15" s="36">
        <v>0</v>
      </c>
      <c r="BB15" s="36">
        <v>0</v>
      </c>
      <c r="BC15" s="36">
        <v>0</v>
      </c>
      <c r="BD15" s="36">
        <v>0</v>
      </c>
      <c r="BE15" s="36">
        <v>0</v>
      </c>
      <c r="BF15" s="36">
        <v>0</v>
      </c>
      <c r="BG15" s="36">
        <v>0</v>
      </c>
      <c r="BH15" s="36">
        <v>0</v>
      </c>
      <c r="BI15" s="36">
        <v>0</v>
      </c>
      <c r="BJ15" s="36">
        <v>0</v>
      </c>
      <c r="BK15" s="40">
        <v>0</v>
      </c>
      <c r="BL15" s="40">
        <v>0</v>
      </c>
      <c r="BM15" s="40">
        <v>0</v>
      </c>
      <c r="BN15" s="40">
        <v>0</v>
      </c>
      <c r="BO15" s="40">
        <v>0</v>
      </c>
      <c r="BP15" s="40">
        <v>0</v>
      </c>
      <c r="BQ15" s="40">
        <v>0</v>
      </c>
      <c r="BR15" s="40">
        <v>0</v>
      </c>
      <c r="BS15" s="40">
        <v>0</v>
      </c>
      <c r="BT15" s="40">
        <v>0</v>
      </c>
      <c r="BU15" s="40">
        <v>0</v>
      </c>
      <c r="BV15" s="40">
        <v>0</v>
      </c>
      <c r="BW15" s="40">
        <v>0</v>
      </c>
      <c r="BX15" s="40">
        <v>0</v>
      </c>
      <c r="BY15" s="40">
        <v>0</v>
      </c>
      <c r="BZ15" s="40">
        <v>0</v>
      </c>
      <c r="CA15" s="40">
        <v>0</v>
      </c>
      <c r="CB15" s="40">
        <v>0</v>
      </c>
      <c r="CC15" s="40">
        <v>0</v>
      </c>
      <c r="CD15" s="40">
        <v>0</v>
      </c>
      <c r="CE15" s="40">
        <v>0</v>
      </c>
      <c r="CF15" s="40">
        <v>0</v>
      </c>
      <c r="CG15" s="40">
        <v>0</v>
      </c>
      <c r="CH15" s="40">
        <v>0</v>
      </c>
      <c r="CI15" s="40">
        <v>0</v>
      </c>
      <c r="CJ15" s="40">
        <v>0</v>
      </c>
      <c r="CK15" s="40">
        <v>0</v>
      </c>
      <c r="CL15" s="40">
        <v>683.90211503851901</v>
      </c>
      <c r="CM15" s="40">
        <v>3503.0554177765157</v>
      </c>
      <c r="CN15" s="40">
        <v>0</v>
      </c>
      <c r="CO15" s="40">
        <v>2172.0758172306332</v>
      </c>
      <c r="CP15" s="40">
        <v>1502.9271631129993</v>
      </c>
      <c r="CQ15" s="40">
        <v>30934.07315140275</v>
      </c>
      <c r="CR15" s="40">
        <v>0</v>
      </c>
      <c r="CS15" s="40">
        <v>11.30554834167603</v>
      </c>
      <c r="CT15" s="40">
        <v>0</v>
      </c>
      <c r="CU15" s="40">
        <v>0</v>
      </c>
      <c r="CV15" s="40">
        <v>0</v>
      </c>
      <c r="CW15" s="40">
        <v>0</v>
      </c>
      <c r="CX15" s="40">
        <v>0</v>
      </c>
      <c r="CY15" s="40">
        <v>0</v>
      </c>
      <c r="CZ15" s="40">
        <v>0</v>
      </c>
      <c r="DA15" s="40">
        <v>0</v>
      </c>
      <c r="DB15" s="40">
        <v>0</v>
      </c>
      <c r="DC15" s="40">
        <v>0</v>
      </c>
      <c r="DD15" s="40">
        <v>0</v>
      </c>
      <c r="DE15" s="40">
        <v>44.186905656036821</v>
      </c>
      <c r="DF15" s="40">
        <v>0</v>
      </c>
      <c r="DG15" s="40">
        <v>0</v>
      </c>
      <c r="DH15" s="40">
        <v>0</v>
      </c>
      <c r="DI15" s="40">
        <v>0</v>
      </c>
      <c r="DJ15" s="40">
        <v>0</v>
      </c>
      <c r="DK15" s="40">
        <v>0</v>
      </c>
      <c r="DL15" s="40">
        <v>0</v>
      </c>
      <c r="DM15" s="40">
        <v>0</v>
      </c>
      <c r="DN15" s="40">
        <v>0</v>
      </c>
      <c r="DO15" s="40">
        <v>1.817562464612908</v>
      </c>
      <c r="DP15" s="40">
        <v>0</v>
      </c>
      <c r="DQ15" s="40">
        <v>0</v>
      </c>
      <c r="DR15" s="40">
        <v>0</v>
      </c>
      <c r="DS15" s="40">
        <v>0</v>
      </c>
      <c r="DT15" s="40">
        <v>0</v>
      </c>
      <c r="DU15" s="40">
        <v>0</v>
      </c>
      <c r="DV15" s="40">
        <v>0</v>
      </c>
      <c r="DW15" s="40">
        <v>0</v>
      </c>
      <c r="DX15" s="40">
        <v>0</v>
      </c>
      <c r="DY15" s="40">
        <v>0</v>
      </c>
      <c r="DZ15" s="40">
        <v>0</v>
      </c>
      <c r="EA15" s="40">
        <v>0</v>
      </c>
      <c r="EB15" s="40">
        <v>0</v>
      </c>
      <c r="EC15" s="40">
        <v>0</v>
      </c>
      <c r="ED15" s="40">
        <v>0</v>
      </c>
      <c r="EE15" s="40">
        <v>0</v>
      </c>
      <c r="EF15" s="40">
        <v>0</v>
      </c>
      <c r="EG15" s="40">
        <v>0</v>
      </c>
      <c r="EH15" s="40">
        <v>0</v>
      </c>
      <c r="EI15" s="40">
        <v>0</v>
      </c>
      <c r="EJ15" s="40">
        <v>0</v>
      </c>
      <c r="EK15" s="40">
        <v>0</v>
      </c>
      <c r="EL15" s="40">
        <v>0</v>
      </c>
      <c r="EM15" s="40">
        <v>0</v>
      </c>
      <c r="EN15" s="40">
        <v>0</v>
      </c>
      <c r="EO15" s="40">
        <v>0</v>
      </c>
      <c r="EP15" s="40">
        <v>0</v>
      </c>
      <c r="EQ15" s="40">
        <v>0</v>
      </c>
      <c r="ER15" s="40">
        <v>0</v>
      </c>
      <c r="ES15" s="40">
        <v>0</v>
      </c>
      <c r="ET15" s="40">
        <v>0</v>
      </c>
      <c r="EU15" s="40">
        <v>0</v>
      </c>
      <c r="EV15" s="40">
        <v>0</v>
      </c>
      <c r="EW15" s="40">
        <v>0</v>
      </c>
      <c r="EX15" s="40">
        <v>0</v>
      </c>
      <c r="EY15" s="40">
        <v>0</v>
      </c>
      <c r="EZ15" s="40">
        <v>0</v>
      </c>
      <c r="FA15" s="40">
        <v>0</v>
      </c>
      <c r="FB15" s="40">
        <v>0</v>
      </c>
      <c r="FC15" s="40">
        <v>0</v>
      </c>
      <c r="FD15" s="40">
        <v>0</v>
      </c>
      <c r="FE15" s="40">
        <v>0</v>
      </c>
      <c r="FF15" s="40">
        <v>1264.0833091261702</v>
      </c>
      <c r="FG15" s="40">
        <v>0</v>
      </c>
      <c r="FH15" s="40">
        <v>0</v>
      </c>
      <c r="FI15" s="40">
        <v>0</v>
      </c>
      <c r="FJ15" s="40">
        <v>0</v>
      </c>
      <c r="FK15" s="40">
        <v>0</v>
      </c>
      <c r="FL15" s="40">
        <v>0</v>
      </c>
      <c r="FM15" s="40">
        <v>0</v>
      </c>
      <c r="FN15" s="40">
        <v>0</v>
      </c>
      <c r="FO15" s="36">
        <v>0</v>
      </c>
      <c r="FP15" s="36">
        <v>0</v>
      </c>
      <c r="FQ15" s="36">
        <v>0</v>
      </c>
      <c r="FR15" s="36">
        <v>0</v>
      </c>
      <c r="FS15" s="36">
        <v>0</v>
      </c>
      <c r="FT15" s="36">
        <v>0</v>
      </c>
      <c r="FU15" s="36">
        <v>0</v>
      </c>
      <c r="FV15" s="36">
        <v>0</v>
      </c>
      <c r="FW15" s="36">
        <v>0</v>
      </c>
      <c r="FX15" s="36">
        <v>0</v>
      </c>
      <c r="FY15" s="36">
        <v>0</v>
      </c>
      <c r="FZ15" s="36">
        <v>0</v>
      </c>
      <c r="GA15" s="36">
        <v>0</v>
      </c>
      <c r="GB15" s="36">
        <v>0</v>
      </c>
      <c r="GC15" s="36">
        <v>0</v>
      </c>
      <c r="GD15" s="36">
        <v>0</v>
      </c>
      <c r="GE15" s="36">
        <v>0</v>
      </c>
      <c r="GF15" s="36">
        <v>0</v>
      </c>
      <c r="GG15" s="36"/>
      <c r="GH15" s="36"/>
      <c r="GI15" s="36"/>
      <c r="GJ15" s="36"/>
      <c r="GK15" s="36"/>
      <c r="GL15" s="36"/>
      <c r="GM15" s="36"/>
      <c r="GN15" s="36"/>
      <c r="GO15" s="36"/>
      <c r="GP15" s="36"/>
      <c r="GQ15" s="36"/>
      <c r="GR15" s="36"/>
      <c r="GS15" s="36"/>
      <c r="GT15" s="36"/>
      <c r="GU15" s="36">
        <v>0</v>
      </c>
      <c r="GV15" s="36">
        <v>0</v>
      </c>
      <c r="GW15" s="36">
        <v>0</v>
      </c>
      <c r="GX15" s="36">
        <v>0</v>
      </c>
      <c r="GY15" s="36">
        <v>0</v>
      </c>
      <c r="GZ15" s="36">
        <v>0</v>
      </c>
      <c r="HA15" s="36">
        <v>0</v>
      </c>
      <c r="HB15" s="36">
        <v>0</v>
      </c>
      <c r="HC15" s="36">
        <f t="shared" si="0"/>
        <v>40117.426990149906</v>
      </c>
      <c r="HD15" s="36">
        <f>SUM(L$5:L$213)</f>
        <v>40117.426990149906</v>
      </c>
      <c r="HE15" s="41">
        <v>0</v>
      </c>
    </row>
    <row r="16" spans="1:213" hidden="1" outlineLevel="1" x14ac:dyDescent="0.2">
      <c r="A16" s="9" t="s">
        <v>190</v>
      </c>
      <c r="B16" s="36">
        <v>0</v>
      </c>
      <c r="C16" s="36">
        <v>0</v>
      </c>
      <c r="D16" s="36">
        <v>0</v>
      </c>
      <c r="E16" s="36">
        <v>0</v>
      </c>
      <c r="F16" s="36">
        <v>0</v>
      </c>
      <c r="G16" s="36">
        <v>0</v>
      </c>
      <c r="H16" s="36">
        <v>0</v>
      </c>
      <c r="I16" s="36">
        <v>0</v>
      </c>
      <c r="J16" s="36">
        <v>0</v>
      </c>
      <c r="K16" s="36">
        <v>0</v>
      </c>
      <c r="L16" s="36">
        <v>0</v>
      </c>
      <c r="M16" s="36">
        <v>0</v>
      </c>
      <c r="N16" s="36">
        <v>0</v>
      </c>
      <c r="O16" s="36">
        <v>0</v>
      </c>
      <c r="P16" s="36">
        <v>0</v>
      </c>
      <c r="Q16" s="36">
        <v>0</v>
      </c>
      <c r="R16" s="36">
        <v>0</v>
      </c>
      <c r="S16" s="36">
        <v>0</v>
      </c>
      <c r="T16" s="36">
        <v>0</v>
      </c>
      <c r="U16" s="36">
        <v>0</v>
      </c>
      <c r="V16" s="36">
        <v>0</v>
      </c>
      <c r="W16" s="36">
        <v>0</v>
      </c>
      <c r="X16" s="36">
        <v>0</v>
      </c>
      <c r="Y16" s="36">
        <v>0</v>
      </c>
      <c r="Z16" s="36">
        <v>0</v>
      </c>
      <c r="AA16" s="36">
        <v>0</v>
      </c>
      <c r="AB16" s="36">
        <v>0</v>
      </c>
      <c r="AC16" s="36">
        <v>0</v>
      </c>
      <c r="AD16" s="36">
        <v>0</v>
      </c>
      <c r="AE16" s="36">
        <v>0</v>
      </c>
      <c r="AF16" s="36">
        <v>0</v>
      </c>
      <c r="AG16" s="36">
        <v>0</v>
      </c>
      <c r="AH16" s="36">
        <v>0</v>
      </c>
      <c r="AI16" s="36">
        <v>0</v>
      </c>
      <c r="AJ16" s="36">
        <v>0</v>
      </c>
      <c r="AK16" s="36">
        <v>0</v>
      </c>
      <c r="AL16" s="36">
        <v>0</v>
      </c>
      <c r="AM16" s="36">
        <v>0</v>
      </c>
      <c r="AN16" s="36">
        <v>0</v>
      </c>
      <c r="AO16" s="36">
        <v>0</v>
      </c>
      <c r="AP16" s="36">
        <v>0</v>
      </c>
      <c r="AQ16" s="36">
        <v>0</v>
      </c>
      <c r="AR16" s="36">
        <v>0</v>
      </c>
      <c r="AS16" s="36">
        <v>0</v>
      </c>
      <c r="AT16" s="36">
        <v>0</v>
      </c>
      <c r="AU16" s="36">
        <v>0</v>
      </c>
      <c r="AV16" s="36">
        <v>0</v>
      </c>
      <c r="AW16" s="36">
        <v>0</v>
      </c>
      <c r="AX16" s="36">
        <v>0</v>
      </c>
      <c r="AY16" s="36">
        <v>0</v>
      </c>
      <c r="AZ16" s="36">
        <v>0</v>
      </c>
      <c r="BA16" s="36">
        <v>0</v>
      </c>
      <c r="BB16" s="36">
        <v>0</v>
      </c>
      <c r="BC16" s="36">
        <v>0</v>
      </c>
      <c r="BD16" s="36">
        <v>0</v>
      </c>
      <c r="BE16" s="36">
        <v>0</v>
      </c>
      <c r="BF16" s="36">
        <v>0</v>
      </c>
      <c r="BG16" s="36">
        <v>0</v>
      </c>
      <c r="BH16" s="36">
        <v>0</v>
      </c>
      <c r="BI16" s="36">
        <v>0</v>
      </c>
      <c r="BJ16" s="36">
        <v>0</v>
      </c>
      <c r="BK16" s="40">
        <v>0</v>
      </c>
      <c r="BL16" s="40">
        <v>0</v>
      </c>
      <c r="BM16" s="40">
        <v>0</v>
      </c>
      <c r="BN16" s="40">
        <v>0</v>
      </c>
      <c r="BO16" s="40">
        <v>0</v>
      </c>
      <c r="BP16" s="40">
        <v>0</v>
      </c>
      <c r="BQ16" s="40">
        <v>0</v>
      </c>
      <c r="BR16" s="40">
        <v>0</v>
      </c>
      <c r="BS16" s="40">
        <v>0</v>
      </c>
      <c r="BT16" s="40">
        <v>0</v>
      </c>
      <c r="BU16" s="40">
        <v>0</v>
      </c>
      <c r="BV16" s="40">
        <v>0</v>
      </c>
      <c r="BW16" s="40">
        <v>376.83527604538347</v>
      </c>
      <c r="BX16" s="40">
        <v>0</v>
      </c>
      <c r="BY16" s="40">
        <v>0</v>
      </c>
      <c r="BZ16" s="40">
        <v>0</v>
      </c>
      <c r="CA16" s="40">
        <v>6.1137302779425946</v>
      </c>
      <c r="CB16" s="40">
        <v>0</v>
      </c>
      <c r="CC16" s="40">
        <v>0</v>
      </c>
      <c r="CD16" s="40">
        <v>14.282357799076436</v>
      </c>
      <c r="CE16" s="40">
        <v>0</v>
      </c>
      <c r="CF16" s="40">
        <v>0</v>
      </c>
      <c r="CG16" s="40">
        <v>0</v>
      </c>
      <c r="CH16" s="40">
        <v>0</v>
      </c>
      <c r="CI16" s="40">
        <v>0</v>
      </c>
      <c r="CJ16" s="40">
        <v>0</v>
      </c>
      <c r="CK16" s="40">
        <v>0</v>
      </c>
      <c r="CL16" s="40">
        <v>0</v>
      </c>
      <c r="CM16" s="40">
        <v>879.76397868636536</v>
      </c>
      <c r="CN16" s="40">
        <v>0</v>
      </c>
      <c r="CO16" s="40">
        <v>0</v>
      </c>
      <c r="CP16" s="40">
        <v>0</v>
      </c>
      <c r="CQ16" s="40">
        <v>97.282123328262685</v>
      </c>
      <c r="CR16" s="40">
        <v>6552.2979550090331</v>
      </c>
      <c r="CS16" s="40">
        <v>0</v>
      </c>
      <c r="CT16" s="40">
        <v>0</v>
      </c>
      <c r="CU16" s="40">
        <v>0</v>
      </c>
      <c r="CV16" s="40">
        <v>0</v>
      </c>
      <c r="CW16" s="40">
        <v>0</v>
      </c>
      <c r="CX16" s="40">
        <v>0</v>
      </c>
      <c r="CY16" s="40">
        <v>0</v>
      </c>
      <c r="CZ16" s="40">
        <v>0</v>
      </c>
      <c r="DA16" s="40">
        <v>0</v>
      </c>
      <c r="DB16" s="40">
        <v>0</v>
      </c>
      <c r="DC16" s="40">
        <v>0</v>
      </c>
      <c r="DD16" s="40">
        <v>0</v>
      </c>
      <c r="DE16" s="40">
        <v>0</v>
      </c>
      <c r="DF16" s="40">
        <v>0</v>
      </c>
      <c r="DG16" s="40">
        <v>0</v>
      </c>
      <c r="DH16" s="40">
        <v>0</v>
      </c>
      <c r="DI16" s="40">
        <v>0</v>
      </c>
      <c r="DJ16" s="40">
        <v>0</v>
      </c>
      <c r="DK16" s="40">
        <v>0</v>
      </c>
      <c r="DL16" s="40">
        <v>0</v>
      </c>
      <c r="DM16" s="40">
        <v>0</v>
      </c>
      <c r="DN16" s="40">
        <v>9.5560941397365706</v>
      </c>
      <c r="DO16" s="40">
        <v>17.639237935553655</v>
      </c>
      <c r="DP16" s="40">
        <v>0</v>
      </c>
      <c r="DQ16" s="40">
        <v>0</v>
      </c>
      <c r="DR16" s="40">
        <v>0</v>
      </c>
      <c r="DS16" s="40">
        <v>0</v>
      </c>
      <c r="DT16" s="40">
        <v>0</v>
      </c>
      <c r="DU16" s="40">
        <v>0</v>
      </c>
      <c r="DV16" s="40">
        <v>0</v>
      </c>
      <c r="DW16" s="40">
        <v>0</v>
      </c>
      <c r="DX16" s="40">
        <v>0</v>
      </c>
      <c r="DY16" s="40">
        <v>0</v>
      </c>
      <c r="DZ16" s="40">
        <v>0</v>
      </c>
      <c r="EA16" s="40">
        <v>0</v>
      </c>
      <c r="EB16" s="40">
        <v>0</v>
      </c>
      <c r="EC16" s="40">
        <v>0</v>
      </c>
      <c r="ED16" s="40">
        <v>0</v>
      </c>
      <c r="EE16" s="40">
        <v>0</v>
      </c>
      <c r="EF16" s="40">
        <v>0</v>
      </c>
      <c r="EG16" s="40">
        <v>0</v>
      </c>
      <c r="EH16" s="40">
        <v>0</v>
      </c>
      <c r="EI16" s="40">
        <v>0</v>
      </c>
      <c r="EJ16" s="40">
        <v>0</v>
      </c>
      <c r="EK16" s="40">
        <v>0</v>
      </c>
      <c r="EL16" s="40">
        <v>0</v>
      </c>
      <c r="EM16" s="40">
        <v>0</v>
      </c>
      <c r="EN16" s="40">
        <v>0</v>
      </c>
      <c r="EO16" s="40">
        <v>0</v>
      </c>
      <c r="EP16" s="40">
        <v>0</v>
      </c>
      <c r="EQ16" s="40">
        <v>0</v>
      </c>
      <c r="ER16" s="40">
        <v>0</v>
      </c>
      <c r="ES16" s="40">
        <v>0</v>
      </c>
      <c r="ET16" s="40">
        <v>0</v>
      </c>
      <c r="EU16" s="40">
        <v>0</v>
      </c>
      <c r="EV16" s="40">
        <v>0</v>
      </c>
      <c r="EW16" s="40">
        <v>0</v>
      </c>
      <c r="EX16" s="40">
        <v>0</v>
      </c>
      <c r="EY16" s="40">
        <v>0</v>
      </c>
      <c r="EZ16" s="40">
        <v>0</v>
      </c>
      <c r="FA16" s="40">
        <v>0</v>
      </c>
      <c r="FB16" s="40">
        <v>0</v>
      </c>
      <c r="FC16" s="40">
        <v>0</v>
      </c>
      <c r="FD16" s="40">
        <v>0</v>
      </c>
      <c r="FE16" s="40">
        <v>0</v>
      </c>
      <c r="FF16" s="40">
        <v>57.014388488928262</v>
      </c>
      <c r="FG16" s="40">
        <v>0</v>
      </c>
      <c r="FH16" s="40">
        <v>0</v>
      </c>
      <c r="FI16" s="40">
        <v>0</v>
      </c>
      <c r="FJ16" s="40">
        <v>0</v>
      </c>
      <c r="FK16" s="40">
        <v>0</v>
      </c>
      <c r="FL16" s="40">
        <v>0</v>
      </c>
      <c r="FM16" s="40">
        <v>0</v>
      </c>
      <c r="FN16" s="40">
        <v>0</v>
      </c>
      <c r="FO16" s="36">
        <v>0</v>
      </c>
      <c r="FP16" s="36">
        <v>0</v>
      </c>
      <c r="FQ16" s="36">
        <v>0</v>
      </c>
      <c r="FR16" s="36">
        <v>0</v>
      </c>
      <c r="FS16" s="36">
        <v>0</v>
      </c>
      <c r="FT16" s="36">
        <v>0</v>
      </c>
      <c r="FU16" s="36">
        <v>0</v>
      </c>
      <c r="FV16" s="36">
        <v>0</v>
      </c>
      <c r="FW16" s="36">
        <v>0</v>
      </c>
      <c r="FX16" s="36">
        <v>0</v>
      </c>
      <c r="FY16" s="36">
        <v>0</v>
      </c>
      <c r="FZ16" s="36">
        <v>0</v>
      </c>
      <c r="GA16" s="36">
        <v>0</v>
      </c>
      <c r="GB16" s="36">
        <v>0</v>
      </c>
      <c r="GC16" s="36">
        <v>0</v>
      </c>
      <c r="GD16" s="36">
        <v>0</v>
      </c>
      <c r="GE16" s="36">
        <v>0</v>
      </c>
      <c r="GF16" s="36">
        <v>0</v>
      </c>
      <c r="GG16" s="36"/>
      <c r="GH16" s="36"/>
      <c r="GI16" s="36"/>
      <c r="GJ16" s="36"/>
      <c r="GK16" s="36"/>
      <c r="GL16" s="36"/>
      <c r="GM16" s="36"/>
      <c r="GN16" s="36"/>
      <c r="GO16" s="36"/>
      <c r="GP16" s="36"/>
      <c r="GQ16" s="36"/>
      <c r="GR16" s="36"/>
      <c r="GS16" s="36"/>
      <c r="GT16" s="36"/>
      <c r="GU16" s="36">
        <v>0</v>
      </c>
      <c r="GV16" s="36">
        <v>0</v>
      </c>
      <c r="GW16" s="36">
        <v>0</v>
      </c>
      <c r="GX16" s="36">
        <v>0</v>
      </c>
      <c r="GY16" s="36">
        <v>0</v>
      </c>
      <c r="GZ16" s="36">
        <v>0</v>
      </c>
      <c r="HA16" s="36">
        <v>0</v>
      </c>
      <c r="HB16" s="36">
        <v>0</v>
      </c>
      <c r="HC16" s="36">
        <f t="shared" si="0"/>
        <v>8010.785141710282</v>
      </c>
      <c r="HD16" s="36">
        <f>SUM(M$5:M$213)</f>
        <v>8010.7851417102838</v>
      </c>
      <c r="HE16" s="41">
        <v>0</v>
      </c>
    </row>
    <row r="17" spans="1:213" hidden="1" outlineLevel="1" x14ac:dyDescent="0.2">
      <c r="A17" s="9" t="s">
        <v>196</v>
      </c>
      <c r="B17" s="36">
        <v>0</v>
      </c>
      <c r="C17" s="36">
        <v>0</v>
      </c>
      <c r="D17" s="36">
        <v>0</v>
      </c>
      <c r="E17" s="36">
        <v>0</v>
      </c>
      <c r="F17" s="36">
        <v>0</v>
      </c>
      <c r="G17" s="36">
        <v>0</v>
      </c>
      <c r="H17" s="36">
        <v>0</v>
      </c>
      <c r="I17" s="36">
        <v>0</v>
      </c>
      <c r="J17" s="36">
        <v>0</v>
      </c>
      <c r="K17" s="36">
        <v>0</v>
      </c>
      <c r="L17" s="36">
        <v>0</v>
      </c>
      <c r="M17" s="36">
        <v>0</v>
      </c>
      <c r="N17" s="36">
        <v>0</v>
      </c>
      <c r="O17" s="36">
        <v>0</v>
      </c>
      <c r="P17" s="36">
        <v>0</v>
      </c>
      <c r="Q17" s="36">
        <v>0</v>
      </c>
      <c r="R17" s="36">
        <v>0</v>
      </c>
      <c r="S17" s="36">
        <v>0</v>
      </c>
      <c r="T17" s="36">
        <v>0</v>
      </c>
      <c r="U17" s="36">
        <v>0</v>
      </c>
      <c r="V17" s="36">
        <v>0</v>
      </c>
      <c r="W17" s="36">
        <v>0</v>
      </c>
      <c r="X17" s="36">
        <v>0</v>
      </c>
      <c r="Y17" s="36">
        <v>0</v>
      </c>
      <c r="Z17" s="36">
        <v>0</v>
      </c>
      <c r="AA17" s="36">
        <v>0</v>
      </c>
      <c r="AB17" s="36">
        <v>0</v>
      </c>
      <c r="AC17" s="36">
        <v>0</v>
      </c>
      <c r="AD17" s="36">
        <v>0</v>
      </c>
      <c r="AE17" s="36">
        <v>0</v>
      </c>
      <c r="AF17" s="36">
        <v>0</v>
      </c>
      <c r="AG17" s="36">
        <v>0</v>
      </c>
      <c r="AH17" s="36">
        <v>0</v>
      </c>
      <c r="AI17" s="36">
        <v>0</v>
      </c>
      <c r="AJ17" s="36">
        <v>0</v>
      </c>
      <c r="AK17" s="36">
        <v>0</v>
      </c>
      <c r="AL17" s="36">
        <v>0</v>
      </c>
      <c r="AM17" s="36">
        <v>0</v>
      </c>
      <c r="AN17" s="36">
        <v>0</v>
      </c>
      <c r="AO17" s="36">
        <v>0</v>
      </c>
      <c r="AP17" s="36">
        <v>0</v>
      </c>
      <c r="AQ17" s="36">
        <v>0</v>
      </c>
      <c r="AR17" s="36">
        <v>0</v>
      </c>
      <c r="AS17" s="36">
        <v>0</v>
      </c>
      <c r="AT17" s="36">
        <v>0</v>
      </c>
      <c r="AU17" s="36">
        <v>0</v>
      </c>
      <c r="AV17" s="36">
        <v>0</v>
      </c>
      <c r="AW17" s="36">
        <v>0</v>
      </c>
      <c r="AX17" s="36">
        <v>0</v>
      </c>
      <c r="AY17" s="36">
        <v>0</v>
      </c>
      <c r="AZ17" s="36">
        <v>0</v>
      </c>
      <c r="BA17" s="36">
        <v>0</v>
      </c>
      <c r="BB17" s="36">
        <v>0</v>
      </c>
      <c r="BC17" s="36">
        <v>0</v>
      </c>
      <c r="BD17" s="36">
        <v>0</v>
      </c>
      <c r="BE17" s="36">
        <v>0</v>
      </c>
      <c r="BF17" s="36">
        <v>0</v>
      </c>
      <c r="BG17" s="36">
        <v>0</v>
      </c>
      <c r="BH17" s="36">
        <v>0</v>
      </c>
      <c r="BI17" s="36">
        <v>0</v>
      </c>
      <c r="BJ17" s="36">
        <v>0</v>
      </c>
      <c r="BK17" s="40">
        <v>0</v>
      </c>
      <c r="BL17" s="40">
        <v>0</v>
      </c>
      <c r="BM17" s="40">
        <v>0</v>
      </c>
      <c r="BN17" s="40">
        <v>0</v>
      </c>
      <c r="BO17" s="40">
        <v>0</v>
      </c>
      <c r="BP17" s="40">
        <v>0</v>
      </c>
      <c r="BQ17" s="40">
        <v>0</v>
      </c>
      <c r="BR17" s="40">
        <v>0</v>
      </c>
      <c r="BS17" s="40">
        <v>0</v>
      </c>
      <c r="BT17" s="40">
        <v>0</v>
      </c>
      <c r="BU17" s="40">
        <v>0</v>
      </c>
      <c r="BV17" s="40">
        <v>0</v>
      </c>
      <c r="BW17" s="40">
        <v>0</v>
      </c>
      <c r="BX17" s="40">
        <v>0</v>
      </c>
      <c r="BY17" s="40">
        <v>0</v>
      </c>
      <c r="BZ17" s="40">
        <v>0</v>
      </c>
      <c r="CA17" s="40">
        <v>0</v>
      </c>
      <c r="CB17" s="40">
        <v>0</v>
      </c>
      <c r="CC17" s="40">
        <v>0</v>
      </c>
      <c r="CD17" s="40">
        <v>0</v>
      </c>
      <c r="CE17" s="40">
        <v>0</v>
      </c>
      <c r="CF17" s="40">
        <v>0</v>
      </c>
      <c r="CG17" s="40">
        <v>0</v>
      </c>
      <c r="CH17" s="40">
        <v>0</v>
      </c>
      <c r="CI17" s="40">
        <v>0</v>
      </c>
      <c r="CJ17" s="40">
        <v>0</v>
      </c>
      <c r="CK17" s="40">
        <v>0</v>
      </c>
      <c r="CL17" s="40">
        <v>0</v>
      </c>
      <c r="CM17" s="40">
        <v>0</v>
      </c>
      <c r="CN17" s="40">
        <v>0</v>
      </c>
      <c r="CO17" s="40">
        <v>0</v>
      </c>
      <c r="CP17" s="40">
        <v>0</v>
      </c>
      <c r="CQ17" s="40">
        <v>0</v>
      </c>
      <c r="CR17" s="40">
        <v>14.862671177661285</v>
      </c>
      <c r="CS17" s="40">
        <v>6323.3735693909139</v>
      </c>
      <c r="CT17" s="40">
        <v>10.73793585036533</v>
      </c>
      <c r="CU17" s="40">
        <v>0</v>
      </c>
      <c r="CV17" s="40">
        <v>0</v>
      </c>
      <c r="CW17" s="40">
        <v>0</v>
      </c>
      <c r="CX17" s="40">
        <v>0</v>
      </c>
      <c r="CY17" s="40">
        <v>0</v>
      </c>
      <c r="CZ17" s="40">
        <v>0</v>
      </c>
      <c r="DA17" s="40">
        <v>0</v>
      </c>
      <c r="DB17" s="40">
        <v>0</v>
      </c>
      <c r="DC17" s="40">
        <v>0</v>
      </c>
      <c r="DD17" s="40">
        <v>0</v>
      </c>
      <c r="DE17" s="40">
        <v>0</v>
      </c>
      <c r="DF17" s="40">
        <v>0</v>
      </c>
      <c r="DG17" s="40">
        <v>0</v>
      </c>
      <c r="DH17" s="40">
        <v>0</v>
      </c>
      <c r="DI17" s="40">
        <v>0</v>
      </c>
      <c r="DJ17" s="40">
        <v>0</v>
      </c>
      <c r="DK17" s="40">
        <v>0</v>
      </c>
      <c r="DL17" s="40">
        <v>0</v>
      </c>
      <c r="DM17" s="40">
        <v>0</v>
      </c>
      <c r="DN17" s="40">
        <v>0</v>
      </c>
      <c r="DO17" s="40">
        <v>0</v>
      </c>
      <c r="DP17" s="40">
        <v>0</v>
      </c>
      <c r="DQ17" s="40">
        <v>0</v>
      </c>
      <c r="DR17" s="40">
        <v>0</v>
      </c>
      <c r="DS17" s="40">
        <v>0</v>
      </c>
      <c r="DT17" s="40">
        <v>0</v>
      </c>
      <c r="DU17" s="40">
        <v>0</v>
      </c>
      <c r="DV17" s="40">
        <v>0</v>
      </c>
      <c r="DW17" s="40">
        <v>0</v>
      </c>
      <c r="DX17" s="40">
        <v>0</v>
      </c>
      <c r="DY17" s="40">
        <v>0</v>
      </c>
      <c r="DZ17" s="40">
        <v>0</v>
      </c>
      <c r="EA17" s="40">
        <v>0</v>
      </c>
      <c r="EB17" s="40">
        <v>0</v>
      </c>
      <c r="EC17" s="40">
        <v>54.281906164340327</v>
      </c>
      <c r="ED17" s="40">
        <v>0</v>
      </c>
      <c r="EE17" s="40">
        <v>0</v>
      </c>
      <c r="EF17" s="40">
        <v>0</v>
      </c>
      <c r="EG17" s="40">
        <v>0</v>
      </c>
      <c r="EH17" s="40">
        <v>0</v>
      </c>
      <c r="EI17" s="40">
        <v>0</v>
      </c>
      <c r="EJ17" s="40">
        <v>0</v>
      </c>
      <c r="EK17" s="40">
        <v>0</v>
      </c>
      <c r="EL17" s="40">
        <v>0</v>
      </c>
      <c r="EM17" s="40">
        <v>0</v>
      </c>
      <c r="EN17" s="40">
        <v>0</v>
      </c>
      <c r="EO17" s="40">
        <v>0</v>
      </c>
      <c r="EP17" s="40">
        <v>0</v>
      </c>
      <c r="EQ17" s="40">
        <v>0</v>
      </c>
      <c r="ER17" s="40">
        <v>0</v>
      </c>
      <c r="ES17" s="40">
        <v>0</v>
      </c>
      <c r="ET17" s="40">
        <v>0</v>
      </c>
      <c r="EU17" s="40">
        <v>0</v>
      </c>
      <c r="EV17" s="40">
        <v>0</v>
      </c>
      <c r="EW17" s="40">
        <v>0</v>
      </c>
      <c r="EX17" s="40">
        <v>0</v>
      </c>
      <c r="EY17" s="40">
        <v>0</v>
      </c>
      <c r="EZ17" s="40">
        <v>0</v>
      </c>
      <c r="FA17" s="40">
        <v>0</v>
      </c>
      <c r="FB17" s="40">
        <v>0</v>
      </c>
      <c r="FC17" s="40">
        <v>0</v>
      </c>
      <c r="FD17" s="40">
        <v>0</v>
      </c>
      <c r="FE17" s="40">
        <v>0</v>
      </c>
      <c r="FF17" s="40">
        <v>0</v>
      </c>
      <c r="FG17" s="40">
        <v>0</v>
      </c>
      <c r="FH17" s="40">
        <v>0</v>
      </c>
      <c r="FI17" s="40">
        <v>0</v>
      </c>
      <c r="FJ17" s="40">
        <v>0</v>
      </c>
      <c r="FK17" s="40">
        <v>0</v>
      </c>
      <c r="FL17" s="40">
        <v>0</v>
      </c>
      <c r="FM17" s="40">
        <v>0</v>
      </c>
      <c r="FN17" s="40">
        <v>0</v>
      </c>
      <c r="FO17" s="36">
        <v>0</v>
      </c>
      <c r="FP17" s="36">
        <v>0</v>
      </c>
      <c r="FQ17" s="36">
        <v>0</v>
      </c>
      <c r="FR17" s="36">
        <v>0</v>
      </c>
      <c r="FS17" s="36">
        <v>0</v>
      </c>
      <c r="FT17" s="36">
        <v>0</v>
      </c>
      <c r="FU17" s="36">
        <v>0</v>
      </c>
      <c r="FV17" s="36">
        <v>0</v>
      </c>
      <c r="FW17" s="36">
        <v>0</v>
      </c>
      <c r="FX17" s="36">
        <v>0</v>
      </c>
      <c r="FY17" s="36">
        <v>0</v>
      </c>
      <c r="FZ17" s="36">
        <v>0</v>
      </c>
      <c r="GA17" s="36">
        <v>0</v>
      </c>
      <c r="GB17" s="36">
        <v>0</v>
      </c>
      <c r="GC17" s="36">
        <v>0</v>
      </c>
      <c r="GD17" s="36">
        <v>0</v>
      </c>
      <c r="GE17" s="36">
        <v>0</v>
      </c>
      <c r="GF17" s="36">
        <v>0</v>
      </c>
      <c r="GG17" s="36"/>
      <c r="GH17" s="36"/>
      <c r="GI17" s="36"/>
      <c r="GJ17" s="36"/>
      <c r="GK17" s="36"/>
      <c r="GL17" s="36"/>
      <c r="GM17" s="36"/>
      <c r="GN17" s="36"/>
      <c r="GO17" s="36"/>
      <c r="GP17" s="36"/>
      <c r="GQ17" s="36"/>
      <c r="GR17" s="36"/>
      <c r="GS17" s="36"/>
      <c r="GT17" s="36"/>
      <c r="GU17" s="36">
        <v>0</v>
      </c>
      <c r="GV17" s="36">
        <v>0</v>
      </c>
      <c r="GW17" s="36">
        <v>0</v>
      </c>
      <c r="GX17" s="36">
        <v>0</v>
      </c>
      <c r="GY17" s="36">
        <v>0</v>
      </c>
      <c r="GZ17" s="36">
        <v>0</v>
      </c>
      <c r="HA17" s="36">
        <v>0</v>
      </c>
      <c r="HB17" s="36">
        <v>0</v>
      </c>
      <c r="HC17" s="36">
        <f t="shared" si="0"/>
        <v>6403.2560825832807</v>
      </c>
      <c r="HD17" s="36">
        <f>SUM(N$5:N$213)</f>
        <v>6403.2560825832797</v>
      </c>
      <c r="HE17" s="41">
        <v>0</v>
      </c>
    </row>
    <row r="18" spans="1:213" hidden="1" outlineLevel="1" x14ac:dyDescent="0.2">
      <c r="A18" s="9" t="s">
        <v>202</v>
      </c>
      <c r="B18" s="36">
        <v>0</v>
      </c>
      <c r="C18" s="36">
        <v>0</v>
      </c>
      <c r="D18" s="36">
        <v>0</v>
      </c>
      <c r="E18" s="36">
        <v>0</v>
      </c>
      <c r="F18" s="36">
        <v>0</v>
      </c>
      <c r="G18" s="36">
        <v>0</v>
      </c>
      <c r="H18" s="36">
        <v>0</v>
      </c>
      <c r="I18" s="36">
        <v>0</v>
      </c>
      <c r="J18" s="36">
        <v>0</v>
      </c>
      <c r="K18" s="36">
        <v>0</v>
      </c>
      <c r="L18" s="36">
        <v>0</v>
      </c>
      <c r="M18" s="36">
        <v>0</v>
      </c>
      <c r="N18" s="36">
        <v>0</v>
      </c>
      <c r="O18" s="36">
        <v>0</v>
      </c>
      <c r="P18" s="36">
        <v>0</v>
      </c>
      <c r="Q18" s="36">
        <v>0</v>
      </c>
      <c r="R18" s="36">
        <v>0</v>
      </c>
      <c r="S18" s="36">
        <v>0</v>
      </c>
      <c r="T18" s="36">
        <v>0</v>
      </c>
      <c r="U18" s="36">
        <v>0</v>
      </c>
      <c r="V18" s="36">
        <v>0</v>
      </c>
      <c r="W18" s="36">
        <v>0</v>
      </c>
      <c r="X18" s="36">
        <v>0</v>
      </c>
      <c r="Y18" s="36">
        <v>0</v>
      </c>
      <c r="Z18" s="36">
        <v>0</v>
      </c>
      <c r="AA18" s="36">
        <v>0</v>
      </c>
      <c r="AB18" s="36">
        <v>0</v>
      </c>
      <c r="AC18" s="36">
        <v>0</v>
      </c>
      <c r="AD18" s="36">
        <v>0</v>
      </c>
      <c r="AE18" s="36">
        <v>0</v>
      </c>
      <c r="AF18" s="36">
        <v>0</v>
      </c>
      <c r="AG18" s="36">
        <v>0</v>
      </c>
      <c r="AH18" s="36">
        <v>0</v>
      </c>
      <c r="AI18" s="36">
        <v>0</v>
      </c>
      <c r="AJ18" s="36">
        <v>0</v>
      </c>
      <c r="AK18" s="36">
        <v>0</v>
      </c>
      <c r="AL18" s="36">
        <v>0</v>
      </c>
      <c r="AM18" s="36">
        <v>0</v>
      </c>
      <c r="AN18" s="36">
        <v>0</v>
      </c>
      <c r="AO18" s="36">
        <v>0</v>
      </c>
      <c r="AP18" s="36">
        <v>0</v>
      </c>
      <c r="AQ18" s="36">
        <v>0</v>
      </c>
      <c r="AR18" s="36">
        <v>0</v>
      </c>
      <c r="AS18" s="36">
        <v>0</v>
      </c>
      <c r="AT18" s="36">
        <v>0</v>
      </c>
      <c r="AU18" s="36">
        <v>0</v>
      </c>
      <c r="AV18" s="36">
        <v>0</v>
      </c>
      <c r="AW18" s="36">
        <v>0</v>
      </c>
      <c r="AX18" s="36">
        <v>0</v>
      </c>
      <c r="AY18" s="36">
        <v>0</v>
      </c>
      <c r="AZ18" s="36">
        <v>0</v>
      </c>
      <c r="BA18" s="36">
        <v>0</v>
      </c>
      <c r="BB18" s="36">
        <v>0</v>
      </c>
      <c r="BC18" s="36">
        <v>0</v>
      </c>
      <c r="BD18" s="36">
        <v>0</v>
      </c>
      <c r="BE18" s="36">
        <v>0</v>
      </c>
      <c r="BF18" s="36">
        <v>0</v>
      </c>
      <c r="BG18" s="36">
        <v>0</v>
      </c>
      <c r="BH18" s="36">
        <v>0</v>
      </c>
      <c r="BI18" s="36">
        <v>0</v>
      </c>
      <c r="BJ18" s="36">
        <v>0</v>
      </c>
      <c r="BK18" s="40">
        <v>0</v>
      </c>
      <c r="BL18" s="40">
        <v>0</v>
      </c>
      <c r="BM18" s="40">
        <v>0</v>
      </c>
      <c r="BN18" s="40">
        <v>0</v>
      </c>
      <c r="BO18" s="40">
        <v>0</v>
      </c>
      <c r="BP18" s="40">
        <v>0</v>
      </c>
      <c r="BQ18" s="40">
        <v>0</v>
      </c>
      <c r="BR18" s="40">
        <v>0</v>
      </c>
      <c r="BS18" s="40">
        <v>0</v>
      </c>
      <c r="BT18" s="40">
        <v>0</v>
      </c>
      <c r="BU18" s="40">
        <v>0</v>
      </c>
      <c r="BV18" s="40">
        <v>0</v>
      </c>
      <c r="BW18" s="40">
        <v>0</v>
      </c>
      <c r="BX18" s="40">
        <v>0</v>
      </c>
      <c r="BY18" s="40">
        <v>0</v>
      </c>
      <c r="BZ18" s="40">
        <v>0</v>
      </c>
      <c r="CA18" s="40">
        <v>0</v>
      </c>
      <c r="CB18" s="40">
        <v>0</v>
      </c>
      <c r="CC18" s="40">
        <v>0</v>
      </c>
      <c r="CD18" s="40">
        <v>0.19815889764765471</v>
      </c>
      <c r="CE18" s="40">
        <v>0</v>
      </c>
      <c r="CF18" s="40">
        <v>0</v>
      </c>
      <c r="CG18" s="40">
        <v>0</v>
      </c>
      <c r="CH18" s="40">
        <v>0</v>
      </c>
      <c r="CI18" s="40">
        <v>0</v>
      </c>
      <c r="CJ18" s="40">
        <v>0</v>
      </c>
      <c r="CK18" s="40">
        <v>0</v>
      </c>
      <c r="CL18" s="40">
        <v>0</v>
      </c>
      <c r="CM18" s="40">
        <v>0</v>
      </c>
      <c r="CN18" s="40">
        <v>0</v>
      </c>
      <c r="CO18" s="40">
        <v>0</v>
      </c>
      <c r="CP18" s="40">
        <v>0</v>
      </c>
      <c r="CQ18" s="40">
        <v>0</v>
      </c>
      <c r="CR18" s="40">
        <v>0</v>
      </c>
      <c r="CS18" s="40">
        <v>0</v>
      </c>
      <c r="CT18" s="40">
        <v>31308.764509067754</v>
      </c>
      <c r="CU18" s="40">
        <v>171.89857833395982</v>
      </c>
      <c r="CV18" s="40">
        <v>3.6977865721749854</v>
      </c>
      <c r="CW18" s="40">
        <v>14.902170495526125</v>
      </c>
      <c r="CX18" s="40">
        <v>0</v>
      </c>
      <c r="CY18" s="40">
        <v>2329.8195977634264</v>
      </c>
      <c r="CZ18" s="40">
        <v>0</v>
      </c>
      <c r="DA18" s="40">
        <v>0</v>
      </c>
      <c r="DB18" s="40">
        <v>0</v>
      </c>
      <c r="DC18" s="40">
        <v>0</v>
      </c>
      <c r="DD18" s="40">
        <v>0</v>
      </c>
      <c r="DE18" s="40">
        <v>25.516496623879256</v>
      </c>
      <c r="DF18" s="40">
        <v>0</v>
      </c>
      <c r="DG18" s="40">
        <v>0</v>
      </c>
      <c r="DH18" s="40">
        <v>0</v>
      </c>
      <c r="DI18" s="40">
        <v>0</v>
      </c>
      <c r="DJ18" s="40">
        <v>0</v>
      </c>
      <c r="DK18" s="40">
        <v>191.73288768108077</v>
      </c>
      <c r="DL18" s="40">
        <v>13.53142186793985</v>
      </c>
      <c r="DM18" s="40">
        <v>0</v>
      </c>
      <c r="DN18" s="40">
        <v>1.2405410209979006</v>
      </c>
      <c r="DO18" s="40">
        <v>1.0014101434693981</v>
      </c>
      <c r="DP18" s="40">
        <v>0</v>
      </c>
      <c r="DQ18" s="40">
        <v>0</v>
      </c>
      <c r="DR18" s="40">
        <v>0</v>
      </c>
      <c r="DS18" s="40">
        <v>1350.536919776094</v>
      </c>
      <c r="DT18" s="40">
        <v>0</v>
      </c>
      <c r="DU18" s="40">
        <v>0</v>
      </c>
      <c r="DV18" s="40">
        <v>0</v>
      </c>
      <c r="DW18" s="40">
        <v>0</v>
      </c>
      <c r="DX18" s="40">
        <v>0</v>
      </c>
      <c r="DY18" s="40">
        <v>0</v>
      </c>
      <c r="DZ18" s="40">
        <v>0</v>
      </c>
      <c r="EA18" s="40">
        <v>0</v>
      </c>
      <c r="EB18" s="40">
        <v>0</v>
      </c>
      <c r="EC18" s="40">
        <v>0</v>
      </c>
      <c r="ED18" s="40">
        <v>0</v>
      </c>
      <c r="EE18" s="40">
        <v>0</v>
      </c>
      <c r="EF18" s="40">
        <v>0</v>
      </c>
      <c r="EG18" s="40">
        <v>0</v>
      </c>
      <c r="EH18" s="40">
        <v>0</v>
      </c>
      <c r="EI18" s="40">
        <v>0</v>
      </c>
      <c r="EJ18" s="40">
        <v>0</v>
      </c>
      <c r="EK18" s="40">
        <v>0</v>
      </c>
      <c r="EL18" s="40">
        <v>0</v>
      </c>
      <c r="EM18" s="40">
        <v>0</v>
      </c>
      <c r="EN18" s="40">
        <v>0</v>
      </c>
      <c r="EO18" s="40">
        <v>0</v>
      </c>
      <c r="EP18" s="40">
        <v>0</v>
      </c>
      <c r="EQ18" s="40">
        <v>0</v>
      </c>
      <c r="ER18" s="40">
        <v>0</v>
      </c>
      <c r="ES18" s="40">
        <v>0</v>
      </c>
      <c r="ET18" s="40">
        <v>0</v>
      </c>
      <c r="EU18" s="40">
        <v>0</v>
      </c>
      <c r="EV18" s="40">
        <v>0</v>
      </c>
      <c r="EW18" s="40">
        <v>0</v>
      </c>
      <c r="EX18" s="40">
        <v>0</v>
      </c>
      <c r="EY18" s="40">
        <v>0</v>
      </c>
      <c r="EZ18" s="40">
        <v>0</v>
      </c>
      <c r="FA18" s="40">
        <v>0</v>
      </c>
      <c r="FB18" s="40">
        <v>0</v>
      </c>
      <c r="FC18" s="40">
        <v>0</v>
      </c>
      <c r="FD18" s="40">
        <v>0</v>
      </c>
      <c r="FE18" s="40">
        <v>0</v>
      </c>
      <c r="FF18" s="40">
        <v>878.30470087665299</v>
      </c>
      <c r="FG18" s="40">
        <v>0</v>
      </c>
      <c r="FH18" s="40">
        <v>0</v>
      </c>
      <c r="FI18" s="40">
        <v>0</v>
      </c>
      <c r="FJ18" s="40">
        <v>0</v>
      </c>
      <c r="FK18" s="40">
        <v>0</v>
      </c>
      <c r="FL18" s="40">
        <v>0</v>
      </c>
      <c r="FM18" s="40">
        <v>0</v>
      </c>
      <c r="FN18" s="40">
        <v>0</v>
      </c>
      <c r="FO18" s="36">
        <v>0</v>
      </c>
      <c r="FP18" s="36">
        <v>0</v>
      </c>
      <c r="FQ18" s="36">
        <v>0</v>
      </c>
      <c r="FR18" s="36">
        <v>0</v>
      </c>
      <c r="FS18" s="36">
        <v>0</v>
      </c>
      <c r="FT18" s="36">
        <v>0</v>
      </c>
      <c r="FU18" s="36">
        <v>0</v>
      </c>
      <c r="FV18" s="36">
        <v>0</v>
      </c>
      <c r="FW18" s="36">
        <v>0</v>
      </c>
      <c r="FX18" s="36">
        <v>0</v>
      </c>
      <c r="FY18" s="36">
        <v>0</v>
      </c>
      <c r="FZ18" s="36">
        <v>0</v>
      </c>
      <c r="GA18" s="36">
        <v>0</v>
      </c>
      <c r="GB18" s="36">
        <v>0</v>
      </c>
      <c r="GC18" s="36">
        <v>0</v>
      </c>
      <c r="GD18" s="36">
        <v>0</v>
      </c>
      <c r="GE18" s="36">
        <v>0</v>
      </c>
      <c r="GF18" s="36">
        <v>0</v>
      </c>
      <c r="GG18" s="36"/>
      <c r="GH18" s="36"/>
      <c r="GI18" s="36"/>
      <c r="GJ18" s="36"/>
      <c r="GK18" s="36"/>
      <c r="GL18" s="36"/>
      <c r="GM18" s="36"/>
      <c r="GN18" s="36"/>
      <c r="GO18" s="36"/>
      <c r="GP18" s="36"/>
      <c r="GQ18" s="36"/>
      <c r="GR18" s="36"/>
      <c r="GS18" s="36"/>
      <c r="GT18" s="36"/>
      <c r="GU18" s="36">
        <v>0</v>
      </c>
      <c r="GV18" s="36">
        <v>0</v>
      </c>
      <c r="GW18" s="36">
        <v>0</v>
      </c>
      <c r="GX18" s="36">
        <v>0</v>
      </c>
      <c r="GY18" s="36">
        <v>0</v>
      </c>
      <c r="GZ18" s="36">
        <v>0</v>
      </c>
      <c r="HA18" s="36">
        <v>0</v>
      </c>
      <c r="HB18" s="36">
        <v>0</v>
      </c>
      <c r="HC18" s="36">
        <f t="shared" si="0"/>
        <v>36291.145179120605</v>
      </c>
      <c r="HD18" s="36">
        <f>SUM(O$5:O$213)</f>
        <v>36291.145179120605</v>
      </c>
      <c r="HE18" s="41">
        <v>0</v>
      </c>
    </row>
    <row r="19" spans="1:213" hidden="1" outlineLevel="1" x14ac:dyDescent="0.2">
      <c r="A19" s="9" t="s">
        <v>206</v>
      </c>
      <c r="B19" s="36">
        <v>0</v>
      </c>
      <c r="C19" s="36">
        <v>0</v>
      </c>
      <c r="D19" s="36">
        <v>0</v>
      </c>
      <c r="E19" s="36">
        <v>0</v>
      </c>
      <c r="F19" s="36">
        <v>0</v>
      </c>
      <c r="G19" s="36">
        <v>0</v>
      </c>
      <c r="H19" s="36">
        <v>0</v>
      </c>
      <c r="I19" s="36">
        <v>0</v>
      </c>
      <c r="J19" s="36">
        <v>0</v>
      </c>
      <c r="K19" s="36">
        <v>0</v>
      </c>
      <c r="L19" s="36">
        <v>0</v>
      </c>
      <c r="M19" s="36">
        <v>0</v>
      </c>
      <c r="N19" s="36">
        <v>0</v>
      </c>
      <c r="O19" s="36">
        <v>0</v>
      </c>
      <c r="P19" s="36">
        <v>0</v>
      </c>
      <c r="Q19" s="36">
        <v>0</v>
      </c>
      <c r="R19" s="36">
        <v>0</v>
      </c>
      <c r="S19" s="36">
        <v>0</v>
      </c>
      <c r="T19" s="36">
        <v>0</v>
      </c>
      <c r="U19" s="36">
        <v>0</v>
      </c>
      <c r="V19" s="36">
        <v>0</v>
      </c>
      <c r="W19" s="36">
        <v>0</v>
      </c>
      <c r="X19" s="36">
        <v>0</v>
      </c>
      <c r="Y19" s="36">
        <v>0</v>
      </c>
      <c r="Z19" s="36">
        <v>0</v>
      </c>
      <c r="AA19" s="36">
        <v>0</v>
      </c>
      <c r="AB19" s="36">
        <v>0</v>
      </c>
      <c r="AC19" s="36">
        <v>0</v>
      </c>
      <c r="AD19" s="36">
        <v>0</v>
      </c>
      <c r="AE19" s="36">
        <v>0</v>
      </c>
      <c r="AF19" s="36">
        <v>0</v>
      </c>
      <c r="AG19" s="36">
        <v>0</v>
      </c>
      <c r="AH19" s="36">
        <v>0</v>
      </c>
      <c r="AI19" s="36">
        <v>0</v>
      </c>
      <c r="AJ19" s="36">
        <v>0</v>
      </c>
      <c r="AK19" s="36">
        <v>0</v>
      </c>
      <c r="AL19" s="36">
        <v>0</v>
      </c>
      <c r="AM19" s="36">
        <v>0</v>
      </c>
      <c r="AN19" s="36">
        <v>0</v>
      </c>
      <c r="AO19" s="36">
        <v>0</v>
      </c>
      <c r="AP19" s="36">
        <v>0</v>
      </c>
      <c r="AQ19" s="36">
        <v>0</v>
      </c>
      <c r="AR19" s="36">
        <v>0</v>
      </c>
      <c r="AS19" s="36">
        <v>0</v>
      </c>
      <c r="AT19" s="36">
        <v>0</v>
      </c>
      <c r="AU19" s="36">
        <v>0</v>
      </c>
      <c r="AV19" s="36">
        <v>0</v>
      </c>
      <c r="AW19" s="36">
        <v>0</v>
      </c>
      <c r="AX19" s="36">
        <v>0</v>
      </c>
      <c r="AY19" s="36">
        <v>0</v>
      </c>
      <c r="AZ19" s="36">
        <v>0</v>
      </c>
      <c r="BA19" s="36">
        <v>0</v>
      </c>
      <c r="BB19" s="36">
        <v>0</v>
      </c>
      <c r="BC19" s="36">
        <v>0</v>
      </c>
      <c r="BD19" s="36">
        <v>0</v>
      </c>
      <c r="BE19" s="36">
        <v>0</v>
      </c>
      <c r="BF19" s="36">
        <v>0</v>
      </c>
      <c r="BG19" s="36">
        <v>0</v>
      </c>
      <c r="BH19" s="36">
        <v>0</v>
      </c>
      <c r="BI19" s="36">
        <v>0</v>
      </c>
      <c r="BJ19" s="36">
        <v>0</v>
      </c>
      <c r="BK19" s="40">
        <v>0</v>
      </c>
      <c r="BL19" s="40">
        <v>0</v>
      </c>
      <c r="BM19" s="40">
        <v>0</v>
      </c>
      <c r="BN19" s="40">
        <v>0</v>
      </c>
      <c r="BO19" s="40">
        <v>0</v>
      </c>
      <c r="BP19" s="40">
        <v>0</v>
      </c>
      <c r="BQ19" s="40">
        <v>0</v>
      </c>
      <c r="BR19" s="40">
        <v>0</v>
      </c>
      <c r="BS19" s="40">
        <v>0</v>
      </c>
      <c r="BT19" s="40">
        <v>0</v>
      </c>
      <c r="BU19" s="40">
        <v>0</v>
      </c>
      <c r="BV19" s="40">
        <v>0</v>
      </c>
      <c r="BW19" s="40">
        <v>0</v>
      </c>
      <c r="BX19" s="40">
        <v>0</v>
      </c>
      <c r="BY19" s="40">
        <v>0</v>
      </c>
      <c r="BZ19" s="40">
        <v>0</v>
      </c>
      <c r="CA19" s="40">
        <v>0</v>
      </c>
      <c r="CB19" s="40">
        <v>0</v>
      </c>
      <c r="CC19" s="40">
        <v>0</v>
      </c>
      <c r="CD19" s="40">
        <v>0</v>
      </c>
      <c r="CE19" s="40">
        <v>0</v>
      </c>
      <c r="CF19" s="40">
        <v>0</v>
      </c>
      <c r="CG19" s="40">
        <v>0</v>
      </c>
      <c r="CH19" s="40">
        <v>0</v>
      </c>
      <c r="CI19" s="40">
        <v>0</v>
      </c>
      <c r="CJ19" s="40">
        <v>0</v>
      </c>
      <c r="CK19" s="40">
        <v>0</v>
      </c>
      <c r="CL19" s="40">
        <v>0</v>
      </c>
      <c r="CM19" s="40">
        <v>0</v>
      </c>
      <c r="CN19" s="40">
        <v>0</v>
      </c>
      <c r="CO19" s="40">
        <v>0</v>
      </c>
      <c r="CP19" s="40">
        <v>0</v>
      </c>
      <c r="CQ19" s="40">
        <v>0</v>
      </c>
      <c r="CR19" s="40">
        <v>0</v>
      </c>
      <c r="CS19" s="40">
        <v>0</v>
      </c>
      <c r="CT19" s="40">
        <v>0</v>
      </c>
      <c r="CU19" s="40">
        <v>91645.165177743445</v>
      </c>
      <c r="CV19" s="40">
        <v>16.690259480432388</v>
      </c>
      <c r="CW19" s="40">
        <v>0</v>
      </c>
      <c r="CX19" s="40">
        <v>0</v>
      </c>
      <c r="CY19" s="40">
        <v>0</v>
      </c>
      <c r="CZ19" s="40">
        <v>0</v>
      </c>
      <c r="DA19" s="40">
        <v>184.2272456264451</v>
      </c>
      <c r="DB19" s="40">
        <v>23.73777056719409</v>
      </c>
      <c r="DC19" s="40">
        <v>23.818511283409038</v>
      </c>
      <c r="DD19" s="40">
        <v>0</v>
      </c>
      <c r="DE19" s="40">
        <v>2409.3375750180776</v>
      </c>
      <c r="DF19" s="40">
        <v>0</v>
      </c>
      <c r="DG19" s="40">
        <v>0</v>
      </c>
      <c r="DH19" s="40">
        <v>0</v>
      </c>
      <c r="DI19" s="40">
        <v>0</v>
      </c>
      <c r="DJ19" s="40">
        <v>0</v>
      </c>
      <c r="DK19" s="40">
        <v>47.959985431677872</v>
      </c>
      <c r="DL19" s="40">
        <v>0</v>
      </c>
      <c r="DM19" s="40">
        <v>0</v>
      </c>
      <c r="DN19" s="40">
        <v>86.83087309515895</v>
      </c>
      <c r="DO19" s="40">
        <v>67.533841919786894</v>
      </c>
      <c r="DP19" s="40">
        <v>0</v>
      </c>
      <c r="DQ19" s="40">
        <v>0</v>
      </c>
      <c r="DR19" s="40">
        <v>761.84632942816802</v>
      </c>
      <c r="DS19" s="40">
        <v>0</v>
      </c>
      <c r="DT19" s="40">
        <v>70.948020776876021</v>
      </c>
      <c r="DU19" s="40">
        <v>0</v>
      </c>
      <c r="DV19" s="40">
        <v>0</v>
      </c>
      <c r="DW19" s="40">
        <v>0</v>
      </c>
      <c r="DX19" s="40">
        <v>0</v>
      </c>
      <c r="DY19" s="40">
        <v>0</v>
      </c>
      <c r="DZ19" s="40">
        <v>0</v>
      </c>
      <c r="EA19" s="40">
        <v>0</v>
      </c>
      <c r="EB19" s="40">
        <v>0</v>
      </c>
      <c r="EC19" s="40">
        <v>534.71116032749444</v>
      </c>
      <c r="ED19" s="40">
        <v>0</v>
      </c>
      <c r="EE19" s="40">
        <v>0</v>
      </c>
      <c r="EF19" s="40">
        <v>0</v>
      </c>
      <c r="EG19" s="40">
        <v>0</v>
      </c>
      <c r="EH19" s="40">
        <v>0</v>
      </c>
      <c r="EI19" s="40">
        <v>0</v>
      </c>
      <c r="EJ19" s="40">
        <v>0</v>
      </c>
      <c r="EK19" s="40">
        <v>0</v>
      </c>
      <c r="EL19" s="40">
        <v>0</v>
      </c>
      <c r="EM19" s="40">
        <v>0</v>
      </c>
      <c r="EN19" s="40">
        <v>0</v>
      </c>
      <c r="EO19" s="40">
        <v>0</v>
      </c>
      <c r="EP19" s="40">
        <v>0</v>
      </c>
      <c r="EQ19" s="40">
        <v>0</v>
      </c>
      <c r="ER19" s="40">
        <v>0</v>
      </c>
      <c r="ES19" s="40">
        <v>0</v>
      </c>
      <c r="ET19" s="40">
        <v>0</v>
      </c>
      <c r="EU19" s="40">
        <v>0</v>
      </c>
      <c r="EV19" s="40">
        <v>0</v>
      </c>
      <c r="EW19" s="40">
        <v>0</v>
      </c>
      <c r="EX19" s="40">
        <v>0</v>
      </c>
      <c r="EY19" s="40">
        <v>0</v>
      </c>
      <c r="EZ19" s="40">
        <v>0</v>
      </c>
      <c r="FA19" s="40">
        <v>0</v>
      </c>
      <c r="FB19" s="40">
        <v>0</v>
      </c>
      <c r="FC19" s="40">
        <v>0</v>
      </c>
      <c r="FD19" s="40">
        <v>0</v>
      </c>
      <c r="FE19" s="40">
        <v>0</v>
      </c>
      <c r="FF19" s="40">
        <v>415.3030565137463</v>
      </c>
      <c r="FG19" s="40">
        <v>0</v>
      </c>
      <c r="FH19" s="40">
        <v>0</v>
      </c>
      <c r="FI19" s="40">
        <v>0</v>
      </c>
      <c r="FJ19" s="40">
        <v>0</v>
      </c>
      <c r="FK19" s="40">
        <v>0</v>
      </c>
      <c r="FL19" s="40">
        <v>0</v>
      </c>
      <c r="FM19" s="40">
        <v>0</v>
      </c>
      <c r="FN19" s="40">
        <v>0</v>
      </c>
      <c r="FO19" s="36">
        <v>0</v>
      </c>
      <c r="FP19" s="36">
        <v>0</v>
      </c>
      <c r="FQ19" s="36">
        <v>0</v>
      </c>
      <c r="FR19" s="36">
        <v>0</v>
      </c>
      <c r="FS19" s="36">
        <v>0</v>
      </c>
      <c r="FT19" s="36">
        <v>0</v>
      </c>
      <c r="FU19" s="36">
        <v>0</v>
      </c>
      <c r="FV19" s="36">
        <v>0</v>
      </c>
      <c r="FW19" s="36">
        <v>0</v>
      </c>
      <c r="FX19" s="36">
        <v>0</v>
      </c>
      <c r="FY19" s="36">
        <v>0</v>
      </c>
      <c r="FZ19" s="36">
        <v>0</v>
      </c>
      <c r="GA19" s="36">
        <v>0</v>
      </c>
      <c r="GB19" s="36">
        <v>0</v>
      </c>
      <c r="GC19" s="36">
        <v>0</v>
      </c>
      <c r="GD19" s="36">
        <v>0</v>
      </c>
      <c r="GE19" s="36">
        <v>0</v>
      </c>
      <c r="GF19" s="36">
        <v>0</v>
      </c>
      <c r="GG19" s="36"/>
      <c r="GH19" s="36"/>
      <c r="GI19" s="36"/>
      <c r="GJ19" s="36"/>
      <c r="GK19" s="36"/>
      <c r="GL19" s="36"/>
      <c r="GM19" s="36"/>
      <c r="GN19" s="36"/>
      <c r="GO19" s="36"/>
      <c r="GP19" s="36"/>
      <c r="GQ19" s="36"/>
      <c r="GR19" s="36"/>
      <c r="GS19" s="36"/>
      <c r="GT19" s="36"/>
      <c r="GU19" s="36">
        <v>0</v>
      </c>
      <c r="GV19" s="36">
        <v>0</v>
      </c>
      <c r="GW19" s="36">
        <v>0</v>
      </c>
      <c r="GX19" s="36">
        <v>0</v>
      </c>
      <c r="GY19" s="36">
        <v>0</v>
      </c>
      <c r="GZ19" s="36">
        <v>0</v>
      </c>
      <c r="HA19" s="36">
        <v>0</v>
      </c>
      <c r="HB19" s="36">
        <v>0</v>
      </c>
      <c r="HC19" s="36">
        <f t="shared" si="0"/>
        <v>96288.109807211891</v>
      </c>
      <c r="HD19" s="36">
        <f>SUM(P$5:P$213)</f>
        <v>96288.109807211891</v>
      </c>
      <c r="HE19" s="41">
        <v>0</v>
      </c>
    </row>
    <row r="20" spans="1:213" hidden="1" outlineLevel="1" x14ac:dyDescent="0.2">
      <c r="A20" s="9" t="s">
        <v>212</v>
      </c>
      <c r="B20" s="36">
        <v>0</v>
      </c>
      <c r="C20" s="36">
        <v>0</v>
      </c>
      <c r="D20" s="36">
        <v>0</v>
      </c>
      <c r="E20" s="36">
        <v>0</v>
      </c>
      <c r="F20" s="36">
        <v>0</v>
      </c>
      <c r="G20" s="36">
        <v>0</v>
      </c>
      <c r="H20" s="36">
        <v>0</v>
      </c>
      <c r="I20" s="36">
        <v>0</v>
      </c>
      <c r="J20" s="36">
        <v>0</v>
      </c>
      <c r="K20" s="36">
        <v>0</v>
      </c>
      <c r="L20" s="36">
        <v>0</v>
      </c>
      <c r="M20" s="36">
        <v>0</v>
      </c>
      <c r="N20" s="36">
        <v>0</v>
      </c>
      <c r="O20" s="36">
        <v>0</v>
      </c>
      <c r="P20" s="36">
        <v>0</v>
      </c>
      <c r="Q20" s="36">
        <v>0</v>
      </c>
      <c r="R20" s="36">
        <v>0</v>
      </c>
      <c r="S20" s="36">
        <v>0</v>
      </c>
      <c r="T20" s="36">
        <v>0</v>
      </c>
      <c r="U20" s="36">
        <v>0</v>
      </c>
      <c r="V20" s="36">
        <v>0</v>
      </c>
      <c r="W20" s="36">
        <v>0</v>
      </c>
      <c r="X20" s="36">
        <v>0</v>
      </c>
      <c r="Y20" s="36">
        <v>0</v>
      </c>
      <c r="Z20" s="36">
        <v>0</v>
      </c>
      <c r="AA20" s="36">
        <v>0</v>
      </c>
      <c r="AB20" s="36">
        <v>0</v>
      </c>
      <c r="AC20" s="36">
        <v>0</v>
      </c>
      <c r="AD20" s="36">
        <v>0</v>
      </c>
      <c r="AE20" s="36">
        <v>0</v>
      </c>
      <c r="AF20" s="36">
        <v>0</v>
      </c>
      <c r="AG20" s="36">
        <v>0</v>
      </c>
      <c r="AH20" s="36">
        <v>0</v>
      </c>
      <c r="AI20" s="36">
        <v>0</v>
      </c>
      <c r="AJ20" s="36">
        <v>0</v>
      </c>
      <c r="AK20" s="36">
        <v>0</v>
      </c>
      <c r="AL20" s="36">
        <v>0</v>
      </c>
      <c r="AM20" s="36">
        <v>0</v>
      </c>
      <c r="AN20" s="36">
        <v>0</v>
      </c>
      <c r="AO20" s="36">
        <v>0</v>
      </c>
      <c r="AP20" s="36">
        <v>0</v>
      </c>
      <c r="AQ20" s="36">
        <v>0</v>
      </c>
      <c r="AR20" s="36">
        <v>0</v>
      </c>
      <c r="AS20" s="36">
        <v>0</v>
      </c>
      <c r="AT20" s="36">
        <v>0</v>
      </c>
      <c r="AU20" s="36">
        <v>0</v>
      </c>
      <c r="AV20" s="36">
        <v>0</v>
      </c>
      <c r="AW20" s="36">
        <v>0</v>
      </c>
      <c r="AX20" s="36">
        <v>0</v>
      </c>
      <c r="AY20" s="36">
        <v>0</v>
      </c>
      <c r="AZ20" s="36">
        <v>0</v>
      </c>
      <c r="BA20" s="36">
        <v>0</v>
      </c>
      <c r="BB20" s="36">
        <v>0</v>
      </c>
      <c r="BC20" s="36">
        <v>0</v>
      </c>
      <c r="BD20" s="36">
        <v>0</v>
      </c>
      <c r="BE20" s="36">
        <v>0</v>
      </c>
      <c r="BF20" s="36">
        <v>0</v>
      </c>
      <c r="BG20" s="36">
        <v>0</v>
      </c>
      <c r="BH20" s="36">
        <v>0</v>
      </c>
      <c r="BI20" s="36">
        <v>0</v>
      </c>
      <c r="BJ20" s="36">
        <v>0</v>
      </c>
      <c r="BK20" s="40">
        <v>0</v>
      </c>
      <c r="BL20" s="40">
        <v>0</v>
      </c>
      <c r="BM20" s="40">
        <v>0</v>
      </c>
      <c r="BN20" s="40">
        <v>0</v>
      </c>
      <c r="BO20" s="40">
        <v>0</v>
      </c>
      <c r="BP20" s="40">
        <v>0</v>
      </c>
      <c r="BQ20" s="40">
        <v>0</v>
      </c>
      <c r="BR20" s="40">
        <v>0</v>
      </c>
      <c r="BS20" s="40">
        <v>0</v>
      </c>
      <c r="BT20" s="40">
        <v>0</v>
      </c>
      <c r="BU20" s="40">
        <v>0</v>
      </c>
      <c r="BV20" s="40">
        <v>0</v>
      </c>
      <c r="BW20" s="40">
        <v>0</v>
      </c>
      <c r="BX20" s="40">
        <v>0</v>
      </c>
      <c r="BY20" s="40">
        <v>0</v>
      </c>
      <c r="BZ20" s="40">
        <v>0</v>
      </c>
      <c r="CA20" s="40">
        <v>0</v>
      </c>
      <c r="CB20" s="40">
        <v>0</v>
      </c>
      <c r="CC20" s="40">
        <v>0</v>
      </c>
      <c r="CD20" s="40">
        <v>0</v>
      </c>
      <c r="CE20" s="40">
        <v>0</v>
      </c>
      <c r="CF20" s="40">
        <v>0</v>
      </c>
      <c r="CG20" s="40">
        <v>0</v>
      </c>
      <c r="CH20" s="40">
        <v>0</v>
      </c>
      <c r="CI20" s="40">
        <v>0</v>
      </c>
      <c r="CJ20" s="40">
        <v>0</v>
      </c>
      <c r="CK20" s="40">
        <v>0</v>
      </c>
      <c r="CL20" s="40">
        <v>4.2841949986056633E-3</v>
      </c>
      <c r="CM20" s="40">
        <v>0</v>
      </c>
      <c r="CN20" s="40">
        <v>0</v>
      </c>
      <c r="CO20" s="40">
        <v>0</v>
      </c>
      <c r="CP20" s="40">
        <v>0</v>
      </c>
      <c r="CQ20" s="40">
        <v>0</v>
      </c>
      <c r="CR20" s="40">
        <v>0</v>
      </c>
      <c r="CS20" s="40">
        <v>0</v>
      </c>
      <c r="CT20" s="40">
        <v>0</v>
      </c>
      <c r="CU20" s="40">
        <v>6094.7665027102084</v>
      </c>
      <c r="CV20" s="40">
        <v>28757.364260209135</v>
      </c>
      <c r="CW20" s="40">
        <v>0</v>
      </c>
      <c r="CX20" s="40">
        <v>0</v>
      </c>
      <c r="CY20" s="40">
        <v>0</v>
      </c>
      <c r="CZ20" s="40">
        <v>0</v>
      </c>
      <c r="DA20" s="40">
        <v>0</v>
      </c>
      <c r="DB20" s="40">
        <v>0</v>
      </c>
      <c r="DC20" s="40">
        <v>0</v>
      </c>
      <c r="DD20" s="40">
        <v>0</v>
      </c>
      <c r="DE20" s="40">
        <v>476.31807438677396</v>
      </c>
      <c r="DF20" s="40">
        <v>0</v>
      </c>
      <c r="DG20" s="40">
        <v>0</v>
      </c>
      <c r="DH20" s="40">
        <v>0</v>
      </c>
      <c r="DI20" s="40">
        <v>0</v>
      </c>
      <c r="DJ20" s="40">
        <v>0</v>
      </c>
      <c r="DK20" s="40">
        <v>0</v>
      </c>
      <c r="DL20" s="40">
        <v>0</v>
      </c>
      <c r="DM20" s="40">
        <v>0</v>
      </c>
      <c r="DN20" s="40">
        <v>59.9484229990736</v>
      </c>
      <c r="DO20" s="40">
        <v>13.676720563988784</v>
      </c>
      <c r="DP20" s="40">
        <v>0</v>
      </c>
      <c r="DQ20" s="40">
        <v>0</v>
      </c>
      <c r="DR20" s="40">
        <v>0</v>
      </c>
      <c r="DS20" s="40">
        <v>0</v>
      </c>
      <c r="DT20" s="40">
        <v>0.3922853771634266</v>
      </c>
      <c r="DU20" s="40">
        <v>0</v>
      </c>
      <c r="DV20" s="40">
        <v>0</v>
      </c>
      <c r="DW20" s="40">
        <v>0</v>
      </c>
      <c r="DX20" s="40">
        <v>0</v>
      </c>
      <c r="DY20" s="40">
        <v>0</v>
      </c>
      <c r="DZ20" s="40">
        <v>0</v>
      </c>
      <c r="EA20" s="40">
        <v>0.31078947134426405</v>
      </c>
      <c r="EB20" s="40">
        <v>1594.8873876011623</v>
      </c>
      <c r="EC20" s="40">
        <v>0</v>
      </c>
      <c r="ED20" s="40">
        <v>0</v>
      </c>
      <c r="EE20" s="40">
        <v>0</v>
      </c>
      <c r="EF20" s="40">
        <v>0</v>
      </c>
      <c r="EG20" s="40">
        <v>0</v>
      </c>
      <c r="EH20" s="40">
        <v>0</v>
      </c>
      <c r="EI20" s="40">
        <v>0</v>
      </c>
      <c r="EJ20" s="40">
        <v>0</v>
      </c>
      <c r="EK20" s="40">
        <v>0</v>
      </c>
      <c r="EL20" s="40">
        <v>0</v>
      </c>
      <c r="EM20" s="40">
        <v>0</v>
      </c>
      <c r="EN20" s="40">
        <v>0</v>
      </c>
      <c r="EO20" s="40">
        <v>0</v>
      </c>
      <c r="EP20" s="40">
        <v>0</v>
      </c>
      <c r="EQ20" s="40">
        <v>0</v>
      </c>
      <c r="ER20" s="40">
        <v>0</v>
      </c>
      <c r="ES20" s="40">
        <v>0</v>
      </c>
      <c r="ET20" s="40">
        <v>0</v>
      </c>
      <c r="EU20" s="40">
        <v>0</v>
      </c>
      <c r="EV20" s="40">
        <v>0</v>
      </c>
      <c r="EW20" s="40">
        <v>0</v>
      </c>
      <c r="EX20" s="40">
        <v>0</v>
      </c>
      <c r="EY20" s="40">
        <v>0</v>
      </c>
      <c r="EZ20" s="40">
        <v>0</v>
      </c>
      <c r="FA20" s="40">
        <v>0</v>
      </c>
      <c r="FB20" s="40">
        <v>0</v>
      </c>
      <c r="FC20" s="40">
        <v>0</v>
      </c>
      <c r="FD20" s="40">
        <v>0</v>
      </c>
      <c r="FE20" s="40">
        <v>0</v>
      </c>
      <c r="FF20" s="40">
        <v>15019.431406503805</v>
      </c>
      <c r="FG20" s="40">
        <v>12360.007412119434</v>
      </c>
      <c r="FH20" s="40">
        <v>0</v>
      </c>
      <c r="FI20" s="40">
        <v>0</v>
      </c>
      <c r="FJ20" s="40">
        <v>0</v>
      </c>
      <c r="FK20" s="40">
        <v>0</v>
      </c>
      <c r="FL20" s="40">
        <v>0</v>
      </c>
      <c r="FM20" s="40">
        <v>0</v>
      </c>
      <c r="FN20" s="40">
        <v>0</v>
      </c>
      <c r="FO20" s="36">
        <v>0</v>
      </c>
      <c r="FP20" s="36">
        <v>0</v>
      </c>
      <c r="FQ20" s="36">
        <v>0</v>
      </c>
      <c r="FR20" s="36">
        <v>0</v>
      </c>
      <c r="FS20" s="36">
        <v>0</v>
      </c>
      <c r="FT20" s="36">
        <v>0</v>
      </c>
      <c r="FU20" s="36">
        <v>0</v>
      </c>
      <c r="FV20" s="36">
        <v>0</v>
      </c>
      <c r="FW20" s="36">
        <v>0</v>
      </c>
      <c r="FX20" s="36">
        <v>0</v>
      </c>
      <c r="FY20" s="36">
        <v>0</v>
      </c>
      <c r="FZ20" s="36">
        <v>0</v>
      </c>
      <c r="GA20" s="36">
        <v>0</v>
      </c>
      <c r="GB20" s="36">
        <v>0</v>
      </c>
      <c r="GC20" s="36">
        <v>0</v>
      </c>
      <c r="GD20" s="36">
        <v>0</v>
      </c>
      <c r="GE20" s="36">
        <v>0</v>
      </c>
      <c r="GF20" s="36">
        <v>0</v>
      </c>
      <c r="GG20" s="36"/>
      <c r="GH20" s="36"/>
      <c r="GI20" s="36"/>
      <c r="GJ20" s="36"/>
      <c r="GK20" s="36"/>
      <c r="GL20" s="36"/>
      <c r="GM20" s="36"/>
      <c r="GN20" s="36"/>
      <c r="GO20" s="36"/>
      <c r="GP20" s="36"/>
      <c r="GQ20" s="36"/>
      <c r="GR20" s="36"/>
      <c r="GS20" s="36"/>
      <c r="GT20" s="36"/>
      <c r="GU20" s="36">
        <v>0</v>
      </c>
      <c r="GV20" s="36">
        <v>0</v>
      </c>
      <c r="GW20" s="36">
        <v>0</v>
      </c>
      <c r="GX20" s="36">
        <v>0</v>
      </c>
      <c r="GY20" s="36">
        <v>0</v>
      </c>
      <c r="GZ20" s="36">
        <v>0</v>
      </c>
      <c r="HA20" s="36">
        <v>0</v>
      </c>
      <c r="HB20" s="36">
        <v>0</v>
      </c>
      <c r="HC20" s="36">
        <f t="shared" si="0"/>
        <v>64377.107546137093</v>
      </c>
      <c r="HD20" s="36">
        <f>SUM(Q$5:Q$213)</f>
        <v>64377.107546137078</v>
      </c>
      <c r="HE20" s="41">
        <v>0</v>
      </c>
    </row>
    <row r="21" spans="1:213" hidden="1" outlineLevel="1" x14ac:dyDescent="0.2">
      <c r="A21" s="9" t="s">
        <v>218</v>
      </c>
      <c r="B21" s="36">
        <v>0</v>
      </c>
      <c r="C21" s="36">
        <v>0</v>
      </c>
      <c r="D21" s="36">
        <v>0</v>
      </c>
      <c r="E21" s="36">
        <v>0</v>
      </c>
      <c r="F21" s="36">
        <v>0</v>
      </c>
      <c r="G21" s="36">
        <v>0</v>
      </c>
      <c r="H21" s="36">
        <v>0</v>
      </c>
      <c r="I21" s="36">
        <v>0</v>
      </c>
      <c r="J21" s="36">
        <v>0</v>
      </c>
      <c r="K21" s="36">
        <v>0</v>
      </c>
      <c r="L21" s="36">
        <v>0</v>
      </c>
      <c r="M21" s="36">
        <v>0</v>
      </c>
      <c r="N21" s="36">
        <v>0</v>
      </c>
      <c r="O21" s="36">
        <v>0</v>
      </c>
      <c r="P21" s="36">
        <v>0</v>
      </c>
      <c r="Q21" s="36">
        <v>0</v>
      </c>
      <c r="R21" s="36">
        <v>0</v>
      </c>
      <c r="S21" s="36">
        <v>0</v>
      </c>
      <c r="T21" s="36">
        <v>0</v>
      </c>
      <c r="U21" s="36">
        <v>0</v>
      </c>
      <c r="V21" s="36">
        <v>0</v>
      </c>
      <c r="W21" s="36">
        <v>0</v>
      </c>
      <c r="X21" s="36">
        <v>0</v>
      </c>
      <c r="Y21" s="36">
        <v>0</v>
      </c>
      <c r="Z21" s="36">
        <v>0</v>
      </c>
      <c r="AA21" s="36">
        <v>0</v>
      </c>
      <c r="AB21" s="36">
        <v>0</v>
      </c>
      <c r="AC21" s="36">
        <v>0</v>
      </c>
      <c r="AD21" s="36">
        <v>0</v>
      </c>
      <c r="AE21" s="36">
        <v>0</v>
      </c>
      <c r="AF21" s="36">
        <v>0</v>
      </c>
      <c r="AG21" s="36">
        <v>0</v>
      </c>
      <c r="AH21" s="36">
        <v>0</v>
      </c>
      <c r="AI21" s="36">
        <v>0</v>
      </c>
      <c r="AJ21" s="36">
        <v>0</v>
      </c>
      <c r="AK21" s="36">
        <v>0</v>
      </c>
      <c r="AL21" s="36">
        <v>0</v>
      </c>
      <c r="AM21" s="36">
        <v>0</v>
      </c>
      <c r="AN21" s="36">
        <v>0</v>
      </c>
      <c r="AO21" s="36">
        <v>0</v>
      </c>
      <c r="AP21" s="36">
        <v>0</v>
      </c>
      <c r="AQ21" s="36">
        <v>0</v>
      </c>
      <c r="AR21" s="36">
        <v>0</v>
      </c>
      <c r="AS21" s="36">
        <v>0</v>
      </c>
      <c r="AT21" s="36">
        <v>0</v>
      </c>
      <c r="AU21" s="36">
        <v>0</v>
      </c>
      <c r="AV21" s="36">
        <v>0</v>
      </c>
      <c r="AW21" s="36">
        <v>0</v>
      </c>
      <c r="AX21" s="36">
        <v>0</v>
      </c>
      <c r="AY21" s="36">
        <v>0</v>
      </c>
      <c r="AZ21" s="36">
        <v>0</v>
      </c>
      <c r="BA21" s="36">
        <v>0</v>
      </c>
      <c r="BB21" s="36">
        <v>0</v>
      </c>
      <c r="BC21" s="36">
        <v>0</v>
      </c>
      <c r="BD21" s="36">
        <v>0</v>
      </c>
      <c r="BE21" s="36">
        <v>0</v>
      </c>
      <c r="BF21" s="36">
        <v>0</v>
      </c>
      <c r="BG21" s="36">
        <v>0</v>
      </c>
      <c r="BH21" s="36">
        <v>0</v>
      </c>
      <c r="BI21" s="36">
        <v>0</v>
      </c>
      <c r="BJ21" s="36">
        <v>0</v>
      </c>
      <c r="BK21" s="40">
        <v>0</v>
      </c>
      <c r="BL21" s="40">
        <v>0</v>
      </c>
      <c r="BM21" s="40">
        <v>0</v>
      </c>
      <c r="BN21" s="40">
        <v>0</v>
      </c>
      <c r="BO21" s="40">
        <v>0</v>
      </c>
      <c r="BP21" s="40">
        <v>0</v>
      </c>
      <c r="BQ21" s="40">
        <v>0</v>
      </c>
      <c r="BR21" s="40">
        <v>0</v>
      </c>
      <c r="BS21" s="40">
        <v>0</v>
      </c>
      <c r="BT21" s="40">
        <v>0</v>
      </c>
      <c r="BU21" s="40">
        <v>0</v>
      </c>
      <c r="BV21" s="40">
        <v>0</v>
      </c>
      <c r="BW21" s="40">
        <v>0</v>
      </c>
      <c r="BX21" s="40">
        <v>0</v>
      </c>
      <c r="BY21" s="40">
        <v>0</v>
      </c>
      <c r="BZ21" s="40">
        <v>0</v>
      </c>
      <c r="CA21" s="40">
        <v>0</v>
      </c>
      <c r="CB21" s="40">
        <v>0</v>
      </c>
      <c r="CC21" s="40">
        <v>0</v>
      </c>
      <c r="CD21" s="40">
        <v>0</v>
      </c>
      <c r="CE21" s="40">
        <v>0</v>
      </c>
      <c r="CF21" s="40">
        <v>0</v>
      </c>
      <c r="CG21" s="40">
        <v>0</v>
      </c>
      <c r="CH21" s="40">
        <v>0</v>
      </c>
      <c r="CI21" s="40">
        <v>0</v>
      </c>
      <c r="CJ21" s="40">
        <v>0</v>
      </c>
      <c r="CK21" s="40">
        <v>0</v>
      </c>
      <c r="CL21" s="40">
        <v>0</v>
      </c>
      <c r="CM21" s="40">
        <v>0</v>
      </c>
      <c r="CN21" s="40">
        <v>0</v>
      </c>
      <c r="CO21" s="40">
        <v>0</v>
      </c>
      <c r="CP21" s="40">
        <v>0</v>
      </c>
      <c r="CQ21" s="40">
        <v>0</v>
      </c>
      <c r="CR21" s="40">
        <v>0</v>
      </c>
      <c r="CS21" s="40">
        <v>0</v>
      </c>
      <c r="CT21" s="40">
        <v>0</v>
      </c>
      <c r="CU21" s="40">
        <v>0</v>
      </c>
      <c r="CV21" s="40">
        <v>0</v>
      </c>
      <c r="CW21" s="40">
        <v>58151.134469540462</v>
      </c>
      <c r="CX21" s="40">
        <v>277007.05621282069</v>
      </c>
      <c r="CY21" s="40">
        <v>4007.5571780868527</v>
      </c>
      <c r="CZ21" s="40">
        <v>0</v>
      </c>
      <c r="DA21" s="40">
        <v>0</v>
      </c>
      <c r="DB21" s="40">
        <v>1.5178819897293521</v>
      </c>
      <c r="DC21" s="40">
        <v>327.06117950955479</v>
      </c>
      <c r="DD21" s="40">
        <v>0</v>
      </c>
      <c r="DE21" s="40">
        <v>0</v>
      </c>
      <c r="DF21" s="40">
        <v>0</v>
      </c>
      <c r="DG21" s="40">
        <v>0</v>
      </c>
      <c r="DH21" s="40">
        <v>0</v>
      </c>
      <c r="DI21" s="40">
        <v>0</v>
      </c>
      <c r="DJ21" s="40">
        <v>0</v>
      </c>
      <c r="DK21" s="40">
        <v>4062.0217796109064</v>
      </c>
      <c r="DL21" s="40">
        <v>0</v>
      </c>
      <c r="DM21" s="40">
        <v>0</v>
      </c>
      <c r="DN21" s="40">
        <v>0</v>
      </c>
      <c r="DO21" s="40">
        <v>0</v>
      </c>
      <c r="DP21" s="40">
        <v>0</v>
      </c>
      <c r="DQ21" s="40">
        <v>0</v>
      </c>
      <c r="DR21" s="40">
        <v>0</v>
      </c>
      <c r="DS21" s="40">
        <v>0</v>
      </c>
      <c r="DT21" s="40">
        <v>0</v>
      </c>
      <c r="DU21" s="40">
        <v>0</v>
      </c>
      <c r="DV21" s="40">
        <v>0</v>
      </c>
      <c r="DW21" s="40">
        <v>0</v>
      </c>
      <c r="DX21" s="40">
        <v>0</v>
      </c>
      <c r="DY21" s="40">
        <v>0</v>
      </c>
      <c r="DZ21" s="40">
        <v>0</v>
      </c>
      <c r="EA21" s="40">
        <v>0</v>
      </c>
      <c r="EB21" s="40">
        <v>0</v>
      </c>
      <c r="EC21" s="40">
        <v>0</v>
      </c>
      <c r="ED21" s="40">
        <v>0</v>
      </c>
      <c r="EE21" s="40">
        <v>0</v>
      </c>
      <c r="EF21" s="40">
        <v>0</v>
      </c>
      <c r="EG21" s="40">
        <v>0</v>
      </c>
      <c r="EH21" s="40">
        <v>0</v>
      </c>
      <c r="EI21" s="40">
        <v>0</v>
      </c>
      <c r="EJ21" s="40">
        <v>0</v>
      </c>
      <c r="EK21" s="40">
        <v>0</v>
      </c>
      <c r="EL21" s="40">
        <v>0</v>
      </c>
      <c r="EM21" s="40">
        <v>0</v>
      </c>
      <c r="EN21" s="40">
        <v>0</v>
      </c>
      <c r="EO21" s="40">
        <v>0</v>
      </c>
      <c r="EP21" s="40">
        <v>0</v>
      </c>
      <c r="EQ21" s="40">
        <v>0</v>
      </c>
      <c r="ER21" s="40">
        <v>0</v>
      </c>
      <c r="ES21" s="40">
        <v>0</v>
      </c>
      <c r="ET21" s="40">
        <v>0</v>
      </c>
      <c r="EU21" s="40">
        <v>0</v>
      </c>
      <c r="EV21" s="40">
        <v>0</v>
      </c>
      <c r="EW21" s="40">
        <v>0</v>
      </c>
      <c r="EX21" s="40">
        <v>0</v>
      </c>
      <c r="EY21" s="40">
        <v>0</v>
      </c>
      <c r="EZ21" s="40">
        <v>0</v>
      </c>
      <c r="FA21" s="40">
        <v>0</v>
      </c>
      <c r="FB21" s="40">
        <v>0</v>
      </c>
      <c r="FC21" s="40">
        <v>0</v>
      </c>
      <c r="FD21" s="40">
        <v>0</v>
      </c>
      <c r="FE21" s="40">
        <v>0</v>
      </c>
      <c r="FF21" s="40">
        <v>5077.0870176843446</v>
      </c>
      <c r="FG21" s="40">
        <v>0</v>
      </c>
      <c r="FH21" s="40">
        <v>0</v>
      </c>
      <c r="FI21" s="40">
        <v>0</v>
      </c>
      <c r="FJ21" s="40">
        <v>0</v>
      </c>
      <c r="FK21" s="40">
        <v>0</v>
      </c>
      <c r="FL21" s="40">
        <v>0</v>
      </c>
      <c r="FM21" s="40">
        <v>0</v>
      </c>
      <c r="FN21" s="40">
        <v>0</v>
      </c>
      <c r="FO21" s="36">
        <v>0</v>
      </c>
      <c r="FP21" s="36">
        <v>0</v>
      </c>
      <c r="FQ21" s="36">
        <v>0</v>
      </c>
      <c r="FR21" s="36">
        <v>0</v>
      </c>
      <c r="FS21" s="36">
        <v>0</v>
      </c>
      <c r="FT21" s="36">
        <v>0</v>
      </c>
      <c r="FU21" s="36">
        <v>0</v>
      </c>
      <c r="FV21" s="36">
        <v>0</v>
      </c>
      <c r="FW21" s="36">
        <v>0</v>
      </c>
      <c r="FX21" s="36">
        <v>0</v>
      </c>
      <c r="FY21" s="36">
        <v>0</v>
      </c>
      <c r="FZ21" s="36">
        <v>0</v>
      </c>
      <c r="GA21" s="36">
        <v>0</v>
      </c>
      <c r="GB21" s="36">
        <v>0</v>
      </c>
      <c r="GC21" s="36">
        <v>0</v>
      </c>
      <c r="GD21" s="36">
        <v>0</v>
      </c>
      <c r="GE21" s="36">
        <v>0</v>
      </c>
      <c r="GF21" s="36">
        <v>0</v>
      </c>
      <c r="GG21" s="36"/>
      <c r="GH21" s="36"/>
      <c r="GI21" s="36"/>
      <c r="GJ21" s="36"/>
      <c r="GK21" s="36"/>
      <c r="GL21" s="36"/>
      <c r="GM21" s="36"/>
      <c r="GN21" s="36"/>
      <c r="GO21" s="36"/>
      <c r="GP21" s="36"/>
      <c r="GQ21" s="36"/>
      <c r="GR21" s="36"/>
      <c r="GS21" s="36"/>
      <c r="GT21" s="36"/>
      <c r="GU21" s="36">
        <v>0</v>
      </c>
      <c r="GV21" s="36">
        <v>0</v>
      </c>
      <c r="GW21" s="36">
        <v>0</v>
      </c>
      <c r="GX21" s="36">
        <v>0</v>
      </c>
      <c r="GY21" s="36">
        <v>0</v>
      </c>
      <c r="GZ21" s="36">
        <v>0</v>
      </c>
      <c r="HA21" s="36">
        <v>0</v>
      </c>
      <c r="HB21" s="36">
        <v>0</v>
      </c>
      <c r="HC21" s="36">
        <f t="shared" si="0"/>
        <v>348633.43571924249</v>
      </c>
      <c r="HD21" s="36">
        <f>SUM(R$5:R$213)</f>
        <v>348633.43571924255</v>
      </c>
      <c r="HE21" s="41">
        <v>0</v>
      </c>
    </row>
    <row r="22" spans="1:213" hidden="1" outlineLevel="1" x14ac:dyDescent="0.2">
      <c r="A22" s="9" t="s">
        <v>223</v>
      </c>
      <c r="B22" s="36">
        <v>0</v>
      </c>
      <c r="C22" s="36">
        <v>0</v>
      </c>
      <c r="D22" s="36">
        <v>0</v>
      </c>
      <c r="E22" s="36">
        <v>0</v>
      </c>
      <c r="F22" s="36">
        <v>0</v>
      </c>
      <c r="G22" s="36">
        <v>0</v>
      </c>
      <c r="H22" s="36">
        <v>0</v>
      </c>
      <c r="I22" s="36">
        <v>0</v>
      </c>
      <c r="J22" s="36">
        <v>0</v>
      </c>
      <c r="K22" s="36">
        <v>0</v>
      </c>
      <c r="L22" s="36">
        <v>0</v>
      </c>
      <c r="M22" s="36">
        <v>0</v>
      </c>
      <c r="N22" s="36">
        <v>0</v>
      </c>
      <c r="O22" s="36">
        <v>0</v>
      </c>
      <c r="P22" s="36">
        <v>0</v>
      </c>
      <c r="Q22" s="36">
        <v>0</v>
      </c>
      <c r="R22" s="36">
        <v>0</v>
      </c>
      <c r="S22" s="36">
        <v>0</v>
      </c>
      <c r="T22" s="36">
        <v>0</v>
      </c>
      <c r="U22" s="36">
        <v>0</v>
      </c>
      <c r="V22" s="36">
        <v>0</v>
      </c>
      <c r="W22" s="36">
        <v>0</v>
      </c>
      <c r="X22" s="36">
        <v>0</v>
      </c>
      <c r="Y22" s="36">
        <v>0</v>
      </c>
      <c r="Z22" s="36">
        <v>0</v>
      </c>
      <c r="AA22" s="36">
        <v>0</v>
      </c>
      <c r="AB22" s="36">
        <v>0</v>
      </c>
      <c r="AC22" s="36">
        <v>0</v>
      </c>
      <c r="AD22" s="36">
        <v>0</v>
      </c>
      <c r="AE22" s="36">
        <v>0</v>
      </c>
      <c r="AF22" s="36">
        <v>0</v>
      </c>
      <c r="AG22" s="36">
        <v>0</v>
      </c>
      <c r="AH22" s="36">
        <v>0</v>
      </c>
      <c r="AI22" s="36">
        <v>0</v>
      </c>
      <c r="AJ22" s="36">
        <v>0</v>
      </c>
      <c r="AK22" s="36">
        <v>0</v>
      </c>
      <c r="AL22" s="36">
        <v>0</v>
      </c>
      <c r="AM22" s="36">
        <v>0</v>
      </c>
      <c r="AN22" s="36">
        <v>0</v>
      </c>
      <c r="AO22" s="36">
        <v>0</v>
      </c>
      <c r="AP22" s="36">
        <v>0</v>
      </c>
      <c r="AQ22" s="36">
        <v>0</v>
      </c>
      <c r="AR22" s="36">
        <v>0</v>
      </c>
      <c r="AS22" s="36">
        <v>0</v>
      </c>
      <c r="AT22" s="36">
        <v>0</v>
      </c>
      <c r="AU22" s="36">
        <v>0</v>
      </c>
      <c r="AV22" s="36">
        <v>0</v>
      </c>
      <c r="AW22" s="36">
        <v>0</v>
      </c>
      <c r="AX22" s="36">
        <v>0</v>
      </c>
      <c r="AY22" s="36">
        <v>0</v>
      </c>
      <c r="AZ22" s="36">
        <v>0</v>
      </c>
      <c r="BA22" s="36">
        <v>0</v>
      </c>
      <c r="BB22" s="36">
        <v>0</v>
      </c>
      <c r="BC22" s="36">
        <v>0</v>
      </c>
      <c r="BD22" s="36">
        <v>0</v>
      </c>
      <c r="BE22" s="36">
        <v>0</v>
      </c>
      <c r="BF22" s="36">
        <v>0</v>
      </c>
      <c r="BG22" s="36">
        <v>0</v>
      </c>
      <c r="BH22" s="36">
        <v>0</v>
      </c>
      <c r="BI22" s="36">
        <v>0</v>
      </c>
      <c r="BJ22" s="36">
        <v>0</v>
      </c>
      <c r="BK22" s="40">
        <v>0</v>
      </c>
      <c r="BL22" s="40">
        <v>0</v>
      </c>
      <c r="BM22" s="40">
        <v>0</v>
      </c>
      <c r="BN22" s="40">
        <v>0</v>
      </c>
      <c r="BO22" s="40">
        <v>0</v>
      </c>
      <c r="BP22" s="40">
        <v>0</v>
      </c>
      <c r="BQ22" s="40">
        <v>0</v>
      </c>
      <c r="BR22" s="40">
        <v>0</v>
      </c>
      <c r="BS22" s="40">
        <v>0</v>
      </c>
      <c r="BT22" s="40">
        <v>0</v>
      </c>
      <c r="BU22" s="40">
        <v>0</v>
      </c>
      <c r="BV22" s="40">
        <v>0</v>
      </c>
      <c r="BW22" s="40">
        <v>0</v>
      </c>
      <c r="BX22" s="40">
        <v>0</v>
      </c>
      <c r="BY22" s="40">
        <v>0</v>
      </c>
      <c r="BZ22" s="40">
        <v>0</v>
      </c>
      <c r="CA22" s="40">
        <v>0</v>
      </c>
      <c r="CB22" s="40">
        <v>0</v>
      </c>
      <c r="CC22" s="40">
        <v>0</v>
      </c>
      <c r="CD22" s="40">
        <v>0</v>
      </c>
      <c r="CE22" s="40">
        <v>0</v>
      </c>
      <c r="CF22" s="40">
        <v>0</v>
      </c>
      <c r="CG22" s="40">
        <v>0</v>
      </c>
      <c r="CH22" s="40">
        <v>0</v>
      </c>
      <c r="CI22" s="40">
        <v>0</v>
      </c>
      <c r="CJ22" s="40">
        <v>0</v>
      </c>
      <c r="CK22" s="40">
        <v>0</v>
      </c>
      <c r="CL22" s="40">
        <v>28.764226233185532</v>
      </c>
      <c r="CM22" s="40">
        <v>0</v>
      </c>
      <c r="CN22" s="40">
        <v>0</v>
      </c>
      <c r="CO22" s="40">
        <v>0</v>
      </c>
      <c r="CP22" s="40">
        <v>0</v>
      </c>
      <c r="CQ22" s="40">
        <v>0</v>
      </c>
      <c r="CR22" s="40">
        <v>0</v>
      </c>
      <c r="CS22" s="40">
        <v>0</v>
      </c>
      <c r="CT22" s="40">
        <v>0</v>
      </c>
      <c r="CU22" s="40">
        <v>36.820361311463984</v>
      </c>
      <c r="CV22" s="40">
        <v>0</v>
      </c>
      <c r="CW22" s="40">
        <v>0</v>
      </c>
      <c r="CX22" s="40">
        <v>4174.0013737366671</v>
      </c>
      <c r="CY22" s="40">
        <v>93185.837051163006</v>
      </c>
      <c r="CZ22" s="40">
        <v>3188.8345997701899</v>
      </c>
      <c r="DA22" s="40">
        <v>0</v>
      </c>
      <c r="DB22" s="40">
        <v>563.15779078105038</v>
      </c>
      <c r="DC22" s="40">
        <v>3238.3766062531126</v>
      </c>
      <c r="DD22" s="40">
        <v>18.178635475662443</v>
      </c>
      <c r="DE22" s="40">
        <v>112.93966983922736</v>
      </c>
      <c r="DF22" s="40">
        <v>15.850320053851963</v>
      </c>
      <c r="DG22" s="40">
        <v>0</v>
      </c>
      <c r="DH22" s="40">
        <v>0</v>
      </c>
      <c r="DI22" s="40">
        <v>0</v>
      </c>
      <c r="DJ22" s="40">
        <v>0</v>
      </c>
      <c r="DK22" s="40">
        <v>141.96532100568052</v>
      </c>
      <c r="DL22" s="40">
        <v>0</v>
      </c>
      <c r="DM22" s="40">
        <v>0</v>
      </c>
      <c r="DN22" s="40">
        <v>0</v>
      </c>
      <c r="DO22" s="40">
        <v>42.237115220969841</v>
      </c>
      <c r="DP22" s="40">
        <v>23.283873945475783</v>
      </c>
      <c r="DQ22" s="40">
        <v>0</v>
      </c>
      <c r="DR22" s="40">
        <v>0</v>
      </c>
      <c r="DS22" s="40">
        <v>0</v>
      </c>
      <c r="DT22" s="40">
        <v>0</v>
      </c>
      <c r="DU22" s="40">
        <v>0</v>
      </c>
      <c r="DV22" s="40">
        <v>0</v>
      </c>
      <c r="DW22" s="40">
        <v>0</v>
      </c>
      <c r="DX22" s="40">
        <v>0</v>
      </c>
      <c r="DY22" s="40">
        <v>0</v>
      </c>
      <c r="DZ22" s="40">
        <v>0</v>
      </c>
      <c r="EA22" s="40">
        <v>0</v>
      </c>
      <c r="EB22" s="40">
        <v>0</v>
      </c>
      <c r="EC22" s="40">
        <v>0</v>
      </c>
      <c r="ED22" s="40">
        <v>0</v>
      </c>
      <c r="EE22" s="40">
        <v>0</v>
      </c>
      <c r="EF22" s="40">
        <v>0</v>
      </c>
      <c r="EG22" s="40">
        <v>0</v>
      </c>
      <c r="EH22" s="40">
        <v>0</v>
      </c>
      <c r="EI22" s="40">
        <v>0</v>
      </c>
      <c r="EJ22" s="40">
        <v>0</v>
      </c>
      <c r="EK22" s="40">
        <v>0</v>
      </c>
      <c r="EL22" s="40">
        <v>0</v>
      </c>
      <c r="EM22" s="40">
        <v>0</v>
      </c>
      <c r="EN22" s="40">
        <v>0</v>
      </c>
      <c r="EO22" s="40">
        <v>0</v>
      </c>
      <c r="EP22" s="40">
        <v>0</v>
      </c>
      <c r="EQ22" s="40">
        <v>0</v>
      </c>
      <c r="ER22" s="40">
        <v>0</v>
      </c>
      <c r="ES22" s="40">
        <v>0</v>
      </c>
      <c r="ET22" s="40">
        <v>0</v>
      </c>
      <c r="EU22" s="40">
        <v>0</v>
      </c>
      <c r="EV22" s="40">
        <v>0</v>
      </c>
      <c r="EW22" s="40">
        <v>0</v>
      </c>
      <c r="EX22" s="40">
        <v>0</v>
      </c>
      <c r="EY22" s="40">
        <v>0</v>
      </c>
      <c r="EZ22" s="40">
        <v>0</v>
      </c>
      <c r="FA22" s="40">
        <v>0</v>
      </c>
      <c r="FB22" s="40">
        <v>0</v>
      </c>
      <c r="FC22" s="40">
        <v>0</v>
      </c>
      <c r="FD22" s="40">
        <v>0</v>
      </c>
      <c r="FE22" s="40">
        <v>0</v>
      </c>
      <c r="FF22" s="40">
        <v>2988.7756559507866</v>
      </c>
      <c r="FG22" s="40">
        <v>0</v>
      </c>
      <c r="FH22" s="40">
        <v>0</v>
      </c>
      <c r="FI22" s="40">
        <v>0</v>
      </c>
      <c r="FJ22" s="40">
        <v>0</v>
      </c>
      <c r="FK22" s="40">
        <v>0</v>
      </c>
      <c r="FL22" s="40">
        <v>0</v>
      </c>
      <c r="FM22" s="40">
        <v>0</v>
      </c>
      <c r="FN22" s="40">
        <v>0</v>
      </c>
      <c r="FO22" s="36">
        <v>0</v>
      </c>
      <c r="FP22" s="36">
        <v>0</v>
      </c>
      <c r="FQ22" s="36">
        <v>0</v>
      </c>
      <c r="FR22" s="36">
        <v>0</v>
      </c>
      <c r="FS22" s="36">
        <v>0</v>
      </c>
      <c r="FT22" s="36">
        <v>0</v>
      </c>
      <c r="FU22" s="36">
        <v>0</v>
      </c>
      <c r="FV22" s="36">
        <v>0</v>
      </c>
      <c r="FW22" s="36">
        <v>0</v>
      </c>
      <c r="FX22" s="36">
        <v>0</v>
      </c>
      <c r="FY22" s="36">
        <v>0</v>
      </c>
      <c r="FZ22" s="36">
        <v>0</v>
      </c>
      <c r="GA22" s="36">
        <v>0</v>
      </c>
      <c r="GB22" s="36">
        <v>0</v>
      </c>
      <c r="GC22" s="36">
        <v>0</v>
      </c>
      <c r="GD22" s="36">
        <v>0</v>
      </c>
      <c r="GE22" s="36">
        <v>0</v>
      </c>
      <c r="GF22" s="36">
        <v>0</v>
      </c>
      <c r="GG22" s="36"/>
      <c r="GH22" s="36"/>
      <c r="GI22" s="36"/>
      <c r="GJ22" s="36"/>
      <c r="GK22" s="36"/>
      <c r="GL22" s="36"/>
      <c r="GM22" s="36"/>
      <c r="GN22" s="36"/>
      <c r="GO22" s="36"/>
      <c r="GP22" s="36"/>
      <c r="GQ22" s="36"/>
      <c r="GR22" s="36"/>
      <c r="GS22" s="36"/>
      <c r="GT22" s="36"/>
      <c r="GU22" s="36">
        <v>0</v>
      </c>
      <c r="GV22" s="36">
        <v>0</v>
      </c>
      <c r="GW22" s="36">
        <v>0</v>
      </c>
      <c r="GX22" s="36">
        <v>0</v>
      </c>
      <c r="GY22" s="36">
        <v>0</v>
      </c>
      <c r="GZ22" s="36">
        <v>0</v>
      </c>
      <c r="HA22" s="36">
        <v>0</v>
      </c>
      <c r="HB22" s="36">
        <v>0</v>
      </c>
      <c r="HC22" s="36">
        <f t="shared" si="0"/>
        <v>107759.02260074033</v>
      </c>
      <c r="HD22" s="36">
        <f>SUM(S$5:S$213)</f>
        <v>107759.02260074028</v>
      </c>
      <c r="HE22" s="41">
        <v>0</v>
      </c>
    </row>
    <row r="23" spans="1:213" hidden="1" outlineLevel="1" x14ac:dyDescent="0.2">
      <c r="A23" s="9" t="s">
        <v>229</v>
      </c>
      <c r="B23" s="36">
        <v>0</v>
      </c>
      <c r="C23" s="36">
        <v>0</v>
      </c>
      <c r="D23" s="36">
        <v>0</v>
      </c>
      <c r="E23" s="36">
        <v>0</v>
      </c>
      <c r="F23" s="36">
        <v>0</v>
      </c>
      <c r="G23" s="36">
        <v>0</v>
      </c>
      <c r="H23" s="36">
        <v>0</v>
      </c>
      <c r="I23" s="36">
        <v>0</v>
      </c>
      <c r="J23" s="36">
        <v>0</v>
      </c>
      <c r="K23" s="36">
        <v>0</v>
      </c>
      <c r="L23" s="36">
        <v>0</v>
      </c>
      <c r="M23" s="36">
        <v>0</v>
      </c>
      <c r="N23" s="36">
        <v>0</v>
      </c>
      <c r="O23" s="36">
        <v>0</v>
      </c>
      <c r="P23" s="36">
        <v>0</v>
      </c>
      <c r="Q23" s="36">
        <v>0</v>
      </c>
      <c r="R23" s="36">
        <v>0</v>
      </c>
      <c r="S23" s="36">
        <v>0</v>
      </c>
      <c r="T23" s="36">
        <v>0</v>
      </c>
      <c r="U23" s="36">
        <v>0</v>
      </c>
      <c r="V23" s="36">
        <v>0</v>
      </c>
      <c r="W23" s="36">
        <v>0</v>
      </c>
      <c r="X23" s="36">
        <v>0</v>
      </c>
      <c r="Y23" s="36">
        <v>0</v>
      </c>
      <c r="Z23" s="36">
        <v>0</v>
      </c>
      <c r="AA23" s="36">
        <v>0</v>
      </c>
      <c r="AB23" s="36">
        <v>0</v>
      </c>
      <c r="AC23" s="36">
        <v>0</v>
      </c>
      <c r="AD23" s="36">
        <v>0</v>
      </c>
      <c r="AE23" s="36">
        <v>0</v>
      </c>
      <c r="AF23" s="36">
        <v>0</v>
      </c>
      <c r="AG23" s="36">
        <v>0</v>
      </c>
      <c r="AH23" s="36">
        <v>0</v>
      </c>
      <c r="AI23" s="36">
        <v>0</v>
      </c>
      <c r="AJ23" s="36">
        <v>0</v>
      </c>
      <c r="AK23" s="36">
        <v>0</v>
      </c>
      <c r="AL23" s="36">
        <v>0</v>
      </c>
      <c r="AM23" s="36">
        <v>0</v>
      </c>
      <c r="AN23" s="36">
        <v>0</v>
      </c>
      <c r="AO23" s="36">
        <v>0</v>
      </c>
      <c r="AP23" s="36">
        <v>0</v>
      </c>
      <c r="AQ23" s="36">
        <v>0</v>
      </c>
      <c r="AR23" s="36">
        <v>0</v>
      </c>
      <c r="AS23" s="36">
        <v>0</v>
      </c>
      <c r="AT23" s="36">
        <v>0</v>
      </c>
      <c r="AU23" s="36">
        <v>0</v>
      </c>
      <c r="AV23" s="36">
        <v>0</v>
      </c>
      <c r="AW23" s="36">
        <v>0</v>
      </c>
      <c r="AX23" s="36">
        <v>0</v>
      </c>
      <c r="AY23" s="36">
        <v>0</v>
      </c>
      <c r="AZ23" s="36">
        <v>0</v>
      </c>
      <c r="BA23" s="36">
        <v>0</v>
      </c>
      <c r="BB23" s="36">
        <v>0</v>
      </c>
      <c r="BC23" s="36">
        <v>0</v>
      </c>
      <c r="BD23" s="36">
        <v>0</v>
      </c>
      <c r="BE23" s="36">
        <v>0</v>
      </c>
      <c r="BF23" s="36">
        <v>0</v>
      </c>
      <c r="BG23" s="36">
        <v>0</v>
      </c>
      <c r="BH23" s="36">
        <v>0</v>
      </c>
      <c r="BI23" s="36">
        <v>0</v>
      </c>
      <c r="BJ23" s="36">
        <v>0</v>
      </c>
      <c r="BK23" s="40">
        <v>0</v>
      </c>
      <c r="BL23" s="40">
        <v>0</v>
      </c>
      <c r="BM23" s="40">
        <v>0</v>
      </c>
      <c r="BN23" s="40">
        <v>0</v>
      </c>
      <c r="BO23" s="40">
        <v>0</v>
      </c>
      <c r="BP23" s="40">
        <v>0</v>
      </c>
      <c r="BQ23" s="40">
        <v>0</v>
      </c>
      <c r="BR23" s="40">
        <v>0</v>
      </c>
      <c r="BS23" s="40">
        <v>0</v>
      </c>
      <c r="BT23" s="40">
        <v>0</v>
      </c>
      <c r="BU23" s="40">
        <v>0</v>
      </c>
      <c r="BV23" s="40">
        <v>0</v>
      </c>
      <c r="BW23" s="40">
        <v>0</v>
      </c>
      <c r="BX23" s="40">
        <v>0</v>
      </c>
      <c r="BY23" s="40">
        <v>0</v>
      </c>
      <c r="BZ23" s="40">
        <v>0</v>
      </c>
      <c r="CA23" s="40">
        <v>0</v>
      </c>
      <c r="CB23" s="40">
        <v>257.86786203687853</v>
      </c>
      <c r="CC23" s="40">
        <v>0</v>
      </c>
      <c r="CD23" s="40">
        <v>0</v>
      </c>
      <c r="CE23" s="40">
        <v>0</v>
      </c>
      <c r="CF23" s="40">
        <v>0</v>
      </c>
      <c r="CG23" s="40">
        <v>0</v>
      </c>
      <c r="CH23" s="40">
        <v>1402.4758195137645</v>
      </c>
      <c r="CI23" s="40">
        <v>0</v>
      </c>
      <c r="CJ23" s="40">
        <v>4.2090972508233016</v>
      </c>
      <c r="CK23" s="40">
        <v>5.928596679369873</v>
      </c>
      <c r="CL23" s="40">
        <v>0</v>
      </c>
      <c r="CM23" s="40">
        <v>0</v>
      </c>
      <c r="CN23" s="40">
        <v>0</v>
      </c>
      <c r="CO23" s="40">
        <v>274.50852865587092</v>
      </c>
      <c r="CP23" s="40">
        <v>0</v>
      </c>
      <c r="CQ23" s="40">
        <v>0</v>
      </c>
      <c r="CR23" s="40">
        <v>0</v>
      </c>
      <c r="CS23" s="40">
        <v>0</v>
      </c>
      <c r="CT23" s="40">
        <v>10.810155897842321</v>
      </c>
      <c r="CU23" s="40">
        <v>0</v>
      </c>
      <c r="CV23" s="40">
        <v>118.60547221090999</v>
      </c>
      <c r="CW23" s="40">
        <v>30.57646874234198</v>
      </c>
      <c r="CX23" s="40">
        <v>5871.5691373539012</v>
      </c>
      <c r="CY23" s="40">
        <v>11559.415184918376</v>
      </c>
      <c r="CZ23" s="40">
        <v>16282.460563354098</v>
      </c>
      <c r="DA23" s="40">
        <v>33321.623206842225</v>
      </c>
      <c r="DB23" s="40">
        <v>36364.319570615276</v>
      </c>
      <c r="DC23" s="40">
        <v>27878.008136743909</v>
      </c>
      <c r="DD23" s="40">
        <v>0</v>
      </c>
      <c r="DE23" s="40">
        <v>60.101213334464994</v>
      </c>
      <c r="DF23" s="40">
        <v>0</v>
      </c>
      <c r="DG23" s="40">
        <v>0</v>
      </c>
      <c r="DH23" s="40">
        <v>544.72138333985447</v>
      </c>
      <c r="DI23" s="40">
        <v>0</v>
      </c>
      <c r="DJ23" s="40">
        <v>0</v>
      </c>
      <c r="DK23" s="40">
        <v>5.8228531877849683</v>
      </c>
      <c r="DL23" s="40">
        <v>0</v>
      </c>
      <c r="DM23" s="40">
        <v>0</v>
      </c>
      <c r="DN23" s="40">
        <v>1957.0391568383309</v>
      </c>
      <c r="DO23" s="40">
        <v>0</v>
      </c>
      <c r="DP23" s="40">
        <v>0</v>
      </c>
      <c r="DQ23" s="40">
        <v>0</v>
      </c>
      <c r="DR23" s="40">
        <v>0</v>
      </c>
      <c r="DS23" s="40">
        <v>0</v>
      </c>
      <c r="DT23" s="40">
        <v>92.961157190731896</v>
      </c>
      <c r="DU23" s="40">
        <v>0</v>
      </c>
      <c r="DV23" s="40">
        <v>0</v>
      </c>
      <c r="DW23" s="40">
        <v>0</v>
      </c>
      <c r="DX23" s="40">
        <v>0</v>
      </c>
      <c r="DY23" s="40">
        <v>0</v>
      </c>
      <c r="DZ23" s="40">
        <v>0</v>
      </c>
      <c r="EA23" s="40">
        <v>0</v>
      </c>
      <c r="EB23" s="40">
        <v>0</v>
      </c>
      <c r="EC23" s="40">
        <v>219.64681448990927</v>
      </c>
      <c r="ED23" s="40">
        <v>0</v>
      </c>
      <c r="EE23" s="40">
        <v>0</v>
      </c>
      <c r="EF23" s="40">
        <v>0</v>
      </c>
      <c r="EG23" s="40">
        <v>0</v>
      </c>
      <c r="EH23" s="40">
        <v>0</v>
      </c>
      <c r="EI23" s="40">
        <v>0</v>
      </c>
      <c r="EJ23" s="40">
        <v>0</v>
      </c>
      <c r="EK23" s="40">
        <v>0</v>
      </c>
      <c r="EL23" s="40">
        <v>0</v>
      </c>
      <c r="EM23" s="40">
        <v>0</v>
      </c>
      <c r="EN23" s="40">
        <v>0</v>
      </c>
      <c r="EO23" s="40">
        <v>0</v>
      </c>
      <c r="EP23" s="40">
        <v>0</v>
      </c>
      <c r="EQ23" s="40">
        <v>0</v>
      </c>
      <c r="ER23" s="40">
        <v>0</v>
      </c>
      <c r="ES23" s="40">
        <v>0</v>
      </c>
      <c r="ET23" s="40">
        <v>0</v>
      </c>
      <c r="EU23" s="40">
        <v>0</v>
      </c>
      <c r="EV23" s="40">
        <v>0</v>
      </c>
      <c r="EW23" s="40">
        <v>0</v>
      </c>
      <c r="EX23" s="40">
        <v>0</v>
      </c>
      <c r="EY23" s="40">
        <v>0</v>
      </c>
      <c r="EZ23" s="40">
        <v>0</v>
      </c>
      <c r="FA23" s="40">
        <v>0</v>
      </c>
      <c r="FB23" s="40">
        <v>0</v>
      </c>
      <c r="FC23" s="40">
        <v>0</v>
      </c>
      <c r="FD23" s="40">
        <v>0</v>
      </c>
      <c r="FE23" s="40">
        <v>0</v>
      </c>
      <c r="FF23" s="40">
        <v>1322.4413894944787</v>
      </c>
      <c r="FG23" s="40">
        <v>0</v>
      </c>
      <c r="FH23" s="40">
        <v>0</v>
      </c>
      <c r="FI23" s="40">
        <v>0</v>
      </c>
      <c r="FJ23" s="40">
        <v>0</v>
      </c>
      <c r="FK23" s="40">
        <v>0</v>
      </c>
      <c r="FL23" s="40">
        <v>0</v>
      </c>
      <c r="FM23" s="40">
        <v>0</v>
      </c>
      <c r="FN23" s="40">
        <v>0</v>
      </c>
      <c r="FO23" s="36">
        <v>0</v>
      </c>
      <c r="FP23" s="36">
        <v>0</v>
      </c>
      <c r="FQ23" s="36">
        <v>0</v>
      </c>
      <c r="FR23" s="36">
        <v>0</v>
      </c>
      <c r="FS23" s="36">
        <v>0</v>
      </c>
      <c r="FT23" s="36">
        <v>0</v>
      </c>
      <c r="FU23" s="36">
        <v>0</v>
      </c>
      <c r="FV23" s="36">
        <v>0</v>
      </c>
      <c r="FW23" s="36">
        <v>0</v>
      </c>
      <c r="FX23" s="36">
        <v>0</v>
      </c>
      <c r="FY23" s="36">
        <v>0</v>
      </c>
      <c r="FZ23" s="36">
        <v>0</v>
      </c>
      <c r="GA23" s="36">
        <v>0</v>
      </c>
      <c r="GB23" s="36">
        <v>0</v>
      </c>
      <c r="GC23" s="36">
        <v>0</v>
      </c>
      <c r="GD23" s="36">
        <v>0</v>
      </c>
      <c r="GE23" s="36">
        <v>0</v>
      </c>
      <c r="GF23" s="36">
        <v>0</v>
      </c>
      <c r="GG23" s="36"/>
      <c r="GH23" s="36"/>
      <c r="GI23" s="36"/>
      <c r="GJ23" s="36"/>
      <c r="GK23" s="36"/>
      <c r="GL23" s="36"/>
      <c r="GM23" s="36"/>
      <c r="GN23" s="36"/>
      <c r="GO23" s="36"/>
      <c r="GP23" s="36"/>
      <c r="GQ23" s="36"/>
      <c r="GR23" s="36"/>
      <c r="GS23" s="36"/>
      <c r="GT23" s="36"/>
      <c r="GU23" s="36">
        <v>0</v>
      </c>
      <c r="GV23" s="36">
        <v>0</v>
      </c>
      <c r="GW23" s="36">
        <v>0</v>
      </c>
      <c r="GX23" s="36">
        <v>0</v>
      </c>
      <c r="GY23" s="36">
        <v>0</v>
      </c>
      <c r="GZ23" s="36">
        <v>0</v>
      </c>
      <c r="HA23" s="36">
        <v>0</v>
      </c>
      <c r="HB23" s="36">
        <v>0</v>
      </c>
      <c r="HC23" s="36">
        <f t="shared" si="0"/>
        <v>137585.11176869116</v>
      </c>
      <c r="HD23" s="36">
        <f>SUM(T$5:T$213)</f>
        <v>137585.11176869116</v>
      </c>
      <c r="HE23" s="41">
        <v>0</v>
      </c>
    </row>
    <row r="24" spans="1:213" hidden="1" outlineLevel="1" x14ac:dyDescent="0.2">
      <c r="A24" s="9" t="s">
        <v>235</v>
      </c>
      <c r="B24" s="36">
        <v>0</v>
      </c>
      <c r="C24" s="36">
        <v>0</v>
      </c>
      <c r="D24" s="36">
        <v>0</v>
      </c>
      <c r="E24" s="36">
        <v>0</v>
      </c>
      <c r="F24" s="36">
        <v>0</v>
      </c>
      <c r="G24" s="36">
        <v>0</v>
      </c>
      <c r="H24" s="36">
        <v>0</v>
      </c>
      <c r="I24" s="36">
        <v>0</v>
      </c>
      <c r="J24" s="36">
        <v>0</v>
      </c>
      <c r="K24" s="36">
        <v>0</v>
      </c>
      <c r="L24" s="36">
        <v>0</v>
      </c>
      <c r="M24" s="36">
        <v>0</v>
      </c>
      <c r="N24" s="36">
        <v>0</v>
      </c>
      <c r="O24" s="36">
        <v>0</v>
      </c>
      <c r="P24" s="36">
        <v>0</v>
      </c>
      <c r="Q24" s="36">
        <v>0</v>
      </c>
      <c r="R24" s="36">
        <v>0</v>
      </c>
      <c r="S24" s="36">
        <v>0</v>
      </c>
      <c r="T24" s="36">
        <v>0</v>
      </c>
      <c r="U24" s="36">
        <v>0</v>
      </c>
      <c r="V24" s="36">
        <v>0</v>
      </c>
      <c r="W24" s="36">
        <v>0</v>
      </c>
      <c r="X24" s="36">
        <v>0</v>
      </c>
      <c r="Y24" s="36">
        <v>0</v>
      </c>
      <c r="Z24" s="36">
        <v>0</v>
      </c>
      <c r="AA24" s="36">
        <v>0</v>
      </c>
      <c r="AB24" s="36">
        <v>0</v>
      </c>
      <c r="AC24" s="36">
        <v>0</v>
      </c>
      <c r="AD24" s="36">
        <v>0</v>
      </c>
      <c r="AE24" s="36">
        <v>0</v>
      </c>
      <c r="AF24" s="36">
        <v>0</v>
      </c>
      <c r="AG24" s="36">
        <v>0</v>
      </c>
      <c r="AH24" s="36">
        <v>0</v>
      </c>
      <c r="AI24" s="36">
        <v>0</v>
      </c>
      <c r="AJ24" s="36">
        <v>0</v>
      </c>
      <c r="AK24" s="36">
        <v>0</v>
      </c>
      <c r="AL24" s="36">
        <v>0</v>
      </c>
      <c r="AM24" s="36">
        <v>0</v>
      </c>
      <c r="AN24" s="36">
        <v>0</v>
      </c>
      <c r="AO24" s="36">
        <v>0</v>
      </c>
      <c r="AP24" s="36">
        <v>0</v>
      </c>
      <c r="AQ24" s="36">
        <v>0</v>
      </c>
      <c r="AR24" s="36">
        <v>0</v>
      </c>
      <c r="AS24" s="36">
        <v>0</v>
      </c>
      <c r="AT24" s="36">
        <v>0</v>
      </c>
      <c r="AU24" s="36">
        <v>0</v>
      </c>
      <c r="AV24" s="36">
        <v>0</v>
      </c>
      <c r="AW24" s="36">
        <v>0</v>
      </c>
      <c r="AX24" s="36">
        <v>0</v>
      </c>
      <c r="AY24" s="36">
        <v>0</v>
      </c>
      <c r="AZ24" s="36">
        <v>0</v>
      </c>
      <c r="BA24" s="36">
        <v>0</v>
      </c>
      <c r="BB24" s="36">
        <v>0</v>
      </c>
      <c r="BC24" s="36">
        <v>0</v>
      </c>
      <c r="BD24" s="36">
        <v>0</v>
      </c>
      <c r="BE24" s="36">
        <v>0</v>
      </c>
      <c r="BF24" s="36">
        <v>0</v>
      </c>
      <c r="BG24" s="36">
        <v>0</v>
      </c>
      <c r="BH24" s="36">
        <v>0</v>
      </c>
      <c r="BI24" s="36">
        <v>0</v>
      </c>
      <c r="BJ24" s="36">
        <v>0</v>
      </c>
      <c r="BK24" s="40">
        <v>0</v>
      </c>
      <c r="BL24" s="40">
        <v>0</v>
      </c>
      <c r="BM24" s="40">
        <v>0</v>
      </c>
      <c r="BN24" s="40">
        <v>0</v>
      </c>
      <c r="BO24" s="40">
        <v>0</v>
      </c>
      <c r="BP24" s="40">
        <v>0</v>
      </c>
      <c r="BQ24" s="40">
        <v>0</v>
      </c>
      <c r="BR24" s="40">
        <v>0</v>
      </c>
      <c r="BS24" s="40">
        <v>0</v>
      </c>
      <c r="BT24" s="40">
        <v>0</v>
      </c>
      <c r="BU24" s="40">
        <v>0</v>
      </c>
      <c r="BV24" s="40">
        <v>0</v>
      </c>
      <c r="BW24" s="40">
        <v>0</v>
      </c>
      <c r="BX24" s="40">
        <v>0</v>
      </c>
      <c r="BY24" s="40">
        <v>0</v>
      </c>
      <c r="BZ24" s="40">
        <v>0</v>
      </c>
      <c r="CA24" s="40">
        <v>0</v>
      </c>
      <c r="CB24" s="40">
        <v>0</v>
      </c>
      <c r="CC24" s="40">
        <v>0</v>
      </c>
      <c r="CD24" s="40">
        <v>0</v>
      </c>
      <c r="CE24" s="40">
        <v>0</v>
      </c>
      <c r="CF24" s="40">
        <v>0</v>
      </c>
      <c r="CG24" s="40">
        <v>0</v>
      </c>
      <c r="CH24" s="40">
        <v>0</v>
      </c>
      <c r="CI24" s="40">
        <v>0</v>
      </c>
      <c r="CJ24" s="40">
        <v>0</v>
      </c>
      <c r="CK24" s="40">
        <v>0</v>
      </c>
      <c r="CL24" s="40">
        <v>0</v>
      </c>
      <c r="CM24" s="40">
        <v>0</v>
      </c>
      <c r="CN24" s="40">
        <v>0</v>
      </c>
      <c r="CO24" s="40">
        <v>4.6138040268891585</v>
      </c>
      <c r="CP24" s="40">
        <v>0</v>
      </c>
      <c r="CQ24" s="40">
        <v>0</v>
      </c>
      <c r="CR24" s="40">
        <v>0</v>
      </c>
      <c r="CS24" s="40">
        <v>31.849692279304946</v>
      </c>
      <c r="CT24" s="40">
        <v>0</v>
      </c>
      <c r="CU24" s="40">
        <v>0</v>
      </c>
      <c r="CV24" s="40">
        <v>0</v>
      </c>
      <c r="CW24" s="40">
        <v>0</v>
      </c>
      <c r="CX24" s="40">
        <v>0</v>
      </c>
      <c r="CY24" s="40">
        <v>44.563050045002591</v>
      </c>
      <c r="CZ24" s="40">
        <v>7.3157601446566396</v>
      </c>
      <c r="DA24" s="40">
        <v>0</v>
      </c>
      <c r="DB24" s="40">
        <v>0</v>
      </c>
      <c r="DC24" s="40">
        <v>58.651398126516099</v>
      </c>
      <c r="DD24" s="40">
        <v>20747.439877553334</v>
      </c>
      <c r="DE24" s="40">
        <v>0</v>
      </c>
      <c r="DF24" s="40">
        <v>0</v>
      </c>
      <c r="DG24" s="40">
        <v>0</v>
      </c>
      <c r="DH24" s="40">
        <v>0</v>
      </c>
      <c r="DI24" s="40">
        <v>0</v>
      </c>
      <c r="DJ24" s="40">
        <v>0</v>
      </c>
      <c r="DK24" s="40">
        <v>0</v>
      </c>
      <c r="DL24" s="40">
        <v>0</v>
      </c>
      <c r="DM24" s="40">
        <v>0</v>
      </c>
      <c r="DN24" s="40">
        <v>0</v>
      </c>
      <c r="DO24" s="40">
        <v>0</v>
      </c>
      <c r="DP24" s="40">
        <v>0</v>
      </c>
      <c r="DQ24" s="40">
        <v>0</v>
      </c>
      <c r="DR24" s="40">
        <v>0</v>
      </c>
      <c r="DS24" s="40">
        <v>0</v>
      </c>
      <c r="DT24" s="40">
        <v>0</v>
      </c>
      <c r="DU24" s="40">
        <v>0</v>
      </c>
      <c r="DV24" s="40">
        <v>0</v>
      </c>
      <c r="DW24" s="40">
        <v>0</v>
      </c>
      <c r="DX24" s="40">
        <v>0</v>
      </c>
      <c r="DY24" s="40">
        <v>0</v>
      </c>
      <c r="DZ24" s="40">
        <v>0</v>
      </c>
      <c r="EA24" s="40">
        <v>12.201775732317685</v>
      </c>
      <c r="EB24" s="40">
        <v>0</v>
      </c>
      <c r="EC24" s="40">
        <v>0</v>
      </c>
      <c r="ED24" s="40">
        <v>0</v>
      </c>
      <c r="EE24" s="40">
        <v>0</v>
      </c>
      <c r="EF24" s="40">
        <v>0</v>
      </c>
      <c r="EG24" s="40">
        <v>0</v>
      </c>
      <c r="EH24" s="40">
        <v>0</v>
      </c>
      <c r="EI24" s="40">
        <v>0</v>
      </c>
      <c r="EJ24" s="40">
        <v>0</v>
      </c>
      <c r="EK24" s="40">
        <v>0</v>
      </c>
      <c r="EL24" s="40">
        <v>0</v>
      </c>
      <c r="EM24" s="40">
        <v>0</v>
      </c>
      <c r="EN24" s="40">
        <v>0</v>
      </c>
      <c r="EO24" s="40">
        <v>0</v>
      </c>
      <c r="EP24" s="40">
        <v>0</v>
      </c>
      <c r="EQ24" s="40">
        <v>0</v>
      </c>
      <c r="ER24" s="40">
        <v>0</v>
      </c>
      <c r="ES24" s="40">
        <v>0</v>
      </c>
      <c r="ET24" s="40">
        <v>0</v>
      </c>
      <c r="EU24" s="40">
        <v>0</v>
      </c>
      <c r="EV24" s="40">
        <v>0</v>
      </c>
      <c r="EW24" s="40">
        <v>0</v>
      </c>
      <c r="EX24" s="40">
        <v>0</v>
      </c>
      <c r="EY24" s="40">
        <v>0</v>
      </c>
      <c r="EZ24" s="40">
        <v>0</v>
      </c>
      <c r="FA24" s="40">
        <v>0</v>
      </c>
      <c r="FB24" s="40">
        <v>0</v>
      </c>
      <c r="FC24" s="40">
        <v>0</v>
      </c>
      <c r="FD24" s="40">
        <v>0</v>
      </c>
      <c r="FE24" s="40">
        <v>0</v>
      </c>
      <c r="FF24" s="40">
        <v>150.27388334899516</v>
      </c>
      <c r="FG24" s="40">
        <v>0</v>
      </c>
      <c r="FH24" s="40">
        <v>0</v>
      </c>
      <c r="FI24" s="40">
        <v>0</v>
      </c>
      <c r="FJ24" s="40">
        <v>0</v>
      </c>
      <c r="FK24" s="40">
        <v>0</v>
      </c>
      <c r="FL24" s="40">
        <v>0</v>
      </c>
      <c r="FM24" s="40">
        <v>0</v>
      </c>
      <c r="FN24" s="40">
        <v>0</v>
      </c>
      <c r="FO24" s="36">
        <v>0</v>
      </c>
      <c r="FP24" s="36">
        <v>0</v>
      </c>
      <c r="FQ24" s="36">
        <v>0</v>
      </c>
      <c r="FR24" s="36">
        <v>0</v>
      </c>
      <c r="FS24" s="36">
        <v>0</v>
      </c>
      <c r="FT24" s="36">
        <v>0</v>
      </c>
      <c r="FU24" s="36">
        <v>0</v>
      </c>
      <c r="FV24" s="36">
        <v>0</v>
      </c>
      <c r="FW24" s="36">
        <v>0</v>
      </c>
      <c r="FX24" s="36">
        <v>0</v>
      </c>
      <c r="FY24" s="36">
        <v>0</v>
      </c>
      <c r="FZ24" s="36">
        <v>0</v>
      </c>
      <c r="GA24" s="36">
        <v>0</v>
      </c>
      <c r="GB24" s="36">
        <v>0</v>
      </c>
      <c r="GC24" s="36">
        <v>0</v>
      </c>
      <c r="GD24" s="36">
        <v>0</v>
      </c>
      <c r="GE24" s="36">
        <v>0</v>
      </c>
      <c r="GF24" s="36">
        <v>0</v>
      </c>
      <c r="GG24" s="36"/>
      <c r="GH24" s="36"/>
      <c r="GI24" s="36"/>
      <c r="GJ24" s="36"/>
      <c r="GK24" s="36"/>
      <c r="GL24" s="36"/>
      <c r="GM24" s="36"/>
      <c r="GN24" s="36"/>
      <c r="GO24" s="36"/>
      <c r="GP24" s="36"/>
      <c r="GQ24" s="36"/>
      <c r="GR24" s="36"/>
      <c r="GS24" s="36"/>
      <c r="GT24" s="36"/>
      <c r="GU24" s="36">
        <v>0</v>
      </c>
      <c r="GV24" s="36">
        <v>0</v>
      </c>
      <c r="GW24" s="36">
        <v>0</v>
      </c>
      <c r="GX24" s="36">
        <v>0</v>
      </c>
      <c r="GY24" s="36">
        <v>0</v>
      </c>
      <c r="GZ24" s="36">
        <v>0</v>
      </c>
      <c r="HA24" s="36">
        <v>0</v>
      </c>
      <c r="HB24" s="36">
        <v>0</v>
      </c>
      <c r="HC24" s="36">
        <f t="shared" si="0"/>
        <v>21056.909241257017</v>
      </c>
      <c r="HD24" s="36">
        <f>SUM(U$5:U$213)</f>
        <v>21056.909241257006</v>
      </c>
      <c r="HE24" s="41">
        <v>0</v>
      </c>
    </row>
    <row r="25" spans="1:213" hidden="1" outlineLevel="1" x14ac:dyDescent="0.2">
      <c r="A25" s="9" t="s">
        <v>238</v>
      </c>
      <c r="B25" s="36">
        <v>0</v>
      </c>
      <c r="C25" s="36">
        <v>0</v>
      </c>
      <c r="D25" s="36">
        <v>0</v>
      </c>
      <c r="E25" s="36">
        <v>0</v>
      </c>
      <c r="F25" s="36">
        <v>0</v>
      </c>
      <c r="G25" s="36">
        <v>0</v>
      </c>
      <c r="H25" s="36">
        <v>0</v>
      </c>
      <c r="I25" s="36">
        <v>0</v>
      </c>
      <c r="J25" s="36">
        <v>0</v>
      </c>
      <c r="K25" s="36">
        <v>0</v>
      </c>
      <c r="L25" s="36">
        <v>0</v>
      </c>
      <c r="M25" s="36">
        <v>0</v>
      </c>
      <c r="N25" s="36">
        <v>0</v>
      </c>
      <c r="O25" s="36">
        <v>0</v>
      </c>
      <c r="P25" s="36">
        <v>0</v>
      </c>
      <c r="Q25" s="36">
        <v>0</v>
      </c>
      <c r="R25" s="36">
        <v>0</v>
      </c>
      <c r="S25" s="36">
        <v>0</v>
      </c>
      <c r="T25" s="36">
        <v>0</v>
      </c>
      <c r="U25" s="36">
        <v>0</v>
      </c>
      <c r="V25" s="36">
        <v>0</v>
      </c>
      <c r="W25" s="36">
        <v>0</v>
      </c>
      <c r="X25" s="36">
        <v>0</v>
      </c>
      <c r="Y25" s="36">
        <v>0</v>
      </c>
      <c r="Z25" s="36">
        <v>0</v>
      </c>
      <c r="AA25" s="36">
        <v>0</v>
      </c>
      <c r="AB25" s="36">
        <v>0</v>
      </c>
      <c r="AC25" s="36">
        <v>0</v>
      </c>
      <c r="AD25" s="36">
        <v>0</v>
      </c>
      <c r="AE25" s="36">
        <v>0</v>
      </c>
      <c r="AF25" s="36">
        <v>0</v>
      </c>
      <c r="AG25" s="36">
        <v>0</v>
      </c>
      <c r="AH25" s="36">
        <v>0</v>
      </c>
      <c r="AI25" s="36">
        <v>0</v>
      </c>
      <c r="AJ25" s="36">
        <v>0</v>
      </c>
      <c r="AK25" s="36">
        <v>0</v>
      </c>
      <c r="AL25" s="36">
        <v>0</v>
      </c>
      <c r="AM25" s="36">
        <v>0</v>
      </c>
      <c r="AN25" s="36">
        <v>0</v>
      </c>
      <c r="AO25" s="36">
        <v>0</v>
      </c>
      <c r="AP25" s="36">
        <v>0</v>
      </c>
      <c r="AQ25" s="36">
        <v>0</v>
      </c>
      <c r="AR25" s="36">
        <v>0</v>
      </c>
      <c r="AS25" s="36">
        <v>0</v>
      </c>
      <c r="AT25" s="36">
        <v>0</v>
      </c>
      <c r="AU25" s="36">
        <v>0</v>
      </c>
      <c r="AV25" s="36">
        <v>0</v>
      </c>
      <c r="AW25" s="36">
        <v>0</v>
      </c>
      <c r="AX25" s="36">
        <v>0</v>
      </c>
      <c r="AY25" s="36">
        <v>0</v>
      </c>
      <c r="AZ25" s="36">
        <v>0</v>
      </c>
      <c r="BA25" s="36">
        <v>0</v>
      </c>
      <c r="BB25" s="36">
        <v>0</v>
      </c>
      <c r="BC25" s="36">
        <v>0</v>
      </c>
      <c r="BD25" s="36">
        <v>0</v>
      </c>
      <c r="BE25" s="36">
        <v>0</v>
      </c>
      <c r="BF25" s="36">
        <v>0</v>
      </c>
      <c r="BG25" s="36">
        <v>0</v>
      </c>
      <c r="BH25" s="36">
        <v>0</v>
      </c>
      <c r="BI25" s="36">
        <v>0</v>
      </c>
      <c r="BJ25" s="36">
        <v>0</v>
      </c>
      <c r="BK25" s="40">
        <v>0</v>
      </c>
      <c r="BL25" s="40">
        <v>0</v>
      </c>
      <c r="BM25" s="40">
        <v>0</v>
      </c>
      <c r="BN25" s="40">
        <v>0</v>
      </c>
      <c r="BO25" s="40">
        <v>0</v>
      </c>
      <c r="BP25" s="40">
        <v>0</v>
      </c>
      <c r="BQ25" s="40">
        <v>0</v>
      </c>
      <c r="BR25" s="40">
        <v>0</v>
      </c>
      <c r="BS25" s="40">
        <v>0</v>
      </c>
      <c r="BT25" s="40">
        <v>0</v>
      </c>
      <c r="BU25" s="40">
        <v>0</v>
      </c>
      <c r="BV25" s="40">
        <v>0</v>
      </c>
      <c r="BW25" s="40">
        <v>0</v>
      </c>
      <c r="BX25" s="40">
        <v>0</v>
      </c>
      <c r="BY25" s="40">
        <v>0</v>
      </c>
      <c r="BZ25" s="40">
        <v>0</v>
      </c>
      <c r="CA25" s="40">
        <v>0</v>
      </c>
      <c r="CB25" s="40">
        <v>0</v>
      </c>
      <c r="CC25" s="40">
        <v>0</v>
      </c>
      <c r="CD25" s="40">
        <v>0</v>
      </c>
      <c r="CE25" s="40">
        <v>0</v>
      </c>
      <c r="CF25" s="40">
        <v>0</v>
      </c>
      <c r="CG25" s="40">
        <v>0</v>
      </c>
      <c r="CH25" s="40">
        <v>0</v>
      </c>
      <c r="CI25" s="40">
        <v>0</v>
      </c>
      <c r="CJ25" s="40">
        <v>0</v>
      </c>
      <c r="CK25" s="40">
        <v>0</v>
      </c>
      <c r="CL25" s="40">
        <v>0</v>
      </c>
      <c r="CM25" s="40">
        <v>580.58951192413178</v>
      </c>
      <c r="CN25" s="40">
        <v>35.390987599053922</v>
      </c>
      <c r="CO25" s="40">
        <v>0</v>
      </c>
      <c r="CP25" s="40">
        <v>0</v>
      </c>
      <c r="CQ25" s="40">
        <v>21.567861962001654</v>
      </c>
      <c r="CR25" s="40">
        <v>0</v>
      </c>
      <c r="CS25" s="40">
        <v>35.959751170400693</v>
      </c>
      <c r="CT25" s="40">
        <v>4.8852883242701228</v>
      </c>
      <c r="CU25" s="40">
        <v>5184.0741559305316</v>
      </c>
      <c r="CV25" s="40">
        <v>6.3467067831657173</v>
      </c>
      <c r="CW25" s="40">
        <v>0</v>
      </c>
      <c r="CX25" s="40">
        <v>0</v>
      </c>
      <c r="CY25" s="40">
        <v>96.499640377615179</v>
      </c>
      <c r="CZ25" s="40">
        <v>0</v>
      </c>
      <c r="DA25" s="40">
        <v>0</v>
      </c>
      <c r="DB25" s="40">
        <v>0</v>
      </c>
      <c r="DC25" s="40">
        <v>5.2091796404721773</v>
      </c>
      <c r="DD25" s="40">
        <v>0</v>
      </c>
      <c r="DE25" s="40">
        <v>36464.234038089315</v>
      </c>
      <c r="DF25" s="40">
        <v>2527.3751724631152</v>
      </c>
      <c r="DG25" s="40">
        <v>0</v>
      </c>
      <c r="DH25" s="40">
        <v>0</v>
      </c>
      <c r="DI25" s="40">
        <v>0</v>
      </c>
      <c r="DJ25" s="40">
        <v>0.18148333803278627</v>
      </c>
      <c r="DK25" s="40">
        <v>0</v>
      </c>
      <c r="DL25" s="40">
        <v>495.93144226782329</v>
      </c>
      <c r="DM25" s="40">
        <v>0</v>
      </c>
      <c r="DN25" s="40">
        <v>113.25341800443135</v>
      </c>
      <c r="DO25" s="40">
        <v>0</v>
      </c>
      <c r="DP25" s="40">
        <v>0</v>
      </c>
      <c r="DQ25" s="40">
        <v>0</v>
      </c>
      <c r="DR25" s="40">
        <v>26.790066722428339</v>
      </c>
      <c r="DS25" s="40">
        <v>0</v>
      </c>
      <c r="DT25" s="40">
        <v>3246.7421274545281</v>
      </c>
      <c r="DU25" s="40">
        <v>0</v>
      </c>
      <c r="DV25" s="40">
        <v>0</v>
      </c>
      <c r="DW25" s="40">
        <v>15.004938187591137</v>
      </c>
      <c r="DX25" s="40">
        <v>8.2188506912934063</v>
      </c>
      <c r="DY25" s="40">
        <v>0</v>
      </c>
      <c r="DZ25" s="40">
        <v>0</v>
      </c>
      <c r="EA25" s="40">
        <v>0</v>
      </c>
      <c r="EB25" s="40">
        <v>7.7534197382523873</v>
      </c>
      <c r="EC25" s="40">
        <v>5.6754789348434977</v>
      </c>
      <c r="ED25" s="40">
        <v>0</v>
      </c>
      <c r="EE25" s="40">
        <v>0</v>
      </c>
      <c r="EF25" s="40">
        <v>0</v>
      </c>
      <c r="EG25" s="40">
        <v>0</v>
      </c>
      <c r="EH25" s="40">
        <v>0</v>
      </c>
      <c r="EI25" s="40">
        <v>0</v>
      </c>
      <c r="EJ25" s="40">
        <v>0</v>
      </c>
      <c r="EK25" s="40">
        <v>0</v>
      </c>
      <c r="EL25" s="40">
        <v>0</v>
      </c>
      <c r="EM25" s="40">
        <v>0</v>
      </c>
      <c r="EN25" s="40">
        <v>0</v>
      </c>
      <c r="EO25" s="40">
        <v>0</v>
      </c>
      <c r="EP25" s="40">
        <v>0</v>
      </c>
      <c r="EQ25" s="40">
        <v>0</v>
      </c>
      <c r="ER25" s="40">
        <v>0</v>
      </c>
      <c r="ES25" s="40">
        <v>0</v>
      </c>
      <c r="ET25" s="40">
        <v>0</v>
      </c>
      <c r="EU25" s="40">
        <v>0</v>
      </c>
      <c r="EV25" s="40">
        <v>0</v>
      </c>
      <c r="EW25" s="40">
        <v>0</v>
      </c>
      <c r="EX25" s="40">
        <v>0</v>
      </c>
      <c r="EY25" s="40">
        <v>0</v>
      </c>
      <c r="EZ25" s="40">
        <v>0</v>
      </c>
      <c r="FA25" s="40">
        <v>0</v>
      </c>
      <c r="FB25" s="40">
        <v>0</v>
      </c>
      <c r="FC25" s="40">
        <v>0</v>
      </c>
      <c r="FD25" s="40">
        <v>0</v>
      </c>
      <c r="FE25" s="40">
        <v>0</v>
      </c>
      <c r="FF25" s="40">
        <v>206.79226858619992</v>
      </c>
      <c r="FG25" s="40">
        <v>0</v>
      </c>
      <c r="FH25" s="40">
        <v>0</v>
      </c>
      <c r="FI25" s="40">
        <v>0</v>
      </c>
      <c r="FJ25" s="40">
        <v>0</v>
      </c>
      <c r="FK25" s="40">
        <v>0</v>
      </c>
      <c r="FL25" s="40">
        <v>0</v>
      </c>
      <c r="FM25" s="40">
        <v>0</v>
      </c>
      <c r="FN25" s="40">
        <v>0</v>
      </c>
      <c r="FO25" s="36">
        <v>0</v>
      </c>
      <c r="FP25" s="36">
        <v>0</v>
      </c>
      <c r="FQ25" s="36">
        <v>0</v>
      </c>
      <c r="FR25" s="36">
        <v>0</v>
      </c>
      <c r="FS25" s="36">
        <v>0</v>
      </c>
      <c r="FT25" s="36">
        <v>0</v>
      </c>
      <c r="FU25" s="36">
        <v>0</v>
      </c>
      <c r="FV25" s="36">
        <v>0</v>
      </c>
      <c r="FW25" s="36">
        <v>0</v>
      </c>
      <c r="FX25" s="36">
        <v>0</v>
      </c>
      <c r="FY25" s="36">
        <v>0</v>
      </c>
      <c r="FZ25" s="36">
        <v>0</v>
      </c>
      <c r="GA25" s="36">
        <v>0</v>
      </c>
      <c r="GB25" s="36">
        <v>0</v>
      </c>
      <c r="GC25" s="36">
        <v>0</v>
      </c>
      <c r="GD25" s="36">
        <v>0</v>
      </c>
      <c r="GE25" s="36">
        <v>0</v>
      </c>
      <c r="GF25" s="36">
        <v>0</v>
      </c>
      <c r="GG25" s="36"/>
      <c r="GH25" s="36"/>
      <c r="GI25" s="36"/>
      <c r="GJ25" s="36"/>
      <c r="GK25" s="36"/>
      <c r="GL25" s="36"/>
      <c r="GM25" s="36"/>
      <c r="GN25" s="36"/>
      <c r="GO25" s="36"/>
      <c r="GP25" s="36"/>
      <c r="GQ25" s="36"/>
      <c r="GR25" s="36"/>
      <c r="GS25" s="36"/>
      <c r="GT25" s="36"/>
      <c r="GU25" s="36">
        <v>0</v>
      </c>
      <c r="GV25" s="36">
        <v>0</v>
      </c>
      <c r="GW25" s="36">
        <v>0</v>
      </c>
      <c r="GX25" s="36">
        <v>0</v>
      </c>
      <c r="GY25" s="36">
        <v>0</v>
      </c>
      <c r="GZ25" s="36">
        <v>0</v>
      </c>
      <c r="HA25" s="36">
        <v>0</v>
      </c>
      <c r="HB25" s="36">
        <v>0</v>
      </c>
      <c r="HC25" s="36">
        <f t="shared" si="0"/>
        <v>49088.475788189498</v>
      </c>
      <c r="HD25" s="36">
        <f>SUM(V$5:V$213)</f>
        <v>49088.475788189491</v>
      </c>
      <c r="HE25" s="41">
        <v>0</v>
      </c>
    </row>
    <row r="26" spans="1:213" hidden="1" outlineLevel="1" x14ac:dyDescent="0.2">
      <c r="A26" s="9" t="s">
        <v>243</v>
      </c>
      <c r="B26" s="36">
        <v>0</v>
      </c>
      <c r="C26" s="36">
        <v>0</v>
      </c>
      <c r="D26" s="36">
        <v>0</v>
      </c>
      <c r="E26" s="36">
        <v>0</v>
      </c>
      <c r="F26" s="36">
        <v>0</v>
      </c>
      <c r="G26" s="36">
        <v>0</v>
      </c>
      <c r="H26" s="36">
        <v>0</v>
      </c>
      <c r="I26" s="36">
        <v>0</v>
      </c>
      <c r="J26" s="36">
        <v>0</v>
      </c>
      <c r="K26" s="36">
        <v>0</v>
      </c>
      <c r="L26" s="36">
        <v>0</v>
      </c>
      <c r="M26" s="36">
        <v>0</v>
      </c>
      <c r="N26" s="36">
        <v>0</v>
      </c>
      <c r="O26" s="36">
        <v>0</v>
      </c>
      <c r="P26" s="36">
        <v>0</v>
      </c>
      <c r="Q26" s="36">
        <v>0</v>
      </c>
      <c r="R26" s="36">
        <v>0</v>
      </c>
      <c r="S26" s="36">
        <v>0</v>
      </c>
      <c r="T26" s="36">
        <v>0</v>
      </c>
      <c r="U26" s="36">
        <v>0</v>
      </c>
      <c r="V26" s="36">
        <v>0</v>
      </c>
      <c r="W26" s="36">
        <v>0</v>
      </c>
      <c r="X26" s="36">
        <v>0</v>
      </c>
      <c r="Y26" s="36">
        <v>0</v>
      </c>
      <c r="Z26" s="36">
        <v>0</v>
      </c>
      <c r="AA26" s="36">
        <v>0</v>
      </c>
      <c r="AB26" s="36">
        <v>0</v>
      </c>
      <c r="AC26" s="36">
        <v>0</v>
      </c>
      <c r="AD26" s="36">
        <v>0</v>
      </c>
      <c r="AE26" s="36">
        <v>0</v>
      </c>
      <c r="AF26" s="36">
        <v>0</v>
      </c>
      <c r="AG26" s="36">
        <v>0</v>
      </c>
      <c r="AH26" s="36">
        <v>0</v>
      </c>
      <c r="AI26" s="36">
        <v>0</v>
      </c>
      <c r="AJ26" s="36">
        <v>0</v>
      </c>
      <c r="AK26" s="36">
        <v>0</v>
      </c>
      <c r="AL26" s="36">
        <v>0</v>
      </c>
      <c r="AM26" s="36">
        <v>0</v>
      </c>
      <c r="AN26" s="36">
        <v>0</v>
      </c>
      <c r="AO26" s="36">
        <v>0</v>
      </c>
      <c r="AP26" s="36">
        <v>0</v>
      </c>
      <c r="AQ26" s="36">
        <v>0</v>
      </c>
      <c r="AR26" s="36">
        <v>0</v>
      </c>
      <c r="AS26" s="36">
        <v>0</v>
      </c>
      <c r="AT26" s="36">
        <v>0</v>
      </c>
      <c r="AU26" s="36">
        <v>0</v>
      </c>
      <c r="AV26" s="36">
        <v>0</v>
      </c>
      <c r="AW26" s="36">
        <v>0</v>
      </c>
      <c r="AX26" s="36">
        <v>0</v>
      </c>
      <c r="AY26" s="36">
        <v>0</v>
      </c>
      <c r="AZ26" s="36">
        <v>0</v>
      </c>
      <c r="BA26" s="36">
        <v>0</v>
      </c>
      <c r="BB26" s="36">
        <v>0</v>
      </c>
      <c r="BC26" s="36">
        <v>0</v>
      </c>
      <c r="BD26" s="36">
        <v>0</v>
      </c>
      <c r="BE26" s="36">
        <v>0</v>
      </c>
      <c r="BF26" s="36">
        <v>0</v>
      </c>
      <c r="BG26" s="36">
        <v>0</v>
      </c>
      <c r="BH26" s="36">
        <v>0</v>
      </c>
      <c r="BI26" s="36">
        <v>0</v>
      </c>
      <c r="BJ26" s="36">
        <v>0</v>
      </c>
      <c r="BK26" s="40">
        <v>0</v>
      </c>
      <c r="BL26" s="40">
        <v>0</v>
      </c>
      <c r="BM26" s="40">
        <v>0</v>
      </c>
      <c r="BN26" s="40">
        <v>0</v>
      </c>
      <c r="BO26" s="40">
        <v>0</v>
      </c>
      <c r="BP26" s="40">
        <v>0</v>
      </c>
      <c r="BQ26" s="40">
        <v>0</v>
      </c>
      <c r="BR26" s="40">
        <v>0</v>
      </c>
      <c r="BS26" s="40">
        <v>0</v>
      </c>
      <c r="BT26" s="40">
        <v>0</v>
      </c>
      <c r="BU26" s="40">
        <v>0</v>
      </c>
      <c r="BV26" s="40">
        <v>0</v>
      </c>
      <c r="BW26" s="40">
        <v>0</v>
      </c>
      <c r="BX26" s="40">
        <v>0</v>
      </c>
      <c r="BY26" s="40">
        <v>0</v>
      </c>
      <c r="BZ26" s="40">
        <v>0</v>
      </c>
      <c r="CA26" s="40">
        <v>0</v>
      </c>
      <c r="CB26" s="40">
        <v>0</v>
      </c>
      <c r="CC26" s="40">
        <v>0</v>
      </c>
      <c r="CD26" s="40">
        <v>0</v>
      </c>
      <c r="CE26" s="40">
        <v>0</v>
      </c>
      <c r="CF26" s="40">
        <v>0</v>
      </c>
      <c r="CG26" s="40">
        <v>0</v>
      </c>
      <c r="CH26" s="40">
        <v>0</v>
      </c>
      <c r="CI26" s="40">
        <v>0</v>
      </c>
      <c r="CJ26" s="40">
        <v>0</v>
      </c>
      <c r="CK26" s="40">
        <v>0</v>
      </c>
      <c r="CL26" s="40">
        <v>0</v>
      </c>
      <c r="CM26" s="40">
        <v>0</v>
      </c>
      <c r="CN26" s="40">
        <v>0</v>
      </c>
      <c r="CO26" s="40">
        <v>0</v>
      </c>
      <c r="CP26" s="40">
        <v>0</v>
      </c>
      <c r="CQ26" s="40">
        <v>0</v>
      </c>
      <c r="CR26" s="40">
        <v>0</v>
      </c>
      <c r="CS26" s="40">
        <v>0</v>
      </c>
      <c r="CT26" s="40">
        <v>0</v>
      </c>
      <c r="CU26" s="40">
        <v>0</v>
      </c>
      <c r="CV26" s="40">
        <v>0</v>
      </c>
      <c r="CW26" s="40">
        <v>0</v>
      </c>
      <c r="CX26" s="40">
        <v>0</v>
      </c>
      <c r="CY26" s="40">
        <v>0</v>
      </c>
      <c r="CZ26" s="40">
        <v>0</v>
      </c>
      <c r="DA26" s="40">
        <v>0</v>
      </c>
      <c r="DB26" s="40">
        <v>0</v>
      </c>
      <c r="DC26" s="40">
        <v>0</v>
      </c>
      <c r="DD26" s="40">
        <v>0</v>
      </c>
      <c r="DE26" s="40">
        <v>0</v>
      </c>
      <c r="DF26" s="40">
        <v>10015.073767569511</v>
      </c>
      <c r="DG26" s="40">
        <v>0</v>
      </c>
      <c r="DH26" s="40">
        <v>0</v>
      </c>
      <c r="DI26" s="40">
        <v>0</v>
      </c>
      <c r="DJ26" s="40">
        <v>0</v>
      </c>
      <c r="DK26" s="40">
        <v>0</v>
      </c>
      <c r="DL26" s="40">
        <v>0</v>
      </c>
      <c r="DM26" s="40">
        <v>0</v>
      </c>
      <c r="DN26" s="40">
        <v>0</v>
      </c>
      <c r="DO26" s="40">
        <v>0</v>
      </c>
      <c r="DP26" s="40">
        <v>0</v>
      </c>
      <c r="DQ26" s="40">
        <v>0</v>
      </c>
      <c r="DR26" s="40">
        <v>0</v>
      </c>
      <c r="DS26" s="40">
        <v>0</v>
      </c>
      <c r="DT26" s="40">
        <v>0</v>
      </c>
      <c r="DU26" s="40">
        <v>0</v>
      </c>
      <c r="DV26" s="40">
        <v>0</v>
      </c>
      <c r="DW26" s="40">
        <v>0</v>
      </c>
      <c r="DX26" s="40">
        <v>0</v>
      </c>
      <c r="DY26" s="40">
        <v>0</v>
      </c>
      <c r="DZ26" s="40">
        <v>0</v>
      </c>
      <c r="EA26" s="40">
        <v>0</v>
      </c>
      <c r="EB26" s="40">
        <v>0</v>
      </c>
      <c r="EC26" s="40">
        <v>0</v>
      </c>
      <c r="ED26" s="40">
        <v>0</v>
      </c>
      <c r="EE26" s="40">
        <v>0</v>
      </c>
      <c r="EF26" s="40">
        <v>0</v>
      </c>
      <c r="EG26" s="40">
        <v>0</v>
      </c>
      <c r="EH26" s="40">
        <v>0</v>
      </c>
      <c r="EI26" s="40">
        <v>0</v>
      </c>
      <c r="EJ26" s="40">
        <v>0</v>
      </c>
      <c r="EK26" s="40">
        <v>0</v>
      </c>
      <c r="EL26" s="40">
        <v>0</v>
      </c>
      <c r="EM26" s="40">
        <v>0</v>
      </c>
      <c r="EN26" s="40">
        <v>0</v>
      </c>
      <c r="EO26" s="40">
        <v>0</v>
      </c>
      <c r="EP26" s="40">
        <v>0</v>
      </c>
      <c r="EQ26" s="40">
        <v>0</v>
      </c>
      <c r="ER26" s="40">
        <v>0</v>
      </c>
      <c r="ES26" s="40">
        <v>0</v>
      </c>
      <c r="ET26" s="40">
        <v>0</v>
      </c>
      <c r="EU26" s="40">
        <v>0</v>
      </c>
      <c r="EV26" s="40">
        <v>0</v>
      </c>
      <c r="EW26" s="40">
        <v>0</v>
      </c>
      <c r="EX26" s="40">
        <v>0</v>
      </c>
      <c r="EY26" s="40">
        <v>0</v>
      </c>
      <c r="EZ26" s="40">
        <v>0</v>
      </c>
      <c r="FA26" s="40">
        <v>0</v>
      </c>
      <c r="FB26" s="40">
        <v>0</v>
      </c>
      <c r="FC26" s="40">
        <v>0</v>
      </c>
      <c r="FD26" s="40">
        <v>0</v>
      </c>
      <c r="FE26" s="40">
        <v>0</v>
      </c>
      <c r="FF26" s="40">
        <v>142.54150811316956</v>
      </c>
      <c r="FG26" s="40">
        <v>0</v>
      </c>
      <c r="FH26" s="40">
        <v>0</v>
      </c>
      <c r="FI26" s="40">
        <v>0</v>
      </c>
      <c r="FJ26" s="40">
        <v>0</v>
      </c>
      <c r="FK26" s="40">
        <v>0</v>
      </c>
      <c r="FL26" s="40">
        <v>0</v>
      </c>
      <c r="FM26" s="40">
        <v>0</v>
      </c>
      <c r="FN26" s="40">
        <v>0</v>
      </c>
      <c r="FO26" s="36">
        <v>0</v>
      </c>
      <c r="FP26" s="36">
        <v>0</v>
      </c>
      <c r="FQ26" s="36">
        <v>0</v>
      </c>
      <c r="FR26" s="36">
        <v>0</v>
      </c>
      <c r="FS26" s="36">
        <v>0</v>
      </c>
      <c r="FT26" s="36">
        <v>0</v>
      </c>
      <c r="FU26" s="36">
        <v>0</v>
      </c>
      <c r="FV26" s="36">
        <v>0</v>
      </c>
      <c r="FW26" s="36">
        <v>0</v>
      </c>
      <c r="FX26" s="36">
        <v>0</v>
      </c>
      <c r="FY26" s="36">
        <v>0</v>
      </c>
      <c r="FZ26" s="36">
        <v>0</v>
      </c>
      <c r="GA26" s="36">
        <v>0</v>
      </c>
      <c r="GB26" s="36">
        <v>0</v>
      </c>
      <c r="GC26" s="36">
        <v>0</v>
      </c>
      <c r="GD26" s="36">
        <v>0</v>
      </c>
      <c r="GE26" s="36">
        <v>0</v>
      </c>
      <c r="GF26" s="36">
        <v>0</v>
      </c>
      <c r="GG26" s="36"/>
      <c r="GH26" s="36"/>
      <c r="GI26" s="36"/>
      <c r="GJ26" s="36"/>
      <c r="GK26" s="36"/>
      <c r="GL26" s="36"/>
      <c r="GM26" s="36"/>
      <c r="GN26" s="36"/>
      <c r="GO26" s="36"/>
      <c r="GP26" s="36"/>
      <c r="GQ26" s="36"/>
      <c r="GR26" s="36"/>
      <c r="GS26" s="36"/>
      <c r="GT26" s="36"/>
      <c r="GU26" s="36">
        <v>0</v>
      </c>
      <c r="GV26" s="36">
        <v>0</v>
      </c>
      <c r="GW26" s="36">
        <v>0</v>
      </c>
      <c r="GX26" s="36">
        <v>0</v>
      </c>
      <c r="GY26" s="36">
        <v>0</v>
      </c>
      <c r="GZ26" s="36">
        <v>0</v>
      </c>
      <c r="HA26" s="36">
        <v>0</v>
      </c>
      <c r="HB26" s="36">
        <v>0</v>
      </c>
      <c r="HC26" s="36">
        <f t="shared" si="0"/>
        <v>10157.61527568268</v>
      </c>
      <c r="HD26" s="36">
        <f>SUM(W$5:W$213)</f>
        <v>10157.615275682674</v>
      </c>
      <c r="HE26" s="41">
        <v>0</v>
      </c>
    </row>
    <row r="27" spans="1:213" hidden="1" outlineLevel="1" x14ac:dyDescent="0.2">
      <c r="A27" s="9" t="s">
        <v>249</v>
      </c>
      <c r="B27" s="36">
        <v>0</v>
      </c>
      <c r="C27" s="36">
        <v>0</v>
      </c>
      <c r="D27" s="36">
        <v>0</v>
      </c>
      <c r="E27" s="36">
        <v>0</v>
      </c>
      <c r="F27" s="36">
        <v>0</v>
      </c>
      <c r="G27" s="36">
        <v>0</v>
      </c>
      <c r="H27" s="36">
        <v>0</v>
      </c>
      <c r="I27" s="36">
        <v>0</v>
      </c>
      <c r="J27" s="36">
        <v>0</v>
      </c>
      <c r="K27" s="36">
        <v>0</v>
      </c>
      <c r="L27" s="36">
        <v>0</v>
      </c>
      <c r="M27" s="36">
        <v>0</v>
      </c>
      <c r="N27" s="36">
        <v>0</v>
      </c>
      <c r="O27" s="36">
        <v>0</v>
      </c>
      <c r="P27" s="36">
        <v>0</v>
      </c>
      <c r="Q27" s="36">
        <v>0</v>
      </c>
      <c r="R27" s="36">
        <v>0</v>
      </c>
      <c r="S27" s="36">
        <v>0</v>
      </c>
      <c r="T27" s="36">
        <v>0</v>
      </c>
      <c r="U27" s="36">
        <v>0</v>
      </c>
      <c r="V27" s="36">
        <v>0</v>
      </c>
      <c r="W27" s="36">
        <v>0</v>
      </c>
      <c r="X27" s="36">
        <v>0</v>
      </c>
      <c r="Y27" s="36">
        <v>0</v>
      </c>
      <c r="Z27" s="36">
        <v>0</v>
      </c>
      <c r="AA27" s="36">
        <v>0</v>
      </c>
      <c r="AB27" s="36">
        <v>0</v>
      </c>
      <c r="AC27" s="36">
        <v>0</v>
      </c>
      <c r="AD27" s="36">
        <v>0</v>
      </c>
      <c r="AE27" s="36">
        <v>0</v>
      </c>
      <c r="AF27" s="36">
        <v>0</v>
      </c>
      <c r="AG27" s="36">
        <v>0</v>
      </c>
      <c r="AH27" s="36">
        <v>0</v>
      </c>
      <c r="AI27" s="36">
        <v>0</v>
      </c>
      <c r="AJ27" s="36">
        <v>0</v>
      </c>
      <c r="AK27" s="36">
        <v>0</v>
      </c>
      <c r="AL27" s="36">
        <v>0</v>
      </c>
      <c r="AM27" s="36">
        <v>0</v>
      </c>
      <c r="AN27" s="36">
        <v>0</v>
      </c>
      <c r="AO27" s="36">
        <v>0</v>
      </c>
      <c r="AP27" s="36">
        <v>0</v>
      </c>
      <c r="AQ27" s="36">
        <v>0</v>
      </c>
      <c r="AR27" s="36">
        <v>0</v>
      </c>
      <c r="AS27" s="36">
        <v>0</v>
      </c>
      <c r="AT27" s="36">
        <v>0</v>
      </c>
      <c r="AU27" s="36">
        <v>0</v>
      </c>
      <c r="AV27" s="36">
        <v>0</v>
      </c>
      <c r="AW27" s="36">
        <v>0</v>
      </c>
      <c r="AX27" s="36">
        <v>0</v>
      </c>
      <c r="AY27" s="36">
        <v>0</v>
      </c>
      <c r="AZ27" s="36">
        <v>0</v>
      </c>
      <c r="BA27" s="36">
        <v>0</v>
      </c>
      <c r="BB27" s="36">
        <v>0</v>
      </c>
      <c r="BC27" s="36">
        <v>0</v>
      </c>
      <c r="BD27" s="36">
        <v>0</v>
      </c>
      <c r="BE27" s="36">
        <v>0</v>
      </c>
      <c r="BF27" s="36">
        <v>0</v>
      </c>
      <c r="BG27" s="36">
        <v>0</v>
      </c>
      <c r="BH27" s="36">
        <v>0</v>
      </c>
      <c r="BI27" s="36">
        <v>0</v>
      </c>
      <c r="BJ27" s="36">
        <v>0</v>
      </c>
      <c r="BK27" s="40">
        <v>0</v>
      </c>
      <c r="BL27" s="40">
        <v>0</v>
      </c>
      <c r="BM27" s="40">
        <v>0</v>
      </c>
      <c r="BN27" s="40">
        <v>0</v>
      </c>
      <c r="BO27" s="40">
        <v>0</v>
      </c>
      <c r="BP27" s="40">
        <v>0</v>
      </c>
      <c r="BQ27" s="40">
        <v>0</v>
      </c>
      <c r="BR27" s="40">
        <v>0</v>
      </c>
      <c r="BS27" s="40">
        <v>0</v>
      </c>
      <c r="BT27" s="40">
        <v>0</v>
      </c>
      <c r="BU27" s="40">
        <v>0</v>
      </c>
      <c r="BV27" s="40">
        <v>0</v>
      </c>
      <c r="BW27" s="40">
        <v>0</v>
      </c>
      <c r="BX27" s="40">
        <v>0</v>
      </c>
      <c r="BY27" s="40">
        <v>0</v>
      </c>
      <c r="BZ27" s="40">
        <v>0</v>
      </c>
      <c r="CA27" s="40">
        <v>0</v>
      </c>
      <c r="CB27" s="40">
        <v>0</v>
      </c>
      <c r="CC27" s="40">
        <v>0</v>
      </c>
      <c r="CD27" s="40">
        <v>0</v>
      </c>
      <c r="CE27" s="40">
        <v>0</v>
      </c>
      <c r="CF27" s="40">
        <v>0</v>
      </c>
      <c r="CG27" s="40">
        <v>0</v>
      </c>
      <c r="CH27" s="40">
        <v>0</v>
      </c>
      <c r="CI27" s="40">
        <v>0</v>
      </c>
      <c r="CJ27" s="40">
        <v>0</v>
      </c>
      <c r="CK27" s="40">
        <v>0</v>
      </c>
      <c r="CL27" s="40">
        <v>0</v>
      </c>
      <c r="CM27" s="40">
        <v>0</v>
      </c>
      <c r="CN27" s="40">
        <v>0</v>
      </c>
      <c r="CO27" s="40">
        <v>0</v>
      </c>
      <c r="CP27" s="40">
        <v>0</v>
      </c>
      <c r="CQ27" s="40">
        <v>0</v>
      </c>
      <c r="CR27" s="40">
        <v>0</v>
      </c>
      <c r="CS27" s="40">
        <v>0</v>
      </c>
      <c r="CT27" s="40">
        <v>0</v>
      </c>
      <c r="CU27" s="40">
        <v>0</v>
      </c>
      <c r="CV27" s="40">
        <v>0</v>
      </c>
      <c r="CW27" s="40">
        <v>0</v>
      </c>
      <c r="CX27" s="40">
        <v>0</v>
      </c>
      <c r="CY27" s="40">
        <v>0</v>
      </c>
      <c r="CZ27" s="40">
        <v>0.70928898950423847</v>
      </c>
      <c r="DA27" s="40">
        <v>0</v>
      </c>
      <c r="DB27" s="40">
        <v>0</v>
      </c>
      <c r="DC27" s="40">
        <v>0</v>
      </c>
      <c r="DD27" s="40">
        <v>0</v>
      </c>
      <c r="DE27" s="40">
        <v>561.40965554286959</v>
      </c>
      <c r="DF27" s="40">
        <v>0.17357803924669976</v>
      </c>
      <c r="DG27" s="40">
        <v>2016.3517690451715</v>
      </c>
      <c r="DH27" s="40">
        <v>12419.405451766463</v>
      </c>
      <c r="DI27" s="40">
        <v>16250.291918563717</v>
      </c>
      <c r="DJ27" s="40">
        <v>21926.400031492671</v>
      </c>
      <c r="DK27" s="40">
        <v>5602.0750728634448</v>
      </c>
      <c r="DL27" s="40">
        <v>0</v>
      </c>
      <c r="DM27" s="40">
        <v>0</v>
      </c>
      <c r="DN27" s="40">
        <v>806.77570524218743</v>
      </c>
      <c r="DO27" s="40">
        <v>0</v>
      </c>
      <c r="DP27" s="40">
        <v>0</v>
      </c>
      <c r="DQ27" s="40">
        <v>219.90835454909532</v>
      </c>
      <c r="DR27" s="40">
        <v>190.48510699080492</v>
      </c>
      <c r="DS27" s="40">
        <v>100.90335514496964</v>
      </c>
      <c r="DT27" s="40">
        <v>0</v>
      </c>
      <c r="DU27" s="40">
        <v>0</v>
      </c>
      <c r="DV27" s="40">
        <v>0</v>
      </c>
      <c r="DW27" s="40">
        <v>0</v>
      </c>
      <c r="DX27" s="40">
        <v>0</v>
      </c>
      <c r="DY27" s="40">
        <v>0</v>
      </c>
      <c r="DZ27" s="40">
        <v>0</v>
      </c>
      <c r="EA27" s="40">
        <v>0</v>
      </c>
      <c r="EB27" s="40">
        <v>0</v>
      </c>
      <c r="EC27" s="40">
        <v>0</v>
      </c>
      <c r="ED27" s="40">
        <v>0</v>
      </c>
      <c r="EE27" s="40">
        <v>0</v>
      </c>
      <c r="EF27" s="40">
        <v>0</v>
      </c>
      <c r="EG27" s="40">
        <v>0</v>
      </c>
      <c r="EH27" s="40">
        <v>0</v>
      </c>
      <c r="EI27" s="40">
        <v>0</v>
      </c>
      <c r="EJ27" s="40">
        <v>0</v>
      </c>
      <c r="EK27" s="40">
        <v>0</v>
      </c>
      <c r="EL27" s="40">
        <v>0</v>
      </c>
      <c r="EM27" s="40">
        <v>0</v>
      </c>
      <c r="EN27" s="40">
        <v>0</v>
      </c>
      <c r="EO27" s="40">
        <v>0</v>
      </c>
      <c r="EP27" s="40">
        <v>0</v>
      </c>
      <c r="EQ27" s="40">
        <v>0</v>
      </c>
      <c r="ER27" s="40">
        <v>0</v>
      </c>
      <c r="ES27" s="40">
        <v>0</v>
      </c>
      <c r="ET27" s="40">
        <v>0</v>
      </c>
      <c r="EU27" s="40">
        <v>0</v>
      </c>
      <c r="EV27" s="40">
        <v>0</v>
      </c>
      <c r="EW27" s="40">
        <v>0</v>
      </c>
      <c r="EX27" s="40">
        <v>0</v>
      </c>
      <c r="EY27" s="40">
        <v>0</v>
      </c>
      <c r="EZ27" s="40">
        <v>0</v>
      </c>
      <c r="FA27" s="40">
        <v>0</v>
      </c>
      <c r="FB27" s="40">
        <v>0</v>
      </c>
      <c r="FC27" s="40">
        <v>0</v>
      </c>
      <c r="FD27" s="40">
        <v>0</v>
      </c>
      <c r="FE27" s="40">
        <v>0</v>
      </c>
      <c r="FF27" s="40">
        <v>683.10003282830337</v>
      </c>
      <c r="FG27" s="40">
        <v>0</v>
      </c>
      <c r="FH27" s="40">
        <v>0</v>
      </c>
      <c r="FI27" s="40">
        <v>0</v>
      </c>
      <c r="FJ27" s="40">
        <v>0</v>
      </c>
      <c r="FK27" s="40">
        <v>0</v>
      </c>
      <c r="FL27" s="40">
        <v>0</v>
      </c>
      <c r="FM27" s="40">
        <v>0</v>
      </c>
      <c r="FN27" s="40">
        <v>0</v>
      </c>
      <c r="FO27" s="36">
        <v>0</v>
      </c>
      <c r="FP27" s="36">
        <v>0</v>
      </c>
      <c r="FQ27" s="36">
        <v>0</v>
      </c>
      <c r="FR27" s="36">
        <v>0</v>
      </c>
      <c r="FS27" s="36">
        <v>0</v>
      </c>
      <c r="FT27" s="36">
        <v>0</v>
      </c>
      <c r="FU27" s="36">
        <v>0</v>
      </c>
      <c r="FV27" s="36">
        <v>0</v>
      </c>
      <c r="FW27" s="36">
        <v>0</v>
      </c>
      <c r="FX27" s="36">
        <v>0</v>
      </c>
      <c r="FY27" s="36">
        <v>0</v>
      </c>
      <c r="FZ27" s="36">
        <v>0</v>
      </c>
      <c r="GA27" s="36">
        <v>0</v>
      </c>
      <c r="GB27" s="36">
        <v>0</v>
      </c>
      <c r="GC27" s="36">
        <v>0</v>
      </c>
      <c r="GD27" s="36">
        <v>0</v>
      </c>
      <c r="GE27" s="36">
        <v>0</v>
      </c>
      <c r="GF27" s="36">
        <v>0</v>
      </c>
      <c r="GG27" s="36"/>
      <c r="GH27" s="36"/>
      <c r="GI27" s="36"/>
      <c r="GJ27" s="36"/>
      <c r="GK27" s="36"/>
      <c r="GL27" s="36"/>
      <c r="GM27" s="36"/>
      <c r="GN27" s="36"/>
      <c r="GO27" s="36"/>
      <c r="GP27" s="36"/>
      <c r="GQ27" s="36"/>
      <c r="GR27" s="36"/>
      <c r="GS27" s="36"/>
      <c r="GT27" s="36"/>
      <c r="GU27" s="36">
        <v>0</v>
      </c>
      <c r="GV27" s="36">
        <v>0</v>
      </c>
      <c r="GW27" s="36">
        <v>0</v>
      </c>
      <c r="GX27" s="36">
        <v>0</v>
      </c>
      <c r="GY27" s="36">
        <v>0</v>
      </c>
      <c r="GZ27" s="36">
        <v>0</v>
      </c>
      <c r="HA27" s="36">
        <v>0</v>
      </c>
      <c r="HB27" s="36">
        <v>0</v>
      </c>
      <c r="HC27" s="36">
        <f t="shared" si="0"/>
        <v>60777.989321058449</v>
      </c>
      <c r="HD27" s="36">
        <f>SUM(X$5:X$213)</f>
        <v>60777.989321058456</v>
      </c>
      <c r="HE27" s="41">
        <v>0</v>
      </c>
    </row>
    <row r="28" spans="1:213" hidden="1" outlineLevel="1" x14ac:dyDescent="0.2">
      <c r="A28" s="9" t="s">
        <v>1459</v>
      </c>
      <c r="B28" s="36">
        <v>0</v>
      </c>
      <c r="C28" s="36">
        <v>0</v>
      </c>
      <c r="D28" s="36">
        <v>0</v>
      </c>
      <c r="E28" s="36">
        <v>0</v>
      </c>
      <c r="F28" s="36">
        <v>0</v>
      </c>
      <c r="G28" s="36">
        <v>0</v>
      </c>
      <c r="H28" s="36">
        <v>0</v>
      </c>
      <c r="I28" s="36">
        <v>0</v>
      </c>
      <c r="J28" s="36">
        <v>0</v>
      </c>
      <c r="K28" s="36">
        <v>0</v>
      </c>
      <c r="L28" s="36">
        <v>0</v>
      </c>
      <c r="M28" s="36">
        <v>0</v>
      </c>
      <c r="N28" s="36">
        <v>0</v>
      </c>
      <c r="O28" s="36">
        <v>0</v>
      </c>
      <c r="P28" s="36">
        <v>0</v>
      </c>
      <c r="Q28" s="36">
        <v>0</v>
      </c>
      <c r="R28" s="36">
        <v>0</v>
      </c>
      <c r="S28" s="36">
        <v>0</v>
      </c>
      <c r="T28" s="36">
        <v>0</v>
      </c>
      <c r="U28" s="36">
        <v>0</v>
      </c>
      <c r="V28" s="36">
        <v>0</v>
      </c>
      <c r="W28" s="36">
        <v>0</v>
      </c>
      <c r="X28" s="36">
        <v>0</v>
      </c>
      <c r="Y28" s="36">
        <v>0</v>
      </c>
      <c r="Z28" s="36">
        <v>0</v>
      </c>
      <c r="AA28" s="36">
        <v>0</v>
      </c>
      <c r="AB28" s="36">
        <v>0</v>
      </c>
      <c r="AC28" s="36">
        <v>0</v>
      </c>
      <c r="AD28" s="36">
        <v>0</v>
      </c>
      <c r="AE28" s="36">
        <v>0</v>
      </c>
      <c r="AF28" s="36">
        <v>0</v>
      </c>
      <c r="AG28" s="36">
        <v>0</v>
      </c>
      <c r="AH28" s="36">
        <v>0</v>
      </c>
      <c r="AI28" s="36">
        <v>0</v>
      </c>
      <c r="AJ28" s="36">
        <v>0</v>
      </c>
      <c r="AK28" s="36">
        <v>0</v>
      </c>
      <c r="AL28" s="36">
        <v>0</v>
      </c>
      <c r="AM28" s="36">
        <v>0</v>
      </c>
      <c r="AN28" s="36">
        <v>0</v>
      </c>
      <c r="AO28" s="36">
        <v>0</v>
      </c>
      <c r="AP28" s="36">
        <v>0</v>
      </c>
      <c r="AQ28" s="36">
        <v>0</v>
      </c>
      <c r="AR28" s="36">
        <v>0</v>
      </c>
      <c r="AS28" s="36">
        <v>0</v>
      </c>
      <c r="AT28" s="36">
        <v>0</v>
      </c>
      <c r="AU28" s="36">
        <v>0</v>
      </c>
      <c r="AV28" s="36">
        <v>0</v>
      </c>
      <c r="AW28" s="36">
        <v>0</v>
      </c>
      <c r="AX28" s="36">
        <v>0</v>
      </c>
      <c r="AY28" s="36">
        <v>0</v>
      </c>
      <c r="AZ28" s="36">
        <v>0</v>
      </c>
      <c r="BA28" s="36">
        <v>0</v>
      </c>
      <c r="BB28" s="36">
        <v>0</v>
      </c>
      <c r="BC28" s="36">
        <v>0</v>
      </c>
      <c r="BD28" s="36">
        <v>0</v>
      </c>
      <c r="BE28" s="36">
        <v>0</v>
      </c>
      <c r="BF28" s="36">
        <v>0</v>
      </c>
      <c r="BG28" s="36">
        <v>0</v>
      </c>
      <c r="BH28" s="36">
        <v>0</v>
      </c>
      <c r="BI28" s="36">
        <v>0</v>
      </c>
      <c r="BJ28" s="36">
        <v>0</v>
      </c>
      <c r="BK28" s="40">
        <v>0</v>
      </c>
      <c r="BL28" s="40">
        <v>0</v>
      </c>
      <c r="BM28" s="40">
        <v>0</v>
      </c>
      <c r="BN28" s="40">
        <v>0</v>
      </c>
      <c r="BO28" s="40">
        <v>0</v>
      </c>
      <c r="BP28" s="40">
        <v>0</v>
      </c>
      <c r="BQ28" s="40">
        <v>0</v>
      </c>
      <c r="BR28" s="40">
        <v>0</v>
      </c>
      <c r="BS28" s="40">
        <v>0</v>
      </c>
      <c r="BT28" s="40">
        <v>0</v>
      </c>
      <c r="BU28" s="40">
        <v>0</v>
      </c>
      <c r="BV28" s="40">
        <v>0</v>
      </c>
      <c r="BW28" s="40">
        <v>0</v>
      </c>
      <c r="BX28" s="40">
        <v>0</v>
      </c>
      <c r="BY28" s="40">
        <v>0</v>
      </c>
      <c r="BZ28" s="40">
        <v>0</v>
      </c>
      <c r="CA28" s="40">
        <v>0</v>
      </c>
      <c r="CB28" s="40">
        <v>0</v>
      </c>
      <c r="CC28" s="40">
        <v>0</v>
      </c>
      <c r="CD28" s="40">
        <v>0</v>
      </c>
      <c r="CE28" s="40">
        <v>0</v>
      </c>
      <c r="CF28" s="40">
        <v>0</v>
      </c>
      <c r="CG28" s="40">
        <v>0</v>
      </c>
      <c r="CH28" s="40">
        <v>0</v>
      </c>
      <c r="CI28" s="40">
        <v>0</v>
      </c>
      <c r="CJ28" s="40">
        <v>0</v>
      </c>
      <c r="CK28" s="40">
        <v>0</v>
      </c>
      <c r="CL28" s="40">
        <v>0</v>
      </c>
      <c r="CM28" s="40">
        <v>0</v>
      </c>
      <c r="CN28" s="40">
        <v>0</v>
      </c>
      <c r="CO28" s="40">
        <v>0</v>
      </c>
      <c r="CP28" s="40">
        <v>0</v>
      </c>
      <c r="CQ28" s="40">
        <v>0</v>
      </c>
      <c r="CR28" s="40">
        <v>0</v>
      </c>
      <c r="CS28" s="40">
        <v>0</v>
      </c>
      <c r="CT28" s="40">
        <v>186.56568549413504</v>
      </c>
      <c r="CU28" s="40">
        <v>3.8834058493246304</v>
      </c>
      <c r="CV28" s="40">
        <v>0</v>
      </c>
      <c r="CW28" s="40">
        <v>1637.8524115102844</v>
      </c>
      <c r="CX28" s="40">
        <v>0</v>
      </c>
      <c r="CY28" s="40">
        <v>1349.3426385731282</v>
      </c>
      <c r="CZ28" s="40">
        <v>0</v>
      </c>
      <c r="DA28" s="40">
        <v>0</v>
      </c>
      <c r="DB28" s="40">
        <v>0</v>
      </c>
      <c r="DC28" s="40">
        <v>0</v>
      </c>
      <c r="DD28" s="40">
        <v>0</v>
      </c>
      <c r="DE28" s="40">
        <v>416.24498846596282</v>
      </c>
      <c r="DF28" s="40">
        <v>0</v>
      </c>
      <c r="DG28" s="40">
        <v>0</v>
      </c>
      <c r="DH28" s="40">
        <v>0</v>
      </c>
      <c r="DI28" s="40">
        <v>0</v>
      </c>
      <c r="DJ28" s="40">
        <v>0</v>
      </c>
      <c r="DK28" s="40">
        <v>0</v>
      </c>
      <c r="DL28" s="40">
        <v>0</v>
      </c>
      <c r="DM28" s="40">
        <v>10.64232782176189</v>
      </c>
      <c r="DN28" s="40">
        <v>11.794134259044014</v>
      </c>
      <c r="DO28" s="40">
        <v>1374.9738243375839</v>
      </c>
      <c r="DP28" s="40">
        <v>28149.427483296218</v>
      </c>
      <c r="DQ28" s="40">
        <v>66525.142821525922</v>
      </c>
      <c r="DR28" s="40">
        <v>118356.65318708259</v>
      </c>
      <c r="DS28" s="40">
        <v>2320.5729894337142</v>
      </c>
      <c r="DT28" s="40">
        <v>871.30647273950296</v>
      </c>
      <c r="DU28" s="40">
        <v>618.15574391596169</v>
      </c>
      <c r="DV28" s="40">
        <v>0</v>
      </c>
      <c r="DW28" s="40">
        <v>0</v>
      </c>
      <c r="DX28" s="40">
        <v>4.3859670572277292</v>
      </c>
      <c r="DY28" s="40">
        <v>11.275303585930114</v>
      </c>
      <c r="DZ28" s="40">
        <v>0</v>
      </c>
      <c r="EA28" s="40">
        <v>264.49456402353178</v>
      </c>
      <c r="EB28" s="40">
        <v>0</v>
      </c>
      <c r="EC28" s="40">
        <v>0</v>
      </c>
      <c r="ED28" s="40">
        <v>0</v>
      </c>
      <c r="EE28" s="40">
        <v>0</v>
      </c>
      <c r="EF28" s="40">
        <v>49.552707586035375</v>
      </c>
      <c r="EG28" s="40">
        <v>0</v>
      </c>
      <c r="EH28" s="40">
        <v>0</v>
      </c>
      <c r="EI28" s="40">
        <v>0</v>
      </c>
      <c r="EJ28" s="40">
        <v>0</v>
      </c>
      <c r="EK28" s="40">
        <v>0</v>
      </c>
      <c r="EL28" s="40">
        <v>0</v>
      </c>
      <c r="EM28" s="40">
        <v>0</v>
      </c>
      <c r="EN28" s="40">
        <v>0</v>
      </c>
      <c r="EO28" s="40">
        <v>0</v>
      </c>
      <c r="EP28" s="40">
        <v>0</v>
      </c>
      <c r="EQ28" s="40">
        <v>0</v>
      </c>
      <c r="ER28" s="40">
        <v>0</v>
      </c>
      <c r="ES28" s="40">
        <v>0</v>
      </c>
      <c r="ET28" s="40">
        <v>0</v>
      </c>
      <c r="EU28" s="40">
        <v>0</v>
      </c>
      <c r="EV28" s="40">
        <v>0</v>
      </c>
      <c r="EW28" s="40">
        <v>0</v>
      </c>
      <c r="EX28" s="40">
        <v>0</v>
      </c>
      <c r="EY28" s="40">
        <v>0</v>
      </c>
      <c r="EZ28" s="40">
        <v>0</v>
      </c>
      <c r="FA28" s="40">
        <v>0</v>
      </c>
      <c r="FB28" s="40">
        <v>0</v>
      </c>
      <c r="FC28" s="40">
        <v>0</v>
      </c>
      <c r="FD28" s="40">
        <v>0</v>
      </c>
      <c r="FE28" s="40">
        <v>0</v>
      </c>
      <c r="FF28" s="40">
        <v>4901.3379174223701</v>
      </c>
      <c r="FG28" s="40">
        <v>0</v>
      </c>
      <c r="FH28" s="40">
        <v>0</v>
      </c>
      <c r="FI28" s="40">
        <v>0</v>
      </c>
      <c r="FJ28" s="40">
        <v>0</v>
      </c>
      <c r="FK28" s="40">
        <v>0</v>
      </c>
      <c r="FL28" s="40">
        <v>0</v>
      </c>
      <c r="FM28" s="40">
        <v>0</v>
      </c>
      <c r="FN28" s="40">
        <v>0</v>
      </c>
      <c r="FO28" s="36">
        <v>0</v>
      </c>
      <c r="FP28" s="36">
        <v>0</v>
      </c>
      <c r="FQ28" s="36">
        <v>0</v>
      </c>
      <c r="FR28" s="36">
        <v>0</v>
      </c>
      <c r="FS28" s="36">
        <v>0</v>
      </c>
      <c r="FT28" s="36">
        <v>0</v>
      </c>
      <c r="FU28" s="36">
        <v>0</v>
      </c>
      <c r="FV28" s="36">
        <v>0</v>
      </c>
      <c r="FW28" s="36">
        <v>0</v>
      </c>
      <c r="FX28" s="36">
        <v>0</v>
      </c>
      <c r="FY28" s="36">
        <v>0</v>
      </c>
      <c r="FZ28" s="36">
        <v>0</v>
      </c>
      <c r="GA28" s="36">
        <v>0</v>
      </c>
      <c r="GB28" s="36">
        <v>0</v>
      </c>
      <c r="GC28" s="36">
        <v>0</v>
      </c>
      <c r="GD28" s="36">
        <v>0</v>
      </c>
      <c r="GE28" s="36">
        <v>0</v>
      </c>
      <c r="GF28" s="36">
        <v>0</v>
      </c>
      <c r="GG28" s="36"/>
      <c r="GH28" s="36"/>
      <c r="GI28" s="36"/>
      <c r="GJ28" s="36"/>
      <c r="GK28" s="36"/>
      <c r="GL28" s="36"/>
      <c r="GM28" s="36"/>
      <c r="GN28" s="36"/>
      <c r="GO28" s="36"/>
      <c r="GP28" s="36"/>
      <c r="GQ28" s="36"/>
      <c r="GR28" s="36"/>
      <c r="GS28" s="36"/>
      <c r="GT28" s="36"/>
      <c r="GU28" s="36">
        <v>0</v>
      </c>
      <c r="GV28" s="36">
        <v>0</v>
      </c>
      <c r="GW28" s="36">
        <v>0</v>
      </c>
      <c r="GX28" s="36">
        <v>0</v>
      </c>
      <c r="GY28" s="36">
        <v>0</v>
      </c>
      <c r="GZ28" s="36">
        <v>0</v>
      </c>
      <c r="HA28" s="36">
        <v>0</v>
      </c>
      <c r="HB28" s="36">
        <v>0</v>
      </c>
      <c r="HC28" s="36">
        <f t="shared" si="0"/>
        <v>227063.60457398021</v>
      </c>
      <c r="HD28" s="36">
        <f>SUM(Y$5:Y$213)</f>
        <v>227063.60457398026</v>
      </c>
      <c r="HE28" s="41">
        <v>0</v>
      </c>
    </row>
    <row r="29" spans="1:213" hidden="1" outlineLevel="1" x14ac:dyDescent="0.2">
      <c r="A29" s="9" t="s">
        <v>264</v>
      </c>
      <c r="B29" s="36">
        <v>0</v>
      </c>
      <c r="C29" s="36">
        <v>0</v>
      </c>
      <c r="D29" s="36">
        <v>0</v>
      </c>
      <c r="E29" s="36">
        <v>0</v>
      </c>
      <c r="F29" s="36">
        <v>0</v>
      </c>
      <c r="G29" s="36">
        <v>0</v>
      </c>
      <c r="H29" s="36">
        <v>0</v>
      </c>
      <c r="I29" s="36">
        <v>0</v>
      </c>
      <c r="J29" s="36">
        <v>0</v>
      </c>
      <c r="K29" s="36">
        <v>0</v>
      </c>
      <c r="L29" s="36">
        <v>0</v>
      </c>
      <c r="M29" s="36">
        <v>0</v>
      </c>
      <c r="N29" s="36">
        <v>0</v>
      </c>
      <c r="O29" s="36">
        <v>0</v>
      </c>
      <c r="P29" s="36">
        <v>0</v>
      </c>
      <c r="Q29" s="36">
        <v>0</v>
      </c>
      <c r="R29" s="36">
        <v>0</v>
      </c>
      <c r="S29" s="36">
        <v>0</v>
      </c>
      <c r="T29" s="36">
        <v>0</v>
      </c>
      <c r="U29" s="36">
        <v>0</v>
      </c>
      <c r="V29" s="36">
        <v>0</v>
      </c>
      <c r="W29" s="36">
        <v>0</v>
      </c>
      <c r="X29" s="36">
        <v>0</v>
      </c>
      <c r="Y29" s="36">
        <v>0</v>
      </c>
      <c r="Z29" s="36">
        <v>0</v>
      </c>
      <c r="AA29" s="36">
        <v>0</v>
      </c>
      <c r="AB29" s="36">
        <v>0</v>
      </c>
      <c r="AC29" s="36">
        <v>0</v>
      </c>
      <c r="AD29" s="36">
        <v>0</v>
      </c>
      <c r="AE29" s="36">
        <v>0</v>
      </c>
      <c r="AF29" s="36">
        <v>0</v>
      </c>
      <c r="AG29" s="36">
        <v>0</v>
      </c>
      <c r="AH29" s="36">
        <v>0</v>
      </c>
      <c r="AI29" s="36">
        <v>0</v>
      </c>
      <c r="AJ29" s="36">
        <v>0</v>
      </c>
      <c r="AK29" s="36">
        <v>0</v>
      </c>
      <c r="AL29" s="36">
        <v>0</v>
      </c>
      <c r="AM29" s="36">
        <v>0</v>
      </c>
      <c r="AN29" s="36">
        <v>0</v>
      </c>
      <c r="AO29" s="36">
        <v>0</v>
      </c>
      <c r="AP29" s="36">
        <v>0</v>
      </c>
      <c r="AQ29" s="36">
        <v>0</v>
      </c>
      <c r="AR29" s="36">
        <v>0</v>
      </c>
      <c r="AS29" s="36">
        <v>0</v>
      </c>
      <c r="AT29" s="36">
        <v>0</v>
      </c>
      <c r="AU29" s="36">
        <v>0</v>
      </c>
      <c r="AV29" s="36">
        <v>0</v>
      </c>
      <c r="AW29" s="36">
        <v>0</v>
      </c>
      <c r="AX29" s="36">
        <v>0</v>
      </c>
      <c r="AY29" s="36">
        <v>0</v>
      </c>
      <c r="AZ29" s="36">
        <v>0</v>
      </c>
      <c r="BA29" s="36">
        <v>0</v>
      </c>
      <c r="BB29" s="36">
        <v>0</v>
      </c>
      <c r="BC29" s="36">
        <v>0</v>
      </c>
      <c r="BD29" s="36">
        <v>0</v>
      </c>
      <c r="BE29" s="36">
        <v>0</v>
      </c>
      <c r="BF29" s="36">
        <v>0</v>
      </c>
      <c r="BG29" s="36">
        <v>0</v>
      </c>
      <c r="BH29" s="36">
        <v>0</v>
      </c>
      <c r="BI29" s="36">
        <v>0</v>
      </c>
      <c r="BJ29" s="36">
        <v>0</v>
      </c>
      <c r="BK29" s="40">
        <v>0</v>
      </c>
      <c r="BL29" s="40">
        <v>0</v>
      </c>
      <c r="BM29" s="40">
        <v>0</v>
      </c>
      <c r="BN29" s="40">
        <v>0</v>
      </c>
      <c r="BO29" s="40">
        <v>0</v>
      </c>
      <c r="BP29" s="40">
        <v>0</v>
      </c>
      <c r="BQ29" s="40">
        <v>0</v>
      </c>
      <c r="BR29" s="40">
        <v>0</v>
      </c>
      <c r="BS29" s="40">
        <v>0</v>
      </c>
      <c r="BT29" s="40">
        <v>0</v>
      </c>
      <c r="BU29" s="40">
        <v>0</v>
      </c>
      <c r="BV29" s="40">
        <v>0</v>
      </c>
      <c r="BW29" s="40">
        <v>0</v>
      </c>
      <c r="BX29" s="40">
        <v>653.23115030033568</v>
      </c>
      <c r="BY29" s="40">
        <v>0</v>
      </c>
      <c r="BZ29" s="40">
        <v>0</v>
      </c>
      <c r="CA29" s="40">
        <v>0</v>
      </c>
      <c r="CB29" s="40">
        <v>0</v>
      </c>
      <c r="CC29" s="40">
        <v>0</v>
      </c>
      <c r="CD29" s="40">
        <v>0</v>
      </c>
      <c r="CE29" s="40">
        <v>0</v>
      </c>
      <c r="CF29" s="40">
        <v>0</v>
      </c>
      <c r="CG29" s="40">
        <v>0</v>
      </c>
      <c r="CH29" s="40">
        <v>0</v>
      </c>
      <c r="CI29" s="40">
        <v>0</v>
      </c>
      <c r="CJ29" s="40">
        <v>0</v>
      </c>
      <c r="CK29" s="40">
        <v>0</v>
      </c>
      <c r="CL29" s="40">
        <v>0</v>
      </c>
      <c r="CM29" s="40">
        <v>146.90304673808524</v>
      </c>
      <c r="CN29" s="40">
        <v>0</v>
      </c>
      <c r="CO29" s="40">
        <v>0</v>
      </c>
      <c r="CP29" s="40">
        <v>0</v>
      </c>
      <c r="CQ29" s="40">
        <v>0</v>
      </c>
      <c r="CR29" s="40">
        <v>0</v>
      </c>
      <c r="CS29" s="40">
        <v>0</v>
      </c>
      <c r="CT29" s="40">
        <v>116.92852343893223</v>
      </c>
      <c r="CU29" s="40">
        <v>0</v>
      </c>
      <c r="CV29" s="40">
        <v>0</v>
      </c>
      <c r="CW29" s="40">
        <v>0</v>
      </c>
      <c r="CX29" s="40">
        <v>0</v>
      </c>
      <c r="CY29" s="40">
        <v>212.65590000096964</v>
      </c>
      <c r="CZ29" s="40">
        <v>68.953306168199816</v>
      </c>
      <c r="DA29" s="40">
        <v>0</v>
      </c>
      <c r="DB29" s="40">
        <v>0</v>
      </c>
      <c r="DC29" s="40">
        <v>0</v>
      </c>
      <c r="DD29" s="40">
        <v>0</v>
      </c>
      <c r="DE29" s="40">
        <v>266.41333489539409</v>
      </c>
      <c r="DF29" s="40">
        <v>0</v>
      </c>
      <c r="DG29" s="40">
        <v>0</v>
      </c>
      <c r="DH29" s="40">
        <v>0</v>
      </c>
      <c r="DI29" s="40">
        <v>0</v>
      </c>
      <c r="DJ29" s="40">
        <v>0</v>
      </c>
      <c r="DK29" s="40">
        <v>0</v>
      </c>
      <c r="DL29" s="40">
        <v>0</v>
      </c>
      <c r="DM29" s="40">
        <v>0</v>
      </c>
      <c r="DN29" s="40">
        <v>1769.8240237164164</v>
      </c>
      <c r="DO29" s="40">
        <v>138.19747132904465</v>
      </c>
      <c r="DP29" s="40">
        <v>1539.2323373336865</v>
      </c>
      <c r="DQ29" s="40">
        <v>2464.27025856398</v>
      </c>
      <c r="DR29" s="40">
        <v>289.40063133684765</v>
      </c>
      <c r="DS29" s="40">
        <v>51901.962835068174</v>
      </c>
      <c r="DT29" s="40">
        <v>45102.861894890229</v>
      </c>
      <c r="DU29" s="40">
        <v>398.98226758230282</v>
      </c>
      <c r="DV29" s="40">
        <v>651.85030973231653</v>
      </c>
      <c r="DW29" s="40">
        <v>57.597986073444581</v>
      </c>
      <c r="DX29" s="40">
        <v>1098.0506758253678</v>
      </c>
      <c r="DY29" s="40">
        <v>0</v>
      </c>
      <c r="DZ29" s="40">
        <v>0</v>
      </c>
      <c r="EA29" s="40">
        <v>140.28598130582517</v>
      </c>
      <c r="EB29" s="40">
        <v>0</v>
      </c>
      <c r="EC29" s="40">
        <v>0</v>
      </c>
      <c r="ED29" s="40">
        <v>0</v>
      </c>
      <c r="EE29" s="40">
        <v>0</v>
      </c>
      <c r="EF29" s="40">
        <v>0</v>
      </c>
      <c r="EG29" s="40">
        <v>0</v>
      </c>
      <c r="EH29" s="40">
        <v>0</v>
      </c>
      <c r="EI29" s="40">
        <v>0</v>
      </c>
      <c r="EJ29" s="40">
        <v>0</v>
      </c>
      <c r="EK29" s="40">
        <v>0</v>
      </c>
      <c r="EL29" s="40">
        <v>0</v>
      </c>
      <c r="EM29" s="40">
        <v>0</v>
      </c>
      <c r="EN29" s="40">
        <v>0</v>
      </c>
      <c r="EO29" s="40">
        <v>0</v>
      </c>
      <c r="EP29" s="40">
        <v>0</v>
      </c>
      <c r="EQ29" s="40">
        <v>0</v>
      </c>
      <c r="ER29" s="40">
        <v>0</v>
      </c>
      <c r="ES29" s="40">
        <v>0</v>
      </c>
      <c r="ET29" s="40">
        <v>0</v>
      </c>
      <c r="EU29" s="40">
        <v>0</v>
      </c>
      <c r="EV29" s="40">
        <v>0</v>
      </c>
      <c r="EW29" s="40">
        <v>0</v>
      </c>
      <c r="EX29" s="40">
        <v>0</v>
      </c>
      <c r="EY29" s="40">
        <v>0</v>
      </c>
      <c r="EZ29" s="40">
        <v>0</v>
      </c>
      <c r="FA29" s="40">
        <v>0</v>
      </c>
      <c r="FB29" s="40">
        <v>0</v>
      </c>
      <c r="FC29" s="40">
        <v>0</v>
      </c>
      <c r="FD29" s="40">
        <v>0</v>
      </c>
      <c r="FE29" s="40">
        <v>0</v>
      </c>
      <c r="FF29" s="40">
        <v>13468.449906188496</v>
      </c>
      <c r="FG29" s="40">
        <v>0</v>
      </c>
      <c r="FH29" s="40">
        <v>0</v>
      </c>
      <c r="FI29" s="40">
        <v>0</v>
      </c>
      <c r="FJ29" s="40">
        <v>0</v>
      </c>
      <c r="FK29" s="40">
        <v>0</v>
      </c>
      <c r="FL29" s="40">
        <v>0</v>
      </c>
      <c r="FM29" s="40">
        <v>0</v>
      </c>
      <c r="FN29" s="40">
        <v>0</v>
      </c>
      <c r="FO29" s="36">
        <v>0</v>
      </c>
      <c r="FP29" s="36">
        <v>0</v>
      </c>
      <c r="FQ29" s="36">
        <v>0</v>
      </c>
      <c r="FR29" s="36">
        <v>0</v>
      </c>
      <c r="FS29" s="36">
        <v>0</v>
      </c>
      <c r="FT29" s="36">
        <v>0</v>
      </c>
      <c r="FU29" s="36">
        <v>0</v>
      </c>
      <c r="FV29" s="36">
        <v>0</v>
      </c>
      <c r="FW29" s="36">
        <v>0</v>
      </c>
      <c r="FX29" s="36">
        <v>0</v>
      </c>
      <c r="FY29" s="36">
        <v>0</v>
      </c>
      <c r="FZ29" s="36">
        <v>0</v>
      </c>
      <c r="GA29" s="36">
        <v>0</v>
      </c>
      <c r="GB29" s="36">
        <v>0</v>
      </c>
      <c r="GC29" s="36">
        <v>0</v>
      </c>
      <c r="GD29" s="36">
        <v>0</v>
      </c>
      <c r="GE29" s="36">
        <v>0</v>
      </c>
      <c r="GF29" s="36">
        <v>0</v>
      </c>
      <c r="GG29" s="36"/>
      <c r="GH29" s="36"/>
      <c r="GI29" s="36"/>
      <c r="GJ29" s="36"/>
      <c r="GK29" s="36"/>
      <c r="GL29" s="36"/>
      <c r="GM29" s="36"/>
      <c r="GN29" s="36"/>
      <c r="GO29" s="36"/>
      <c r="GP29" s="36"/>
      <c r="GQ29" s="36"/>
      <c r="GR29" s="36"/>
      <c r="GS29" s="36"/>
      <c r="GT29" s="36"/>
      <c r="GU29" s="36">
        <v>0</v>
      </c>
      <c r="GV29" s="36">
        <v>0</v>
      </c>
      <c r="GW29" s="36">
        <v>0</v>
      </c>
      <c r="GX29" s="36">
        <v>0</v>
      </c>
      <c r="GY29" s="36">
        <v>0</v>
      </c>
      <c r="GZ29" s="36">
        <v>0</v>
      </c>
      <c r="HA29" s="36">
        <v>0</v>
      </c>
      <c r="HB29" s="36">
        <v>0</v>
      </c>
      <c r="HC29" s="36">
        <f t="shared" si="0"/>
        <v>120486.05184048806</v>
      </c>
      <c r="HD29" s="36">
        <f>SUM(Z$5:Z$213)</f>
        <v>120486.05184048806</v>
      </c>
      <c r="HE29" s="41">
        <v>0</v>
      </c>
    </row>
    <row r="30" spans="1:213" hidden="1" outlineLevel="1" x14ac:dyDescent="0.2">
      <c r="A30" s="9" t="s">
        <v>269</v>
      </c>
      <c r="B30" s="36">
        <v>0</v>
      </c>
      <c r="C30" s="36">
        <v>0</v>
      </c>
      <c r="D30" s="36">
        <v>0</v>
      </c>
      <c r="E30" s="36">
        <v>0</v>
      </c>
      <c r="F30" s="36">
        <v>0</v>
      </c>
      <c r="G30" s="36">
        <v>0</v>
      </c>
      <c r="H30" s="36">
        <v>0</v>
      </c>
      <c r="I30" s="36">
        <v>0</v>
      </c>
      <c r="J30" s="36">
        <v>0</v>
      </c>
      <c r="K30" s="36">
        <v>0</v>
      </c>
      <c r="L30" s="36">
        <v>0</v>
      </c>
      <c r="M30" s="36">
        <v>0</v>
      </c>
      <c r="N30" s="36">
        <v>0</v>
      </c>
      <c r="O30" s="36">
        <v>0</v>
      </c>
      <c r="P30" s="36">
        <v>0</v>
      </c>
      <c r="Q30" s="36">
        <v>0</v>
      </c>
      <c r="R30" s="36">
        <v>0</v>
      </c>
      <c r="S30" s="36">
        <v>0</v>
      </c>
      <c r="T30" s="36">
        <v>0</v>
      </c>
      <c r="U30" s="36">
        <v>0</v>
      </c>
      <c r="V30" s="36">
        <v>0</v>
      </c>
      <c r="W30" s="36">
        <v>0</v>
      </c>
      <c r="X30" s="36">
        <v>0</v>
      </c>
      <c r="Y30" s="36">
        <v>0</v>
      </c>
      <c r="Z30" s="36">
        <v>0</v>
      </c>
      <c r="AA30" s="36">
        <v>0</v>
      </c>
      <c r="AB30" s="36">
        <v>0</v>
      </c>
      <c r="AC30" s="36">
        <v>0</v>
      </c>
      <c r="AD30" s="36">
        <v>0</v>
      </c>
      <c r="AE30" s="36">
        <v>0</v>
      </c>
      <c r="AF30" s="36">
        <v>0</v>
      </c>
      <c r="AG30" s="36">
        <v>0</v>
      </c>
      <c r="AH30" s="36">
        <v>0</v>
      </c>
      <c r="AI30" s="36">
        <v>0</v>
      </c>
      <c r="AJ30" s="36">
        <v>0</v>
      </c>
      <c r="AK30" s="36">
        <v>0</v>
      </c>
      <c r="AL30" s="36">
        <v>0</v>
      </c>
      <c r="AM30" s="36">
        <v>0</v>
      </c>
      <c r="AN30" s="36">
        <v>0</v>
      </c>
      <c r="AO30" s="36">
        <v>0</v>
      </c>
      <c r="AP30" s="36">
        <v>0</v>
      </c>
      <c r="AQ30" s="36">
        <v>0</v>
      </c>
      <c r="AR30" s="36">
        <v>0</v>
      </c>
      <c r="AS30" s="36">
        <v>0</v>
      </c>
      <c r="AT30" s="36">
        <v>0</v>
      </c>
      <c r="AU30" s="36">
        <v>0</v>
      </c>
      <c r="AV30" s="36">
        <v>0</v>
      </c>
      <c r="AW30" s="36">
        <v>0</v>
      </c>
      <c r="AX30" s="36">
        <v>0</v>
      </c>
      <c r="AY30" s="36">
        <v>0</v>
      </c>
      <c r="AZ30" s="36">
        <v>0</v>
      </c>
      <c r="BA30" s="36">
        <v>0</v>
      </c>
      <c r="BB30" s="36">
        <v>0</v>
      </c>
      <c r="BC30" s="36">
        <v>0</v>
      </c>
      <c r="BD30" s="36">
        <v>0</v>
      </c>
      <c r="BE30" s="36">
        <v>0</v>
      </c>
      <c r="BF30" s="36">
        <v>0</v>
      </c>
      <c r="BG30" s="36">
        <v>0</v>
      </c>
      <c r="BH30" s="36">
        <v>0</v>
      </c>
      <c r="BI30" s="36">
        <v>0</v>
      </c>
      <c r="BJ30" s="36">
        <v>0</v>
      </c>
      <c r="BK30" s="40">
        <v>0</v>
      </c>
      <c r="BL30" s="40">
        <v>0</v>
      </c>
      <c r="BM30" s="40">
        <v>0</v>
      </c>
      <c r="BN30" s="40">
        <v>0</v>
      </c>
      <c r="BO30" s="40">
        <v>0</v>
      </c>
      <c r="BP30" s="40">
        <v>0</v>
      </c>
      <c r="BQ30" s="40">
        <v>0</v>
      </c>
      <c r="BR30" s="40">
        <v>0</v>
      </c>
      <c r="BS30" s="40">
        <v>0</v>
      </c>
      <c r="BT30" s="40">
        <v>0</v>
      </c>
      <c r="BU30" s="40">
        <v>0</v>
      </c>
      <c r="BV30" s="40">
        <v>0</v>
      </c>
      <c r="BW30" s="40">
        <v>0</v>
      </c>
      <c r="BX30" s="40">
        <v>0</v>
      </c>
      <c r="BY30" s="40">
        <v>0</v>
      </c>
      <c r="BZ30" s="40">
        <v>0</v>
      </c>
      <c r="CA30" s="40">
        <v>0</v>
      </c>
      <c r="CB30" s="40">
        <v>0</v>
      </c>
      <c r="CC30" s="40">
        <v>0</v>
      </c>
      <c r="CD30" s="40">
        <v>0</v>
      </c>
      <c r="CE30" s="40">
        <v>0</v>
      </c>
      <c r="CF30" s="40">
        <v>0</v>
      </c>
      <c r="CG30" s="40">
        <v>0</v>
      </c>
      <c r="CH30" s="40">
        <v>0</v>
      </c>
      <c r="CI30" s="40">
        <v>0</v>
      </c>
      <c r="CJ30" s="40">
        <v>0</v>
      </c>
      <c r="CK30" s="40">
        <v>0</v>
      </c>
      <c r="CL30" s="40">
        <v>0</v>
      </c>
      <c r="CM30" s="40">
        <v>0</v>
      </c>
      <c r="CN30" s="40">
        <v>0</v>
      </c>
      <c r="CO30" s="40">
        <v>0</v>
      </c>
      <c r="CP30" s="40">
        <v>0</v>
      </c>
      <c r="CQ30" s="40">
        <v>0</v>
      </c>
      <c r="CR30" s="40">
        <v>0</v>
      </c>
      <c r="CS30" s="40">
        <v>0</v>
      </c>
      <c r="CT30" s="40">
        <v>0</v>
      </c>
      <c r="CU30" s="40">
        <v>332.36638488520509</v>
      </c>
      <c r="CV30" s="40">
        <v>0</v>
      </c>
      <c r="CW30" s="40">
        <v>0</v>
      </c>
      <c r="CX30" s="40">
        <v>0</v>
      </c>
      <c r="CY30" s="40">
        <v>7.8278256397910875</v>
      </c>
      <c r="CZ30" s="40">
        <v>8.9492986847737246</v>
      </c>
      <c r="DA30" s="40">
        <v>0</v>
      </c>
      <c r="DB30" s="40">
        <v>0</v>
      </c>
      <c r="DC30" s="40">
        <v>127.71988004233414</v>
      </c>
      <c r="DD30" s="40">
        <v>49.914732782301655</v>
      </c>
      <c r="DE30" s="40">
        <v>194.77369449475717</v>
      </c>
      <c r="DF30" s="40">
        <v>0</v>
      </c>
      <c r="DG30" s="40">
        <v>0</v>
      </c>
      <c r="DH30" s="40">
        <v>20.512557098454344</v>
      </c>
      <c r="DI30" s="40">
        <v>0</v>
      </c>
      <c r="DJ30" s="40">
        <v>0</v>
      </c>
      <c r="DK30" s="40">
        <v>0</v>
      </c>
      <c r="DL30" s="40">
        <v>0</v>
      </c>
      <c r="DM30" s="40">
        <v>0</v>
      </c>
      <c r="DN30" s="40">
        <v>3.0369714914880688</v>
      </c>
      <c r="DO30" s="40">
        <v>0</v>
      </c>
      <c r="DP30" s="40">
        <v>145.39378046963492</v>
      </c>
      <c r="DQ30" s="40">
        <v>7.3096196234918809</v>
      </c>
      <c r="DR30" s="40">
        <v>0</v>
      </c>
      <c r="DS30" s="40">
        <v>156.16445134679245</v>
      </c>
      <c r="DT30" s="40">
        <v>1387.0299033010581</v>
      </c>
      <c r="DU30" s="40">
        <v>27415.548097821396</v>
      </c>
      <c r="DV30" s="40">
        <v>9777.9133506872568</v>
      </c>
      <c r="DW30" s="40">
        <v>54096.046391790791</v>
      </c>
      <c r="DX30" s="40">
        <v>25206.891360173013</v>
      </c>
      <c r="DY30" s="40">
        <v>0</v>
      </c>
      <c r="DZ30" s="40">
        <v>0</v>
      </c>
      <c r="EA30" s="40">
        <v>312.23398128459127</v>
      </c>
      <c r="EB30" s="40">
        <v>33.518533549764605</v>
      </c>
      <c r="EC30" s="40">
        <v>95.201537610543596</v>
      </c>
      <c r="ED30" s="40">
        <v>615.55434625780549</v>
      </c>
      <c r="EE30" s="40">
        <v>0</v>
      </c>
      <c r="EF30" s="40">
        <v>0</v>
      </c>
      <c r="EG30" s="40">
        <v>0</v>
      </c>
      <c r="EH30" s="40">
        <v>0</v>
      </c>
      <c r="EI30" s="40">
        <v>0</v>
      </c>
      <c r="EJ30" s="40">
        <v>0</v>
      </c>
      <c r="EK30" s="40">
        <v>0</v>
      </c>
      <c r="EL30" s="40">
        <v>0</v>
      </c>
      <c r="EM30" s="40">
        <v>0</v>
      </c>
      <c r="EN30" s="40">
        <v>0</v>
      </c>
      <c r="EO30" s="40">
        <v>0</v>
      </c>
      <c r="EP30" s="40">
        <v>0</v>
      </c>
      <c r="EQ30" s="40">
        <v>0</v>
      </c>
      <c r="ER30" s="40">
        <v>0</v>
      </c>
      <c r="ES30" s="40">
        <v>0</v>
      </c>
      <c r="ET30" s="40">
        <v>0</v>
      </c>
      <c r="EU30" s="40">
        <v>0</v>
      </c>
      <c r="EV30" s="40">
        <v>0</v>
      </c>
      <c r="EW30" s="40">
        <v>0</v>
      </c>
      <c r="EX30" s="40">
        <v>0</v>
      </c>
      <c r="EY30" s="40">
        <v>0</v>
      </c>
      <c r="EZ30" s="40">
        <v>0</v>
      </c>
      <c r="FA30" s="40">
        <v>0</v>
      </c>
      <c r="FB30" s="40">
        <v>0</v>
      </c>
      <c r="FC30" s="40">
        <v>0</v>
      </c>
      <c r="FD30" s="40">
        <v>0</v>
      </c>
      <c r="FE30" s="40">
        <v>0</v>
      </c>
      <c r="FF30" s="40">
        <v>18684.025037302905</v>
      </c>
      <c r="FG30" s="40">
        <v>0</v>
      </c>
      <c r="FH30" s="40">
        <v>0</v>
      </c>
      <c r="FI30" s="40">
        <v>0</v>
      </c>
      <c r="FJ30" s="40">
        <v>0</v>
      </c>
      <c r="FK30" s="40">
        <v>0</v>
      </c>
      <c r="FL30" s="40">
        <v>0</v>
      </c>
      <c r="FM30" s="40">
        <v>0</v>
      </c>
      <c r="FN30" s="40">
        <v>0</v>
      </c>
      <c r="FO30" s="36">
        <v>0</v>
      </c>
      <c r="FP30" s="36">
        <v>0</v>
      </c>
      <c r="FQ30" s="36">
        <v>0</v>
      </c>
      <c r="FR30" s="36">
        <v>0</v>
      </c>
      <c r="FS30" s="36">
        <v>0</v>
      </c>
      <c r="FT30" s="36">
        <v>0</v>
      </c>
      <c r="FU30" s="36">
        <v>0</v>
      </c>
      <c r="FV30" s="36">
        <v>0</v>
      </c>
      <c r="FW30" s="36">
        <v>0</v>
      </c>
      <c r="FX30" s="36">
        <v>0</v>
      </c>
      <c r="FY30" s="36">
        <v>0</v>
      </c>
      <c r="FZ30" s="36">
        <v>0</v>
      </c>
      <c r="GA30" s="36">
        <v>0</v>
      </c>
      <c r="GB30" s="36">
        <v>0</v>
      </c>
      <c r="GC30" s="36">
        <v>0</v>
      </c>
      <c r="GD30" s="36">
        <v>0</v>
      </c>
      <c r="GE30" s="36">
        <v>0</v>
      </c>
      <c r="GF30" s="36">
        <v>0</v>
      </c>
      <c r="GG30" s="36"/>
      <c r="GH30" s="36"/>
      <c r="GI30" s="36"/>
      <c r="GJ30" s="36"/>
      <c r="GK30" s="36"/>
      <c r="GL30" s="36"/>
      <c r="GM30" s="36"/>
      <c r="GN30" s="36"/>
      <c r="GO30" s="36"/>
      <c r="GP30" s="36"/>
      <c r="GQ30" s="36"/>
      <c r="GR30" s="36"/>
      <c r="GS30" s="36"/>
      <c r="GT30" s="36"/>
      <c r="GU30" s="36">
        <v>0</v>
      </c>
      <c r="GV30" s="36">
        <v>0</v>
      </c>
      <c r="GW30" s="36">
        <v>0</v>
      </c>
      <c r="GX30" s="36">
        <v>0</v>
      </c>
      <c r="GY30" s="36">
        <v>0</v>
      </c>
      <c r="GZ30" s="36">
        <v>0</v>
      </c>
      <c r="HA30" s="36">
        <v>0</v>
      </c>
      <c r="HB30" s="36">
        <v>0</v>
      </c>
      <c r="HC30" s="36">
        <f t="shared" si="0"/>
        <v>138677.93173633816</v>
      </c>
      <c r="HD30" s="36">
        <f>SUM(AA$5:AA$213)</f>
        <v>138677.9317363381</v>
      </c>
      <c r="HE30" s="41">
        <v>0</v>
      </c>
    </row>
    <row r="31" spans="1:213" hidden="1" outlineLevel="1" x14ac:dyDescent="0.2">
      <c r="A31" s="9" t="s">
        <v>275</v>
      </c>
      <c r="B31" s="36">
        <v>0</v>
      </c>
      <c r="C31" s="36">
        <v>0</v>
      </c>
      <c r="D31" s="36">
        <v>0</v>
      </c>
      <c r="E31" s="36">
        <v>0</v>
      </c>
      <c r="F31" s="36">
        <v>0</v>
      </c>
      <c r="G31" s="36">
        <v>0</v>
      </c>
      <c r="H31" s="36">
        <v>0</v>
      </c>
      <c r="I31" s="36">
        <v>0</v>
      </c>
      <c r="J31" s="36">
        <v>0</v>
      </c>
      <c r="K31" s="36">
        <v>0</v>
      </c>
      <c r="L31" s="36">
        <v>0</v>
      </c>
      <c r="M31" s="36">
        <v>0</v>
      </c>
      <c r="N31" s="36">
        <v>0</v>
      </c>
      <c r="O31" s="36">
        <v>0</v>
      </c>
      <c r="P31" s="36">
        <v>0</v>
      </c>
      <c r="Q31" s="36">
        <v>0</v>
      </c>
      <c r="R31" s="36">
        <v>0</v>
      </c>
      <c r="S31" s="36">
        <v>0</v>
      </c>
      <c r="T31" s="36">
        <v>0</v>
      </c>
      <c r="U31" s="36">
        <v>0</v>
      </c>
      <c r="V31" s="36">
        <v>0</v>
      </c>
      <c r="W31" s="36">
        <v>0</v>
      </c>
      <c r="X31" s="36">
        <v>0</v>
      </c>
      <c r="Y31" s="36">
        <v>0</v>
      </c>
      <c r="Z31" s="36">
        <v>0</v>
      </c>
      <c r="AA31" s="36">
        <v>0</v>
      </c>
      <c r="AB31" s="36">
        <v>0</v>
      </c>
      <c r="AC31" s="36">
        <v>0</v>
      </c>
      <c r="AD31" s="36">
        <v>0</v>
      </c>
      <c r="AE31" s="36">
        <v>0</v>
      </c>
      <c r="AF31" s="36">
        <v>0</v>
      </c>
      <c r="AG31" s="36">
        <v>0</v>
      </c>
      <c r="AH31" s="36">
        <v>0</v>
      </c>
      <c r="AI31" s="36">
        <v>0</v>
      </c>
      <c r="AJ31" s="36">
        <v>0</v>
      </c>
      <c r="AK31" s="36">
        <v>0</v>
      </c>
      <c r="AL31" s="36">
        <v>0</v>
      </c>
      <c r="AM31" s="36">
        <v>0</v>
      </c>
      <c r="AN31" s="36">
        <v>0</v>
      </c>
      <c r="AO31" s="36">
        <v>0</v>
      </c>
      <c r="AP31" s="36">
        <v>0</v>
      </c>
      <c r="AQ31" s="36">
        <v>0</v>
      </c>
      <c r="AR31" s="36">
        <v>0</v>
      </c>
      <c r="AS31" s="36">
        <v>0</v>
      </c>
      <c r="AT31" s="36">
        <v>0</v>
      </c>
      <c r="AU31" s="36">
        <v>0</v>
      </c>
      <c r="AV31" s="36">
        <v>0</v>
      </c>
      <c r="AW31" s="36">
        <v>0</v>
      </c>
      <c r="AX31" s="36">
        <v>0</v>
      </c>
      <c r="AY31" s="36">
        <v>0</v>
      </c>
      <c r="AZ31" s="36">
        <v>0</v>
      </c>
      <c r="BA31" s="36">
        <v>0</v>
      </c>
      <c r="BB31" s="36">
        <v>0</v>
      </c>
      <c r="BC31" s="36">
        <v>0</v>
      </c>
      <c r="BD31" s="36">
        <v>0</v>
      </c>
      <c r="BE31" s="36">
        <v>0</v>
      </c>
      <c r="BF31" s="36">
        <v>0</v>
      </c>
      <c r="BG31" s="36">
        <v>0</v>
      </c>
      <c r="BH31" s="36">
        <v>0</v>
      </c>
      <c r="BI31" s="36">
        <v>0</v>
      </c>
      <c r="BJ31" s="36">
        <v>0</v>
      </c>
      <c r="BK31" s="40">
        <v>0</v>
      </c>
      <c r="BL31" s="40">
        <v>0</v>
      </c>
      <c r="BM31" s="40">
        <v>0</v>
      </c>
      <c r="BN31" s="40">
        <v>0</v>
      </c>
      <c r="BO31" s="40">
        <v>0</v>
      </c>
      <c r="BP31" s="40">
        <v>0</v>
      </c>
      <c r="BQ31" s="40">
        <v>0</v>
      </c>
      <c r="BR31" s="40">
        <v>0</v>
      </c>
      <c r="BS31" s="40">
        <v>0</v>
      </c>
      <c r="BT31" s="40">
        <v>0</v>
      </c>
      <c r="BU31" s="40">
        <v>0</v>
      </c>
      <c r="BV31" s="40">
        <v>0</v>
      </c>
      <c r="BW31" s="40">
        <v>0</v>
      </c>
      <c r="BX31" s="40">
        <v>0</v>
      </c>
      <c r="BY31" s="40">
        <v>0</v>
      </c>
      <c r="BZ31" s="40">
        <v>0</v>
      </c>
      <c r="CA31" s="40">
        <v>0</v>
      </c>
      <c r="CB31" s="40">
        <v>0</v>
      </c>
      <c r="CC31" s="40">
        <v>0</v>
      </c>
      <c r="CD31" s="40">
        <v>0</v>
      </c>
      <c r="CE31" s="40">
        <v>0</v>
      </c>
      <c r="CF31" s="40">
        <v>0</v>
      </c>
      <c r="CG31" s="40">
        <v>0</v>
      </c>
      <c r="CH31" s="40">
        <v>0</v>
      </c>
      <c r="CI31" s="40">
        <v>0</v>
      </c>
      <c r="CJ31" s="40">
        <v>0</v>
      </c>
      <c r="CK31" s="40">
        <v>0</v>
      </c>
      <c r="CL31" s="40">
        <v>0</v>
      </c>
      <c r="CM31" s="40">
        <v>0</v>
      </c>
      <c r="CN31" s="40">
        <v>0</v>
      </c>
      <c r="CO31" s="40">
        <v>0</v>
      </c>
      <c r="CP31" s="40">
        <v>0</v>
      </c>
      <c r="CQ31" s="40">
        <v>0</v>
      </c>
      <c r="CR31" s="40">
        <v>0</v>
      </c>
      <c r="CS31" s="40">
        <v>0</v>
      </c>
      <c r="CT31" s="40">
        <v>0</v>
      </c>
      <c r="CU31" s="40">
        <v>0</v>
      </c>
      <c r="CV31" s="40">
        <v>0</v>
      </c>
      <c r="CW31" s="40">
        <v>0</v>
      </c>
      <c r="CX31" s="40">
        <v>0</v>
      </c>
      <c r="CY31" s="40">
        <v>0</v>
      </c>
      <c r="CZ31" s="40">
        <v>0</v>
      </c>
      <c r="DA31" s="40">
        <v>0</v>
      </c>
      <c r="DB31" s="40">
        <v>0</v>
      </c>
      <c r="DC31" s="40">
        <v>0</v>
      </c>
      <c r="DD31" s="40">
        <v>0</v>
      </c>
      <c r="DE31" s="40">
        <v>113.06577693092532</v>
      </c>
      <c r="DF31" s="40">
        <v>31.080352906882766</v>
      </c>
      <c r="DG31" s="40">
        <v>0</v>
      </c>
      <c r="DH31" s="40">
        <v>0</v>
      </c>
      <c r="DI31" s="40">
        <v>0</v>
      </c>
      <c r="DJ31" s="40">
        <v>0</v>
      </c>
      <c r="DK31" s="40">
        <v>0</v>
      </c>
      <c r="DL31" s="40">
        <v>0</v>
      </c>
      <c r="DM31" s="40">
        <v>0</v>
      </c>
      <c r="DN31" s="40">
        <v>5.3843774757553984</v>
      </c>
      <c r="DO31" s="40">
        <v>0</v>
      </c>
      <c r="DP31" s="40">
        <v>77.511255419117305</v>
      </c>
      <c r="DQ31" s="40">
        <v>53.138567884658542</v>
      </c>
      <c r="DR31" s="40">
        <v>163.20721560577826</v>
      </c>
      <c r="DS31" s="40">
        <v>742.50596140966627</v>
      </c>
      <c r="DT31" s="40">
        <v>725.35446925245787</v>
      </c>
      <c r="DU31" s="40">
        <v>0</v>
      </c>
      <c r="DV31" s="40">
        <v>0</v>
      </c>
      <c r="DW31" s="40">
        <v>488.75541969896898</v>
      </c>
      <c r="DX31" s="40">
        <v>21.463546716866052</v>
      </c>
      <c r="DY31" s="40">
        <v>9457.8222362714314</v>
      </c>
      <c r="DZ31" s="40">
        <v>2392.5514077516768</v>
      </c>
      <c r="EA31" s="40">
        <v>42966.262228690124</v>
      </c>
      <c r="EB31" s="40">
        <v>3720.0115819670723</v>
      </c>
      <c r="EC31" s="40">
        <v>77.760440097292147</v>
      </c>
      <c r="ED31" s="40">
        <v>183.63518441566322</v>
      </c>
      <c r="EE31" s="40">
        <v>0</v>
      </c>
      <c r="EF31" s="40">
        <v>0</v>
      </c>
      <c r="EG31" s="40">
        <v>198.080280473708</v>
      </c>
      <c r="EH31" s="40">
        <v>0</v>
      </c>
      <c r="EI31" s="40">
        <v>0</v>
      </c>
      <c r="EJ31" s="40">
        <v>0</v>
      </c>
      <c r="EK31" s="40">
        <v>0</v>
      </c>
      <c r="EL31" s="40">
        <v>0</v>
      </c>
      <c r="EM31" s="40">
        <v>0</v>
      </c>
      <c r="EN31" s="40">
        <v>0</v>
      </c>
      <c r="EO31" s="40">
        <v>0</v>
      </c>
      <c r="EP31" s="40">
        <v>0</v>
      </c>
      <c r="EQ31" s="40">
        <v>0</v>
      </c>
      <c r="ER31" s="40">
        <v>0</v>
      </c>
      <c r="ES31" s="40">
        <v>0</v>
      </c>
      <c r="ET31" s="40">
        <v>0</v>
      </c>
      <c r="EU31" s="40">
        <v>0</v>
      </c>
      <c r="EV31" s="40">
        <v>0</v>
      </c>
      <c r="EW31" s="40">
        <v>0</v>
      </c>
      <c r="EX31" s="40">
        <v>0</v>
      </c>
      <c r="EY31" s="40">
        <v>0</v>
      </c>
      <c r="EZ31" s="40">
        <v>0</v>
      </c>
      <c r="FA31" s="40">
        <v>0</v>
      </c>
      <c r="FB31" s="40">
        <v>0</v>
      </c>
      <c r="FC31" s="40">
        <v>0</v>
      </c>
      <c r="FD31" s="40">
        <v>0</v>
      </c>
      <c r="FE31" s="40">
        <v>0</v>
      </c>
      <c r="FF31" s="40">
        <v>4234.2085982840126</v>
      </c>
      <c r="FG31" s="40">
        <v>0</v>
      </c>
      <c r="FH31" s="40">
        <v>0</v>
      </c>
      <c r="FI31" s="40">
        <v>0</v>
      </c>
      <c r="FJ31" s="40">
        <v>0</v>
      </c>
      <c r="FK31" s="40">
        <v>0</v>
      </c>
      <c r="FL31" s="40">
        <v>0</v>
      </c>
      <c r="FM31" s="40">
        <v>0</v>
      </c>
      <c r="FN31" s="40">
        <v>0</v>
      </c>
      <c r="FO31" s="36">
        <v>0</v>
      </c>
      <c r="FP31" s="36">
        <v>0</v>
      </c>
      <c r="FQ31" s="36">
        <v>0</v>
      </c>
      <c r="FR31" s="36">
        <v>0</v>
      </c>
      <c r="FS31" s="36">
        <v>0</v>
      </c>
      <c r="FT31" s="36">
        <v>0</v>
      </c>
      <c r="FU31" s="36">
        <v>0</v>
      </c>
      <c r="FV31" s="36">
        <v>0</v>
      </c>
      <c r="FW31" s="36">
        <v>0</v>
      </c>
      <c r="FX31" s="36">
        <v>0</v>
      </c>
      <c r="FY31" s="36">
        <v>0</v>
      </c>
      <c r="FZ31" s="36">
        <v>0</v>
      </c>
      <c r="GA31" s="36">
        <v>0</v>
      </c>
      <c r="GB31" s="36">
        <v>0</v>
      </c>
      <c r="GC31" s="36">
        <v>0</v>
      </c>
      <c r="GD31" s="36">
        <v>0</v>
      </c>
      <c r="GE31" s="36">
        <v>0</v>
      </c>
      <c r="GF31" s="36">
        <v>0</v>
      </c>
      <c r="GG31" s="36"/>
      <c r="GH31" s="36"/>
      <c r="GI31" s="36"/>
      <c r="GJ31" s="36"/>
      <c r="GK31" s="36"/>
      <c r="GL31" s="36"/>
      <c r="GM31" s="36"/>
      <c r="GN31" s="36"/>
      <c r="GO31" s="36"/>
      <c r="GP31" s="36"/>
      <c r="GQ31" s="36"/>
      <c r="GR31" s="36"/>
      <c r="GS31" s="36"/>
      <c r="GT31" s="36"/>
      <c r="GU31" s="36">
        <v>0</v>
      </c>
      <c r="GV31" s="36">
        <v>0</v>
      </c>
      <c r="GW31" s="36">
        <v>0</v>
      </c>
      <c r="GX31" s="36">
        <v>0</v>
      </c>
      <c r="GY31" s="36">
        <v>0</v>
      </c>
      <c r="GZ31" s="36">
        <v>0</v>
      </c>
      <c r="HA31" s="36">
        <v>0</v>
      </c>
      <c r="HB31" s="36">
        <v>0</v>
      </c>
      <c r="HC31" s="36">
        <f t="shared" si="0"/>
        <v>65651.798901252056</v>
      </c>
      <c r="HD31" s="36">
        <f>SUM(AB$5:AB$213)</f>
        <v>65651.79890125207</v>
      </c>
      <c r="HE31" s="41">
        <v>0</v>
      </c>
    </row>
    <row r="32" spans="1:213" hidden="1" outlineLevel="1" x14ac:dyDescent="0.2">
      <c r="A32" s="9" t="s">
        <v>281</v>
      </c>
      <c r="B32" s="36">
        <v>0</v>
      </c>
      <c r="C32" s="36">
        <v>0</v>
      </c>
      <c r="D32" s="36">
        <v>0</v>
      </c>
      <c r="E32" s="36">
        <v>0</v>
      </c>
      <c r="F32" s="36">
        <v>0</v>
      </c>
      <c r="G32" s="36">
        <v>0</v>
      </c>
      <c r="H32" s="36">
        <v>0</v>
      </c>
      <c r="I32" s="36">
        <v>0</v>
      </c>
      <c r="J32" s="36">
        <v>0</v>
      </c>
      <c r="K32" s="36">
        <v>0</v>
      </c>
      <c r="L32" s="36">
        <v>0</v>
      </c>
      <c r="M32" s="36">
        <v>0</v>
      </c>
      <c r="N32" s="36">
        <v>0</v>
      </c>
      <c r="O32" s="36">
        <v>0</v>
      </c>
      <c r="P32" s="36">
        <v>0</v>
      </c>
      <c r="Q32" s="36">
        <v>0</v>
      </c>
      <c r="R32" s="36">
        <v>0</v>
      </c>
      <c r="S32" s="36">
        <v>0</v>
      </c>
      <c r="T32" s="36">
        <v>0</v>
      </c>
      <c r="U32" s="36">
        <v>0</v>
      </c>
      <c r="V32" s="36">
        <v>0</v>
      </c>
      <c r="W32" s="36">
        <v>0</v>
      </c>
      <c r="X32" s="36">
        <v>0</v>
      </c>
      <c r="Y32" s="36">
        <v>0</v>
      </c>
      <c r="Z32" s="36">
        <v>0</v>
      </c>
      <c r="AA32" s="36">
        <v>0</v>
      </c>
      <c r="AB32" s="36">
        <v>0</v>
      </c>
      <c r="AC32" s="36">
        <v>0</v>
      </c>
      <c r="AD32" s="36">
        <v>0</v>
      </c>
      <c r="AE32" s="36">
        <v>0</v>
      </c>
      <c r="AF32" s="36">
        <v>0</v>
      </c>
      <c r="AG32" s="36">
        <v>0</v>
      </c>
      <c r="AH32" s="36">
        <v>0</v>
      </c>
      <c r="AI32" s="36">
        <v>0</v>
      </c>
      <c r="AJ32" s="36">
        <v>0</v>
      </c>
      <c r="AK32" s="36">
        <v>0</v>
      </c>
      <c r="AL32" s="36">
        <v>0</v>
      </c>
      <c r="AM32" s="36">
        <v>0</v>
      </c>
      <c r="AN32" s="36">
        <v>0</v>
      </c>
      <c r="AO32" s="36">
        <v>0</v>
      </c>
      <c r="AP32" s="36">
        <v>0</v>
      </c>
      <c r="AQ32" s="36">
        <v>0</v>
      </c>
      <c r="AR32" s="36">
        <v>0</v>
      </c>
      <c r="AS32" s="36">
        <v>0</v>
      </c>
      <c r="AT32" s="36">
        <v>0</v>
      </c>
      <c r="AU32" s="36">
        <v>0</v>
      </c>
      <c r="AV32" s="36">
        <v>0</v>
      </c>
      <c r="AW32" s="36">
        <v>0</v>
      </c>
      <c r="AX32" s="36">
        <v>0</v>
      </c>
      <c r="AY32" s="36">
        <v>0</v>
      </c>
      <c r="AZ32" s="36">
        <v>0</v>
      </c>
      <c r="BA32" s="36">
        <v>0</v>
      </c>
      <c r="BB32" s="36">
        <v>0</v>
      </c>
      <c r="BC32" s="36">
        <v>0</v>
      </c>
      <c r="BD32" s="36">
        <v>0</v>
      </c>
      <c r="BE32" s="36">
        <v>0</v>
      </c>
      <c r="BF32" s="36">
        <v>0</v>
      </c>
      <c r="BG32" s="36">
        <v>0</v>
      </c>
      <c r="BH32" s="36">
        <v>0</v>
      </c>
      <c r="BI32" s="36">
        <v>0</v>
      </c>
      <c r="BJ32" s="36">
        <v>0</v>
      </c>
      <c r="BK32" s="40">
        <v>0</v>
      </c>
      <c r="BL32" s="40">
        <v>0</v>
      </c>
      <c r="BM32" s="40">
        <v>0</v>
      </c>
      <c r="BN32" s="40">
        <v>0</v>
      </c>
      <c r="BO32" s="40">
        <v>0</v>
      </c>
      <c r="BP32" s="40">
        <v>0</v>
      </c>
      <c r="BQ32" s="40">
        <v>0</v>
      </c>
      <c r="BR32" s="40">
        <v>0</v>
      </c>
      <c r="BS32" s="40">
        <v>0</v>
      </c>
      <c r="BT32" s="40">
        <v>0</v>
      </c>
      <c r="BU32" s="40">
        <v>0</v>
      </c>
      <c r="BV32" s="40">
        <v>0</v>
      </c>
      <c r="BW32" s="40">
        <v>0</v>
      </c>
      <c r="BX32" s="40">
        <v>0</v>
      </c>
      <c r="BY32" s="40">
        <v>0</v>
      </c>
      <c r="BZ32" s="40">
        <v>0</v>
      </c>
      <c r="CA32" s="40">
        <v>0</v>
      </c>
      <c r="CB32" s="40">
        <v>0</v>
      </c>
      <c r="CC32" s="40">
        <v>0</v>
      </c>
      <c r="CD32" s="40">
        <v>0</v>
      </c>
      <c r="CE32" s="40">
        <v>0</v>
      </c>
      <c r="CF32" s="40">
        <v>0</v>
      </c>
      <c r="CG32" s="40">
        <v>0</v>
      </c>
      <c r="CH32" s="40">
        <v>0</v>
      </c>
      <c r="CI32" s="40">
        <v>0</v>
      </c>
      <c r="CJ32" s="40">
        <v>0</v>
      </c>
      <c r="CK32" s="40">
        <v>0</v>
      </c>
      <c r="CL32" s="40">
        <v>0</v>
      </c>
      <c r="CM32" s="40">
        <v>0</v>
      </c>
      <c r="CN32" s="40">
        <v>0</v>
      </c>
      <c r="CO32" s="40">
        <v>0</v>
      </c>
      <c r="CP32" s="40">
        <v>0</v>
      </c>
      <c r="CQ32" s="40">
        <v>0</v>
      </c>
      <c r="CR32" s="40">
        <v>0</v>
      </c>
      <c r="CS32" s="40">
        <v>0</v>
      </c>
      <c r="CT32" s="40">
        <v>0</v>
      </c>
      <c r="CU32" s="40">
        <v>0</v>
      </c>
      <c r="CV32" s="40">
        <v>0</v>
      </c>
      <c r="CW32" s="40">
        <v>0</v>
      </c>
      <c r="CX32" s="40">
        <v>0</v>
      </c>
      <c r="CY32" s="40">
        <v>0</v>
      </c>
      <c r="CZ32" s="40">
        <v>0</v>
      </c>
      <c r="DA32" s="40">
        <v>0</v>
      </c>
      <c r="DB32" s="40">
        <v>0</v>
      </c>
      <c r="DC32" s="40">
        <v>0</v>
      </c>
      <c r="DD32" s="40">
        <v>0</v>
      </c>
      <c r="DE32" s="40">
        <v>0</v>
      </c>
      <c r="DF32" s="40">
        <v>0</v>
      </c>
      <c r="DG32" s="40">
        <v>0</v>
      </c>
      <c r="DH32" s="40">
        <v>0</v>
      </c>
      <c r="DI32" s="40">
        <v>0</v>
      </c>
      <c r="DJ32" s="40">
        <v>0</v>
      </c>
      <c r="DK32" s="40">
        <v>0</v>
      </c>
      <c r="DL32" s="40">
        <v>0</v>
      </c>
      <c r="DM32" s="40">
        <v>0</v>
      </c>
      <c r="DN32" s="40">
        <v>0</v>
      </c>
      <c r="DO32" s="40">
        <v>0</v>
      </c>
      <c r="DP32" s="40">
        <v>0</v>
      </c>
      <c r="DQ32" s="40">
        <v>0</v>
      </c>
      <c r="DR32" s="40">
        <v>0</v>
      </c>
      <c r="DS32" s="40">
        <v>162.74849330012481</v>
      </c>
      <c r="DT32" s="40">
        <v>0</v>
      </c>
      <c r="DU32" s="40">
        <v>0</v>
      </c>
      <c r="DV32" s="40">
        <v>0</v>
      </c>
      <c r="DW32" s="40">
        <v>461.19080236324066</v>
      </c>
      <c r="DX32" s="40">
        <v>0</v>
      </c>
      <c r="DY32" s="40">
        <v>0</v>
      </c>
      <c r="DZ32" s="40">
        <v>0</v>
      </c>
      <c r="EA32" s="40">
        <v>318.97387885995215</v>
      </c>
      <c r="EB32" s="40">
        <v>15166.589970137713</v>
      </c>
      <c r="EC32" s="40">
        <v>26.558467680314159</v>
      </c>
      <c r="ED32" s="40">
        <v>0</v>
      </c>
      <c r="EE32" s="40">
        <v>0</v>
      </c>
      <c r="EF32" s="40">
        <v>0</v>
      </c>
      <c r="EG32" s="40">
        <v>0</v>
      </c>
      <c r="EH32" s="40">
        <v>0</v>
      </c>
      <c r="EI32" s="40">
        <v>0</v>
      </c>
      <c r="EJ32" s="40">
        <v>0</v>
      </c>
      <c r="EK32" s="40">
        <v>0</v>
      </c>
      <c r="EL32" s="40">
        <v>0</v>
      </c>
      <c r="EM32" s="40">
        <v>0</v>
      </c>
      <c r="EN32" s="40">
        <v>0</v>
      </c>
      <c r="EO32" s="40">
        <v>0</v>
      </c>
      <c r="EP32" s="40">
        <v>0</v>
      </c>
      <c r="EQ32" s="40">
        <v>0</v>
      </c>
      <c r="ER32" s="40">
        <v>0</v>
      </c>
      <c r="ES32" s="40">
        <v>0</v>
      </c>
      <c r="ET32" s="40">
        <v>0</v>
      </c>
      <c r="EU32" s="40">
        <v>0</v>
      </c>
      <c r="EV32" s="40">
        <v>0</v>
      </c>
      <c r="EW32" s="40">
        <v>0</v>
      </c>
      <c r="EX32" s="40">
        <v>0</v>
      </c>
      <c r="EY32" s="40">
        <v>0</v>
      </c>
      <c r="EZ32" s="40">
        <v>0</v>
      </c>
      <c r="FA32" s="40">
        <v>0</v>
      </c>
      <c r="FB32" s="40">
        <v>0</v>
      </c>
      <c r="FC32" s="40">
        <v>0</v>
      </c>
      <c r="FD32" s="40">
        <v>0</v>
      </c>
      <c r="FE32" s="40">
        <v>0</v>
      </c>
      <c r="FF32" s="40">
        <v>871.14310392818163</v>
      </c>
      <c r="FG32" s="40">
        <v>0</v>
      </c>
      <c r="FH32" s="40">
        <v>0</v>
      </c>
      <c r="FI32" s="40">
        <v>0</v>
      </c>
      <c r="FJ32" s="40">
        <v>0</v>
      </c>
      <c r="FK32" s="40">
        <v>0</v>
      </c>
      <c r="FL32" s="40">
        <v>0</v>
      </c>
      <c r="FM32" s="40">
        <v>0</v>
      </c>
      <c r="FN32" s="40">
        <v>0</v>
      </c>
      <c r="FO32" s="36">
        <v>0</v>
      </c>
      <c r="FP32" s="36">
        <v>0</v>
      </c>
      <c r="FQ32" s="36">
        <v>0</v>
      </c>
      <c r="FR32" s="36">
        <v>0</v>
      </c>
      <c r="FS32" s="36">
        <v>0</v>
      </c>
      <c r="FT32" s="36">
        <v>0</v>
      </c>
      <c r="FU32" s="36">
        <v>0</v>
      </c>
      <c r="FV32" s="36">
        <v>0</v>
      </c>
      <c r="FW32" s="36">
        <v>0</v>
      </c>
      <c r="FX32" s="36">
        <v>0</v>
      </c>
      <c r="FY32" s="36">
        <v>0</v>
      </c>
      <c r="FZ32" s="36">
        <v>0</v>
      </c>
      <c r="GA32" s="36">
        <v>0</v>
      </c>
      <c r="GB32" s="36">
        <v>0</v>
      </c>
      <c r="GC32" s="36">
        <v>0</v>
      </c>
      <c r="GD32" s="36">
        <v>0</v>
      </c>
      <c r="GE32" s="36">
        <v>0</v>
      </c>
      <c r="GF32" s="36">
        <v>0</v>
      </c>
      <c r="GG32" s="36"/>
      <c r="GH32" s="36"/>
      <c r="GI32" s="36"/>
      <c r="GJ32" s="36"/>
      <c r="GK32" s="36"/>
      <c r="GL32" s="36"/>
      <c r="GM32" s="36"/>
      <c r="GN32" s="36"/>
      <c r="GO32" s="36"/>
      <c r="GP32" s="36"/>
      <c r="GQ32" s="36"/>
      <c r="GR32" s="36"/>
      <c r="GS32" s="36"/>
      <c r="GT32" s="36"/>
      <c r="GU32" s="36">
        <v>0</v>
      </c>
      <c r="GV32" s="36">
        <v>0</v>
      </c>
      <c r="GW32" s="36">
        <v>0</v>
      </c>
      <c r="GX32" s="36">
        <v>0</v>
      </c>
      <c r="GY32" s="36">
        <v>0</v>
      </c>
      <c r="GZ32" s="36">
        <v>0</v>
      </c>
      <c r="HA32" s="36">
        <v>0</v>
      </c>
      <c r="HB32" s="36">
        <v>0</v>
      </c>
      <c r="HC32" s="36">
        <f t="shared" si="0"/>
        <v>17007.204716269527</v>
      </c>
      <c r="HD32" s="36">
        <f>SUM(AC$5:AC$213)</f>
        <v>17007.20471626952</v>
      </c>
      <c r="HE32" s="41">
        <v>0</v>
      </c>
    </row>
    <row r="33" spans="1:213" hidden="1" outlineLevel="1" x14ac:dyDescent="0.2">
      <c r="A33" s="9" t="s">
        <v>286</v>
      </c>
      <c r="B33" s="36">
        <v>0</v>
      </c>
      <c r="C33" s="36">
        <v>0</v>
      </c>
      <c r="D33" s="36">
        <v>0</v>
      </c>
      <c r="E33" s="36">
        <v>0</v>
      </c>
      <c r="F33" s="36">
        <v>0</v>
      </c>
      <c r="G33" s="36">
        <v>0</v>
      </c>
      <c r="H33" s="36">
        <v>0</v>
      </c>
      <c r="I33" s="36">
        <v>0</v>
      </c>
      <c r="J33" s="36">
        <v>0</v>
      </c>
      <c r="K33" s="36">
        <v>0</v>
      </c>
      <c r="L33" s="36">
        <v>0</v>
      </c>
      <c r="M33" s="36">
        <v>0</v>
      </c>
      <c r="N33" s="36">
        <v>0</v>
      </c>
      <c r="O33" s="36">
        <v>0</v>
      </c>
      <c r="P33" s="36">
        <v>0</v>
      </c>
      <c r="Q33" s="36">
        <v>0</v>
      </c>
      <c r="R33" s="36">
        <v>0</v>
      </c>
      <c r="S33" s="36">
        <v>0</v>
      </c>
      <c r="T33" s="36">
        <v>0</v>
      </c>
      <c r="U33" s="36">
        <v>0</v>
      </c>
      <c r="V33" s="36">
        <v>0</v>
      </c>
      <c r="W33" s="36">
        <v>0</v>
      </c>
      <c r="X33" s="36">
        <v>0</v>
      </c>
      <c r="Y33" s="36">
        <v>0</v>
      </c>
      <c r="Z33" s="36">
        <v>0</v>
      </c>
      <c r="AA33" s="36">
        <v>0</v>
      </c>
      <c r="AB33" s="36">
        <v>0</v>
      </c>
      <c r="AC33" s="36">
        <v>0</v>
      </c>
      <c r="AD33" s="36">
        <v>0</v>
      </c>
      <c r="AE33" s="36">
        <v>0</v>
      </c>
      <c r="AF33" s="36">
        <v>0</v>
      </c>
      <c r="AG33" s="36">
        <v>0</v>
      </c>
      <c r="AH33" s="36">
        <v>0</v>
      </c>
      <c r="AI33" s="36">
        <v>0</v>
      </c>
      <c r="AJ33" s="36">
        <v>0</v>
      </c>
      <c r="AK33" s="36">
        <v>0</v>
      </c>
      <c r="AL33" s="36">
        <v>0</v>
      </c>
      <c r="AM33" s="36">
        <v>0</v>
      </c>
      <c r="AN33" s="36">
        <v>0</v>
      </c>
      <c r="AO33" s="36">
        <v>0</v>
      </c>
      <c r="AP33" s="36">
        <v>0</v>
      </c>
      <c r="AQ33" s="36">
        <v>0</v>
      </c>
      <c r="AR33" s="36">
        <v>0</v>
      </c>
      <c r="AS33" s="36">
        <v>0</v>
      </c>
      <c r="AT33" s="36">
        <v>0</v>
      </c>
      <c r="AU33" s="36">
        <v>0</v>
      </c>
      <c r="AV33" s="36">
        <v>0</v>
      </c>
      <c r="AW33" s="36">
        <v>0</v>
      </c>
      <c r="AX33" s="36">
        <v>0</v>
      </c>
      <c r="AY33" s="36">
        <v>0</v>
      </c>
      <c r="AZ33" s="36">
        <v>0</v>
      </c>
      <c r="BA33" s="36">
        <v>0</v>
      </c>
      <c r="BB33" s="36">
        <v>0</v>
      </c>
      <c r="BC33" s="36">
        <v>0</v>
      </c>
      <c r="BD33" s="36">
        <v>0</v>
      </c>
      <c r="BE33" s="36">
        <v>0</v>
      </c>
      <c r="BF33" s="36">
        <v>0</v>
      </c>
      <c r="BG33" s="36">
        <v>0</v>
      </c>
      <c r="BH33" s="36">
        <v>0</v>
      </c>
      <c r="BI33" s="36">
        <v>0</v>
      </c>
      <c r="BJ33" s="36">
        <v>0</v>
      </c>
      <c r="BK33" s="40">
        <v>0</v>
      </c>
      <c r="BL33" s="40">
        <v>0</v>
      </c>
      <c r="BM33" s="40">
        <v>0</v>
      </c>
      <c r="BN33" s="40">
        <v>0</v>
      </c>
      <c r="BO33" s="40">
        <v>0</v>
      </c>
      <c r="BP33" s="40">
        <v>0</v>
      </c>
      <c r="BQ33" s="40">
        <v>0</v>
      </c>
      <c r="BR33" s="40">
        <v>0</v>
      </c>
      <c r="BS33" s="40">
        <v>0</v>
      </c>
      <c r="BT33" s="40">
        <v>0</v>
      </c>
      <c r="BU33" s="40">
        <v>0</v>
      </c>
      <c r="BV33" s="40">
        <v>0</v>
      </c>
      <c r="BW33" s="40">
        <v>0</v>
      </c>
      <c r="BX33" s="40">
        <v>0</v>
      </c>
      <c r="BY33" s="40">
        <v>0</v>
      </c>
      <c r="BZ33" s="40">
        <v>0</v>
      </c>
      <c r="CA33" s="40">
        <v>0</v>
      </c>
      <c r="CB33" s="40">
        <v>0</v>
      </c>
      <c r="CC33" s="40">
        <v>0</v>
      </c>
      <c r="CD33" s="40">
        <v>0</v>
      </c>
      <c r="CE33" s="40">
        <v>0</v>
      </c>
      <c r="CF33" s="40">
        <v>0</v>
      </c>
      <c r="CG33" s="40">
        <v>0</v>
      </c>
      <c r="CH33" s="40">
        <v>0</v>
      </c>
      <c r="CI33" s="40">
        <v>0</v>
      </c>
      <c r="CJ33" s="40">
        <v>0</v>
      </c>
      <c r="CK33" s="40">
        <v>0</v>
      </c>
      <c r="CL33" s="40">
        <v>0</v>
      </c>
      <c r="CM33" s="40">
        <v>0</v>
      </c>
      <c r="CN33" s="40">
        <v>0</v>
      </c>
      <c r="CO33" s="40">
        <v>0</v>
      </c>
      <c r="CP33" s="40">
        <v>0</v>
      </c>
      <c r="CQ33" s="40">
        <v>0</v>
      </c>
      <c r="CR33" s="40">
        <v>0</v>
      </c>
      <c r="CS33" s="40">
        <v>0</v>
      </c>
      <c r="CT33" s="40">
        <v>0</v>
      </c>
      <c r="CU33" s="40">
        <v>0</v>
      </c>
      <c r="CV33" s="40">
        <v>0</v>
      </c>
      <c r="CW33" s="40">
        <v>0</v>
      </c>
      <c r="CX33" s="40">
        <v>0</v>
      </c>
      <c r="CY33" s="40">
        <v>0</v>
      </c>
      <c r="CZ33" s="40">
        <v>0</v>
      </c>
      <c r="DA33" s="40">
        <v>42.963063552469734</v>
      </c>
      <c r="DB33" s="40">
        <v>0</v>
      </c>
      <c r="DC33" s="40">
        <v>0</v>
      </c>
      <c r="DD33" s="40">
        <v>0</v>
      </c>
      <c r="DE33" s="40">
        <v>0</v>
      </c>
      <c r="DF33" s="40">
        <v>0</v>
      </c>
      <c r="DG33" s="40">
        <v>0</v>
      </c>
      <c r="DH33" s="40">
        <v>0</v>
      </c>
      <c r="DI33" s="40">
        <v>0</v>
      </c>
      <c r="DJ33" s="40">
        <v>0</v>
      </c>
      <c r="DK33" s="40">
        <v>0</v>
      </c>
      <c r="DL33" s="40">
        <v>0</v>
      </c>
      <c r="DM33" s="40">
        <v>0</v>
      </c>
      <c r="DN33" s="40">
        <v>0</v>
      </c>
      <c r="DO33" s="40">
        <v>0</v>
      </c>
      <c r="DP33" s="40">
        <v>0</v>
      </c>
      <c r="DQ33" s="40">
        <v>0</v>
      </c>
      <c r="DR33" s="40">
        <v>0</v>
      </c>
      <c r="DS33" s="40">
        <v>0</v>
      </c>
      <c r="DT33" s="40">
        <v>196.47374803054757</v>
      </c>
      <c r="DU33" s="40">
        <v>0</v>
      </c>
      <c r="DV33" s="40">
        <v>0</v>
      </c>
      <c r="DW33" s="40">
        <v>197.32650389492147</v>
      </c>
      <c r="DX33" s="40">
        <v>0</v>
      </c>
      <c r="DY33" s="40">
        <v>0</v>
      </c>
      <c r="DZ33" s="40">
        <v>0</v>
      </c>
      <c r="EA33" s="40">
        <v>0</v>
      </c>
      <c r="EB33" s="40">
        <v>106.07955258336652</v>
      </c>
      <c r="EC33" s="40">
        <v>11280.123069333011</v>
      </c>
      <c r="ED33" s="40">
        <v>0</v>
      </c>
      <c r="EE33" s="40">
        <v>0</v>
      </c>
      <c r="EF33" s="40">
        <v>0</v>
      </c>
      <c r="EG33" s="40">
        <v>0</v>
      </c>
      <c r="EH33" s="40">
        <v>0</v>
      </c>
      <c r="EI33" s="40">
        <v>0</v>
      </c>
      <c r="EJ33" s="40">
        <v>0</v>
      </c>
      <c r="EK33" s="40">
        <v>0</v>
      </c>
      <c r="EL33" s="40">
        <v>0</v>
      </c>
      <c r="EM33" s="40">
        <v>0</v>
      </c>
      <c r="EN33" s="40">
        <v>0</v>
      </c>
      <c r="EO33" s="40">
        <v>0</v>
      </c>
      <c r="EP33" s="40">
        <v>0</v>
      </c>
      <c r="EQ33" s="40">
        <v>0</v>
      </c>
      <c r="ER33" s="40">
        <v>0</v>
      </c>
      <c r="ES33" s="40">
        <v>0</v>
      </c>
      <c r="ET33" s="40">
        <v>0</v>
      </c>
      <c r="EU33" s="40">
        <v>0</v>
      </c>
      <c r="EV33" s="40">
        <v>0</v>
      </c>
      <c r="EW33" s="40">
        <v>0</v>
      </c>
      <c r="EX33" s="40">
        <v>0</v>
      </c>
      <c r="EY33" s="40">
        <v>0</v>
      </c>
      <c r="EZ33" s="40">
        <v>0</v>
      </c>
      <c r="FA33" s="40">
        <v>0</v>
      </c>
      <c r="FB33" s="40">
        <v>0</v>
      </c>
      <c r="FC33" s="40">
        <v>0</v>
      </c>
      <c r="FD33" s="40">
        <v>0</v>
      </c>
      <c r="FE33" s="40">
        <v>0</v>
      </c>
      <c r="FF33" s="40">
        <v>1705.643044483847</v>
      </c>
      <c r="FG33" s="40">
        <v>0</v>
      </c>
      <c r="FH33" s="40">
        <v>0</v>
      </c>
      <c r="FI33" s="40">
        <v>0</v>
      </c>
      <c r="FJ33" s="40">
        <v>0</v>
      </c>
      <c r="FK33" s="40">
        <v>0</v>
      </c>
      <c r="FL33" s="40">
        <v>0</v>
      </c>
      <c r="FM33" s="40">
        <v>0</v>
      </c>
      <c r="FN33" s="40">
        <v>0</v>
      </c>
      <c r="FO33" s="36">
        <v>0</v>
      </c>
      <c r="FP33" s="36">
        <v>0</v>
      </c>
      <c r="FQ33" s="36">
        <v>0</v>
      </c>
      <c r="FR33" s="36">
        <v>0</v>
      </c>
      <c r="FS33" s="36">
        <v>0</v>
      </c>
      <c r="FT33" s="36">
        <v>0</v>
      </c>
      <c r="FU33" s="36">
        <v>0</v>
      </c>
      <c r="FV33" s="36">
        <v>0</v>
      </c>
      <c r="FW33" s="36">
        <v>0</v>
      </c>
      <c r="FX33" s="36">
        <v>0</v>
      </c>
      <c r="FY33" s="36">
        <v>0</v>
      </c>
      <c r="FZ33" s="36">
        <v>0</v>
      </c>
      <c r="GA33" s="36">
        <v>0</v>
      </c>
      <c r="GB33" s="36">
        <v>0</v>
      </c>
      <c r="GC33" s="36">
        <v>0</v>
      </c>
      <c r="GD33" s="36">
        <v>0</v>
      </c>
      <c r="GE33" s="36">
        <v>0</v>
      </c>
      <c r="GF33" s="36">
        <v>0</v>
      </c>
      <c r="GG33" s="36"/>
      <c r="GH33" s="36"/>
      <c r="GI33" s="36"/>
      <c r="GJ33" s="36"/>
      <c r="GK33" s="36"/>
      <c r="GL33" s="36"/>
      <c r="GM33" s="36"/>
      <c r="GN33" s="36"/>
      <c r="GO33" s="36"/>
      <c r="GP33" s="36"/>
      <c r="GQ33" s="36"/>
      <c r="GR33" s="36"/>
      <c r="GS33" s="36"/>
      <c r="GT33" s="36"/>
      <c r="GU33" s="36">
        <v>0</v>
      </c>
      <c r="GV33" s="36">
        <v>0</v>
      </c>
      <c r="GW33" s="36">
        <v>0</v>
      </c>
      <c r="GX33" s="36">
        <v>0</v>
      </c>
      <c r="GY33" s="36">
        <v>0</v>
      </c>
      <c r="GZ33" s="36">
        <v>0</v>
      </c>
      <c r="HA33" s="36">
        <v>0</v>
      </c>
      <c r="HB33" s="36">
        <v>0</v>
      </c>
      <c r="HC33" s="36">
        <f t="shared" si="0"/>
        <v>13528.608981878162</v>
      </c>
      <c r="HD33" s="36">
        <f>SUM(AD$5:AD$213)</f>
        <v>13528.608981878162</v>
      </c>
      <c r="HE33" s="41">
        <v>0</v>
      </c>
    </row>
    <row r="34" spans="1:213" hidden="1" outlineLevel="1" x14ac:dyDescent="0.2">
      <c r="A34" s="9" t="s">
        <v>291</v>
      </c>
      <c r="B34" s="36">
        <v>0</v>
      </c>
      <c r="C34" s="36">
        <v>0</v>
      </c>
      <c r="D34" s="36">
        <v>0</v>
      </c>
      <c r="E34" s="36">
        <v>0</v>
      </c>
      <c r="F34" s="36">
        <v>0</v>
      </c>
      <c r="G34" s="36">
        <v>0</v>
      </c>
      <c r="H34" s="36">
        <v>0</v>
      </c>
      <c r="I34" s="36">
        <v>0</v>
      </c>
      <c r="J34" s="36">
        <v>0</v>
      </c>
      <c r="K34" s="36">
        <v>0</v>
      </c>
      <c r="L34" s="36">
        <v>0</v>
      </c>
      <c r="M34" s="36">
        <v>0</v>
      </c>
      <c r="N34" s="36">
        <v>0</v>
      </c>
      <c r="O34" s="36">
        <v>0</v>
      </c>
      <c r="P34" s="36">
        <v>0</v>
      </c>
      <c r="Q34" s="36">
        <v>0</v>
      </c>
      <c r="R34" s="36">
        <v>0</v>
      </c>
      <c r="S34" s="36">
        <v>0</v>
      </c>
      <c r="T34" s="36">
        <v>0</v>
      </c>
      <c r="U34" s="36">
        <v>0</v>
      </c>
      <c r="V34" s="36">
        <v>0</v>
      </c>
      <c r="W34" s="36">
        <v>0</v>
      </c>
      <c r="X34" s="36">
        <v>0</v>
      </c>
      <c r="Y34" s="36">
        <v>0</v>
      </c>
      <c r="Z34" s="36">
        <v>0</v>
      </c>
      <c r="AA34" s="36">
        <v>0</v>
      </c>
      <c r="AB34" s="36">
        <v>0</v>
      </c>
      <c r="AC34" s="36">
        <v>0</v>
      </c>
      <c r="AD34" s="36">
        <v>0</v>
      </c>
      <c r="AE34" s="36">
        <v>0</v>
      </c>
      <c r="AF34" s="36">
        <v>0</v>
      </c>
      <c r="AG34" s="36">
        <v>0</v>
      </c>
      <c r="AH34" s="36">
        <v>0</v>
      </c>
      <c r="AI34" s="36">
        <v>0</v>
      </c>
      <c r="AJ34" s="36">
        <v>0</v>
      </c>
      <c r="AK34" s="36">
        <v>0</v>
      </c>
      <c r="AL34" s="36">
        <v>0</v>
      </c>
      <c r="AM34" s="36">
        <v>0</v>
      </c>
      <c r="AN34" s="36">
        <v>0</v>
      </c>
      <c r="AO34" s="36">
        <v>0</v>
      </c>
      <c r="AP34" s="36">
        <v>0</v>
      </c>
      <c r="AQ34" s="36">
        <v>0</v>
      </c>
      <c r="AR34" s="36">
        <v>0</v>
      </c>
      <c r="AS34" s="36">
        <v>0</v>
      </c>
      <c r="AT34" s="36">
        <v>0</v>
      </c>
      <c r="AU34" s="36">
        <v>0</v>
      </c>
      <c r="AV34" s="36">
        <v>0</v>
      </c>
      <c r="AW34" s="36">
        <v>0</v>
      </c>
      <c r="AX34" s="36">
        <v>0</v>
      </c>
      <c r="AY34" s="36">
        <v>0</v>
      </c>
      <c r="AZ34" s="36">
        <v>0</v>
      </c>
      <c r="BA34" s="36">
        <v>0</v>
      </c>
      <c r="BB34" s="36">
        <v>0</v>
      </c>
      <c r="BC34" s="36">
        <v>0</v>
      </c>
      <c r="BD34" s="36">
        <v>0</v>
      </c>
      <c r="BE34" s="36">
        <v>0</v>
      </c>
      <c r="BF34" s="36">
        <v>0</v>
      </c>
      <c r="BG34" s="36">
        <v>0</v>
      </c>
      <c r="BH34" s="36">
        <v>0</v>
      </c>
      <c r="BI34" s="36">
        <v>0</v>
      </c>
      <c r="BJ34" s="36">
        <v>0</v>
      </c>
      <c r="BK34" s="40">
        <v>0</v>
      </c>
      <c r="BL34" s="40">
        <v>0</v>
      </c>
      <c r="BM34" s="40">
        <v>0</v>
      </c>
      <c r="BN34" s="40">
        <v>0</v>
      </c>
      <c r="BO34" s="40">
        <v>0</v>
      </c>
      <c r="BP34" s="40">
        <v>0</v>
      </c>
      <c r="BQ34" s="40">
        <v>0</v>
      </c>
      <c r="BR34" s="40">
        <v>0</v>
      </c>
      <c r="BS34" s="40">
        <v>0</v>
      </c>
      <c r="BT34" s="40">
        <v>0</v>
      </c>
      <c r="BU34" s="40">
        <v>0</v>
      </c>
      <c r="BV34" s="40">
        <v>0</v>
      </c>
      <c r="BW34" s="40">
        <v>0</v>
      </c>
      <c r="BX34" s="40">
        <v>0</v>
      </c>
      <c r="BY34" s="40">
        <v>0</v>
      </c>
      <c r="BZ34" s="40">
        <v>0</v>
      </c>
      <c r="CA34" s="40">
        <v>0</v>
      </c>
      <c r="CB34" s="40">
        <v>0</v>
      </c>
      <c r="CC34" s="40">
        <v>0</v>
      </c>
      <c r="CD34" s="40">
        <v>0</v>
      </c>
      <c r="CE34" s="40">
        <v>0</v>
      </c>
      <c r="CF34" s="40">
        <v>0</v>
      </c>
      <c r="CG34" s="40">
        <v>0</v>
      </c>
      <c r="CH34" s="40">
        <v>0</v>
      </c>
      <c r="CI34" s="40">
        <v>0</v>
      </c>
      <c r="CJ34" s="40">
        <v>0</v>
      </c>
      <c r="CK34" s="40">
        <v>0</v>
      </c>
      <c r="CL34" s="40">
        <v>0</v>
      </c>
      <c r="CM34" s="40">
        <v>4644.5657267168472</v>
      </c>
      <c r="CN34" s="40">
        <v>0</v>
      </c>
      <c r="CO34" s="40">
        <v>0</v>
      </c>
      <c r="CP34" s="40">
        <v>0</v>
      </c>
      <c r="CQ34" s="40">
        <v>0</v>
      </c>
      <c r="CR34" s="40">
        <v>989.61898608956403</v>
      </c>
      <c r="CS34" s="40">
        <v>0</v>
      </c>
      <c r="CT34" s="40">
        <v>0</v>
      </c>
      <c r="CU34" s="40">
        <v>0</v>
      </c>
      <c r="CV34" s="40">
        <v>0</v>
      </c>
      <c r="CW34" s="40">
        <v>0</v>
      </c>
      <c r="CX34" s="40">
        <v>0</v>
      </c>
      <c r="CY34" s="40">
        <v>0</v>
      </c>
      <c r="CZ34" s="40">
        <v>0</v>
      </c>
      <c r="DA34" s="40">
        <v>0</v>
      </c>
      <c r="DB34" s="40">
        <v>0</v>
      </c>
      <c r="DC34" s="40">
        <v>0</v>
      </c>
      <c r="DD34" s="40">
        <v>0</v>
      </c>
      <c r="DE34" s="40">
        <v>3322.2282826267242</v>
      </c>
      <c r="DF34" s="40">
        <v>350.50669801109569</v>
      </c>
      <c r="DG34" s="40">
        <v>0</v>
      </c>
      <c r="DH34" s="40">
        <v>2051.911691288341</v>
      </c>
      <c r="DI34" s="40">
        <v>0</v>
      </c>
      <c r="DJ34" s="40">
        <v>0</v>
      </c>
      <c r="DK34" s="40">
        <v>0</v>
      </c>
      <c r="DL34" s="40">
        <v>0</v>
      </c>
      <c r="DM34" s="40">
        <v>0</v>
      </c>
      <c r="DN34" s="40">
        <v>0</v>
      </c>
      <c r="DO34" s="40">
        <v>0</v>
      </c>
      <c r="DP34" s="40">
        <v>0</v>
      </c>
      <c r="DQ34" s="40">
        <v>0</v>
      </c>
      <c r="DR34" s="40">
        <v>0</v>
      </c>
      <c r="DS34" s="40">
        <v>15.242443327890253</v>
      </c>
      <c r="DT34" s="40">
        <v>280.50379141207799</v>
      </c>
      <c r="DU34" s="40">
        <v>17159.25945041528</v>
      </c>
      <c r="DV34" s="40">
        <v>0</v>
      </c>
      <c r="DW34" s="40">
        <v>64.057984174555244</v>
      </c>
      <c r="DX34" s="40">
        <v>144.09281275628308</v>
      </c>
      <c r="DY34" s="40">
        <v>0</v>
      </c>
      <c r="DZ34" s="40">
        <v>0</v>
      </c>
      <c r="EA34" s="40">
        <v>1539.3422059733982</v>
      </c>
      <c r="EB34" s="40">
        <v>0</v>
      </c>
      <c r="EC34" s="40">
        <v>0</v>
      </c>
      <c r="ED34" s="40">
        <v>215541.42452279467</v>
      </c>
      <c r="EE34" s="40">
        <v>32716.172787442709</v>
      </c>
      <c r="EF34" s="40">
        <v>0</v>
      </c>
      <c r="EG34" s="40">
        <v>116.27662043806089</v>
      </c>
      <c r="EH34" s="40">
        <v>0</v>
      </c>
      <c r="EI34" s="40">
        <v>8164.7169762914646</v>
      </c>
      <c r="EJ34" s="40">
        <v>0</v>
      </c>
      <c r="EK34" s="40">
        <v>0</v>
      </c>
      <c r="EL34" s="40">
        <v>0</v>
      </c>
      <c r="EM34" s="40">
        <v>0</v>
      </c>
      <c r="EN34" s="40">
        <v>0</v>
      </c>
      <c r="EO34" s="40">
        <v>0</v>
      </c>
      <c r="EP34" s="40">
        <v>0</v>
      </c>
      <c r="EQ34" s="40">
        <v>0</v>
      </c>
      <c r="ER34" s="40">
        <v>0</v>
      </c>
      <c r="ES34" s="40">
        <v>0</v>
      </c>
      <c r="ET34" s="40">
        <v>0</v>
      </c>
      <c r="EU34" s="40">
        <v>0</v>
      </c>
      <c r="EV34" s="40">
        <v>0</v>
      </c>
      <c r="EW34" s="40">
        <v>0</v>
      </c>
      <c r="EX34" s="40">
        <v>0</v>
      </c>
      <c r="EY34" s="40">
        <v>0</v>
      </c>
      <c r="EZ34" s="40">
        <v>0</v>
      </c>
      <c r="FA34" s="40">
        <v>0</v>
      </c>
      <c r="FB34" s="40">
        <v>0</v>
      </c>
      <c r="FC34" s="40">
        <v>0</v>
      </c>
      <c r="FD34" s="40">
        <v>0</v>
      </c>
      <c r="FE34" s="40">
        <v>0</v>
      </c>
      <c r="FF34" s="40">
        <v>5498.70844722949</v>
      </c>
      <c r="FG34" s="40">
        <v>0</v>
      </c>
      <c r="FH34" s="40">
        <v>0</v>
      </c>
      <c r="FI34" s="40">
        <v>0</v>
      </c>
      <c r="FJ34" s="40">
        <v>0</v>
      </c>
      <c r="FK34" s="40">
        <v>0</v>
      </c>
      <c r="FL34" s="40">
        <v>0</v>
      </c>
      <c r="FM34" s="40">
        <v>0</v>
      </c>
      <c r="FN34" s="40">
        <v>0</v>
      </c>
      <c r="FO34" s="36">
        <v>0</v>
      </c>
      <c r="FP34" s="36">
        <v>0</v>
      </c>
      <c r="FQ34" s="36">
        <v>0</v>
      </c>
      <c r="FR34" s="36">
        <v>0</v>
      </c>
      <c r="FS34" s="36">
        <v>0</v>
      </c>
      <c r="FT34" s="36">
        <v>0</v>
      </c>
      <c r="FU34" s="36">
        <v>0</v>
      </c>
      <c r="FV34" s="36">
        <v>0</v>
      </c>
      <c r="FW34" s="36">
        <v>0</v>
      </c>
      <c r="FX34" s="36">
        <v>0</v>
      </c>
      <c r="FY34" s="36">
        <v>0</v>
      </c>
      <c r="FZ34" s="36">
        <v>0</v>
      </c>
      <c r="GA34" s="36">
        <v>0</v>
      </c>
      <c r="GB34" s="36">
        <v>0</v>
      </c>
      <c r="GC34" s="36">
        <v>0</v>
      </c>
      <c r="GD34" s="36">
        <v>0</v>
      </c>
      <c r="GE34" s="36">
        <v>0</v>
      </c>
      <c r="GF34" s="36">
        <v>0</v>
      </c>
      <c r="GG34" s="36"/>
      <c r="GH34" s="36"/>
      <c r="GI34" s="36"/>
      <c r="GJ34" s="36"/>
      <c r="GK34" s="36"/>
      <c r="GL34" s="36"/>
      <c r="GM34" s="36"/>
      <c r="GN34" s="36"/>
      <c r="GO34" s="36"/>
      <c r="GP34" s="36"/>
      <c r="GQ34" s="36"/>
      <c r="GR34" s="36"/>
      <c r="GS34" s="36"/>
      <c r="GT34" s="36"/>
      <c r="GU34" s="36">
        <v>0</v>
      </c>
      <c r="GV34" s="36">
        <v>0</v>
      </c>
      <c r="GW34" s="36">
        <v>0</v>
      </c>
      <c r="GX34" s="36">
        <v>0</v>
      </c>
      <c r="GY34" s="36">
        <v>0</v>
      </c>
      <c r="GZ34" s="36">
        <v>0</v>
      </c>
      <c r="HA34" s="36">
        <v>0</v>
      </c>
      <c r="HB34" s="36">
        <v>0</v>
      </c>
      <c r="HC34" s="36">
        <f t="shared" si="0"/>
        <v>292598.62942698842</v>
      </c>
      <c r="HD34" s="36">
        <f>SUM(AE$5:AE$213)</f>
        <v>292598.62942698848</v>
      </c>
      <c r="HE34" s="41">
        <v>0</v>
      </c>
    </row>
    <row r="35" spans="1:213" hidden="1" outlineLevel="1" x14ac:dyDescent="0.2">
      <c r="A35" s="9" t="s">
        <v>295</v>
      </c>
      <c r="B35" s="36">
        <v>0</v>
      </c>
      <c r="C35" s="36">
        <v>0</v>
      </c>
      <c r="D35" s="36">
        <v>0</v>
      </c>
      <c r="E35" s="36">
        <v>0</v>
      </c>
      <c r="F35" s="36">
        <v>0</v>
      </c>
      <c r="G35" s="36">
        <v>0</v>
      </c>
      <c r="H35" s="36">
        <v>0</v>
      </c>
      <c r="I35" s="36">
        <v>0</v>
      </c>
      <c r="J35" s="36">
        <v>0</v>
      </c>
      <c r="K35" s="36">
        <v>0</v>
      </c>
      <c r="L35" s="36">
        <v>0</v>
      </c>
      <c r="M35" s="36">
        <v>0</v>
      </c>
      <c r="N35" s="36">
        <v>0</v>
      </c>
      <c r="O35" s="36">
        <v>0</v>
      </c>
      <c r="P35" s="36">
        <v>0</v>
      </c>
      <c r="Q35" s="36">
        <v>0</v>
      </c>
      <c r="R35" s="36">
        <v>0</v>
      </c>
      <c r="S35" s="36">
        <v>0</v>
      </c>
      <c r="T35" s="36">
        <v>0</v>
      </c>
      <c r="U35" s="36">
        <v>0</v>
      </c>
      <c r="V35" s="36">
        <v>0</v>
      </c>
      <c r="W35" s="36">
        <v>0</v>
      </c>
      <c r="X35" s="36">
        <v>0</v>
      </c>
      <c r="Y35" s="36">
        <v>0</v>
      </c>
      <c r="Z35" s="36">
        <v>0</v>
      </c>
      <c r="AA35" s="36">
        <v>0</v>
      </c>
      <c r="AB35" s="36">
        <v>0</v>
      </c>
      <c r="AC35" s="36">
        <v>0</v>
      </c>
      <c r="AD35" s="36">
        <v>0</v>
      </c>
      <c r="AE35" s="36">
        <v>0</v>
      </c>
      <c r="AF35" s="36">
        <v>0</v>
      </c>
      <c r="AG35" s="36">
        <v>0</v>
      </c>
      <c r="AH35" s="36">
        <v>0</v>
      </c>
      <c r="AI35" s="36">
        <v>0</v>
      </c>
      <c r="AJ35" s="36">
        <v>0</v>
      </c>
      <c r="AK35" s="36">
        <v>0</v>
      </c>
      <c r="AL35" s="36">
        <v>0</v>
      </c>
      <c r="AM35" s="36">
        <v>0</v>
      </c>
      <c r="AN35" s="36">
        <v>0</v>
      </c>
      <c r="AO35" s="36">
        <v>0</v>
      </c>
      <c r="AP35" s="36">
        <v>0</v>
      </c>
      <c r="AQ35" s="36">
        <v>0</v>
      </c>
      <c r="AR35" s="36">
        <v>0</v>
      </c>
      <c r="AS35" s="36">
        <v>0</v>
      </c>
      <c r="AT35" s="36">
        <v>0</v>
      </c>
      <c r="AU35" s="36">
        <v>0</v>
      </c>
      <c r="AV35" s="36">
        <v>0</v>
      </c>
      <c r="AW35" s="36">
        <v>0</v>
      </c>
      <c r="AX35" s="36">
        <v>0</v>
      </c>
      <c r="AY35" s="36">
        <v>0</v>
      </c>
      <c r="AZ35" s="36">
        <v>0</v>
      </c>
      <c r="BA35" s="36">
        <v>0</v>
      </c>
      <c r="BB35" s="36">
        <v>0</v>
      </c>
      <c r="BC35" s="36">
        <v>0</v>
      </c>
      <c r="BD35" s="36">
        <v>0</v>
      </c>
      <c r="BE35" s="36">
        <v>0</v>
      </c>
      <c r="BF35" s="36">
        <v>0</v>
      </c>
      <c r="BG35" s="36">
        <v>0</v>
      </c>
      <c r="BH35" s="36">
        <v>0</v>
      </c>
      <c r="BI35" s="36">
        <v>0</v>
      </c>
      <c r="BJ35" s="36">
        <v>0</v>
      </c>
      <c r="BK35" s="40">
        <v>0</v>
      </c>
      <c r="BL35" s="40">
        <v>0</v>
      </c>
      <c r="BM35" s="40">
        <v>0</v>
      </c>
      <c r="BN35" s="40">
        <v>0</v>
      </c>
      <c r="BO35" s="40">
        <v>0</v>
      </c>
      <c r="BP35" s="40">
        <v>0</v>
      </c>
      <c r="BQ35" s="40">
        <v>0</v>
      </c>
      <c r="BR35" s="40">
        <v>0</v>
      </c>
      <c r="BS35" s="40">
        <v>0</v>
      </c>
      <c r="BT35" s="40">
        <v>0</v>
      </c>
      <c r="BU35" s="40">
        <v>0</v>
      </c>
      <c r="BV35" s="40">
        <v>0</v>
      </c>
      <c r="BW35" s="40">
        <v>0</v>
      </c>
      <c r="BX35" s="40">
        <v>0</v>
      </c>
      <c r="BY35" s="40">
        <v>0</v>
      </c>
      <c r="BZ35" s="40">
        <v>0</v>
      </c>
      <c r="CA35" s="40">
        <v>0</v>
      </c>
      <c r="CB35" s="40">
        <v>0</v>
      </c>
      <c r="CC35" s="40">
        <v>0</v>
      </c>
      <c r="CD35" s="40">
        <v>0</v>
      </c>
      <c r="CE35" s="40">
        <v>0</v>
      </c>
      <c r="CF35" s="40">
        <v>0</v>
      </c>
      <c r="CG35" s="40">
        <v>0</v>
      </c>
      <c r="CH35" s="40">
        <v>0</v>
      </c>
      <c r="CI35" s="40">
        <v>0</v>
      </c>
      <c r="CJ35" s="40">
        <v>0</v>
      </c>
      <c r="CK35" s="40">
        <v>0</v>
      </c>
      <c r="CL35" s="40">
        <v>0</v>
      </c>
      <c r="CM35" s="40">
        <v>0</v>
      </c>
      <c r="CN35" s="40">
        <v>0</v>
      </c>
      <c r="CO35" s="40">
        <v>0</v>
      </c>
      <c r="CP35" s="40">
        <v>0</v>
      </c>
      <c r="CQ35" s="40">
        <v>0</v>
      </c>
      <c r="CR35" s="40">
        <v>0</v>
      </c>
      <c r="CS35" s="40">
        <v>0</v>
      </c>
      <c r="CT35" s="40">
        <v>8.9668373295349575</v>
      </c>
      <c r="CU35" s="40">
        <v>0</v>
      </c>
      <c r="CV35" s="40">
        <v>0</v>
      </c>
      <c r="CW35" s="40">
        <v>0</v>
      </c>
      <c r="CX35" s="40">
        <v>0</v>
      </c>
      <c r="CY35" s="40">
        <v>0</v>
      </c>
      <c r="CZ35" s="40">
        <v>0</v>
      </c>
      <c r="DA35" s="40">
        <v>0</v>
      </c>
      <c r="DB35" s="40">
        <v>0</v>
      </c>
      <c r="DC35" s="40">
        <v>0</v>
      </c>
      <c r="DD35" s="40">
        <v>0</v>
      </c>
      <c r="DE35" s="40">
        <v>0</v>
      </c>
      <c r="DF35" s="40">
        <v>0</v>
      </c>
      <c r="DG35" s="40">
        <v>0</v>
      </c>
      <c r="DH35" s="40">
        <v>0</v>
      </c>
      <c r="DI35" s="40">
        <v>0</v>
      </c>
      <c r="DJ35" s="40">
        <v>0</v>
      </c>
      <c r="DK35" s="40">
        <v>0</v>
      </c>
      <c r="DL35" s="40">
        <v>0</v>
      </c>
      <c r="DM35" s="40">
        <v>0</v>
      </c>
      <c r="DN35" s="40">
        <v>0</v>
      </c>
      <c r="DO35" s="40">
        <v>0</v>
      </c>
      <c r="DP35" s="40">
        <v>0</v>
      </c>
      <c r="DQ35" s="40">
        <v>0</v>
      </c>
      <c r="DR35" s="40">
        <v>0</v>
      </c>
      <c r="DS35" s="40">
        <v>0</v>
      </c>
      <c r="DT35" s="40">
        <v>0</v>
      </c>
      <c r="DU35" s="40">
        <v>0</v>
      </c>
      <c r="DV35" s="40">
        <v>0</v>
      </c>
      <c r="DW35" s="40">
        <v>0</v>
      </c>
      <c r="DX35" s="40">
        <v>835.58661531073608</v>
      </c>
      <c r="DY35" s="40">
        <v>0</v>
      </c>
      <c r="DZ35" s="40">
        <v>0</v>
      </c>
      <c r="EA35" s="40">
        <v>24.159725294158804</v>
      </c>
      <c r="EB35" s="40">
        <v>0</v>
      </c>
      <c r="EC35" s="40">
        <v>0</v>
      </c>
      <c r="ED35" s="40">
        <v>0</v>
      </c>
      <c r="EE35" s="40">
        <v>31.176210742779947</v>
      </c>
      <c r="EF35" s="40">
        <v>3782.4539809592684</v>
      </c>
      <c r="EG35" s="40">
        <v>6723.4619912763783</v>
      </c>
      <c r="EH35" s="40">
        <v>5429.0836978025127</v>
      </c>
      <c r="EI35" s="40">
        <v>1100.6133663961336</v>
      </c>
      <c r="EJ35" s="40">
        <v>0</v>
      </c>
      <c r="EK35" s="40">
        <v>0</v>
      </c>
      <c r="EL35" s="40">
        <v>0</v>
      </c>
      <c r="EM35" s="40">
        <v>0</v>
      </c>
      <c r="EN35" s="40">
        <v>0</v>
      </c>
      <c r="EO35" s="40">
        <v>0</v>
      </c>
      <c r="EP35" s="40">
        <v>0</v>
      </c>
      <c r="EQ35" s="40">
        <v>0</v>
      </c>
      <c r="ER35" s="40">
        <v>0</v>
      </c>
      <c r="ES35" s="40">
        <v>0</v>
      </c>
      <c r="ET35" s="40">
        <v>0</v>
      </c>
      <c r="EU35" s="40">
        <v>0</v>
      </c>
      <c r="EV35" s="40">
        <v>0</v>
      </c>
      <c r="EW35" s="40">
        <v>0</v>
      </c>
      <c r="EX35" s="40">
        <v>0</v>
      </c>
      <c r="EY35" s="40">
        <v>0</v>
      </c>
      <c r="EZ35" s="40">
        <v>0</v>
      </c>
      <c r="FA35" s="40">
        <v>0</v>
      </c>
      <c r="FB35" s="40">
        <v>0</v>
      </c>
      <c r="FC35" s="40">
        <v>0</v>
      </c>
      <c r="FD35" s="40">
        <v>0</v>
      </c>
      <c r="FE35" s="40">
        <v>0</v>
      </c>
      <c r="FF35" s="40">
        <v>6079.9212037607249</v>
      </c>
      <c r="FG35" s="40">
        <v>0</v>
      </c>
      <c r="FH35" s="40">
        <v>0</v>
      </c>
      <c r="FI35" s="40">
        <v>0</v>
      </c>
      <c r="FJ35" s="40">
        <v>0</v>
      </c>
      <c r="FK35" s="40">
        <v>0</v>
      </c>
      <c r="FL35" s="40">
        <v>0</v>
      </c>
      <c r="FM35" s="40">
        <v>0</v>
      </c>
      <c r="FN35" s="40">
        <v>0</v>
      </c>
      <c r="FO35" s="36">
        <v>0</v>
      </c>
      <c r="FP35" s="36">
        <v>0</v>
      </c>
      <c r="FQ35" s="36">
        <v>0</v>
      </c>
      <c r="FR35" s="36">
        <v>0</v>
      </c>
      <c r="FS35" s="36">
        <v>0</v>
      </c>
      <c r="FT35" s="36">
        <v>0</v>
      </c>
      <c r="FU35" s="36">
        <v>0</v>
      </c>
      <c r="FV35" s="36">
        <v>0</v>
      </c>
      <c r="FW35" s="36">
        <v>0</v>
      </c>
      <c r="FX35" s="36">
        <v>0</v>
      </c>
      <c r="FY35" s="36">
        <v>0</v>
      </c>
      <c r="FZ35" s="36">
        <v>0</v>
      </c>
      <c r="GA35" s="36">
        <v>0</v>
      </c>
      <c r="GB35" s="36">
        <v>0</v>
      </c>
      <c r="GC35" s="36">
        <v>0</v>
      </c>
      <c r="GD35" s="36">
        <v>0</v>
      </c>
      <c r="GE35" s="36">
        <v>0</v>
      </c>
      <c r="GF35" s="36">
        <v>0</v>
      </c>
      <c r="GG35" s="36"/>
      <c r="GH35" s="36"/>
      <c r="GI35" s="36"/>
      <c r="GJ35" s="36"/>
      <c r="GK35" s="36"/>
      <c r="GL35" s="36"/>
      <c r="GM35" s="36"/>
      <c r="GN35" s="36"/>
      <c r="GO35" s="36"/>
      <c r="GP35" s="36"/>
      <c r="GQ35" s="36"/>
      <c r="GR35" s="36"/>
      <c r="GS35" s="36"/>
      <c r="GT35" s="36"/>
      <c r="GU35" s="36">
        <v>0</v>
      </c>
      <c r="GV35" s="36">
        <v>0</v>
      </c>
      <c r="GW35" s="36">
        <v>0</v>
      </c>
      <c r="GX35" s="36">
        <v>0</v>
      </c>
      <c r="GY35" s="36">
        <v>0</v>
      </c>
      <c r="GZ35" s="36">
        <v>0</v>
      </c>
      <c r="HA35" s="36">
        <v>0</v>
      </c>
      <c r="HB35" s="36">
        <v>0</v>
      </c>
      <c r="HC35" s="36">
        <f t="shared" si="0"/>
        <v>24015.423628872228</v>
      </c>
      <c r="HD35" s="36">
        <f>SUM(AF$5:AF$213)</f>
        <v>24015.423628872224</v>
      </c>
      <c r="HE35" s="41">
        <v>0</v>
      </c>
    </row>
    <row r="36" spans="1:213" hidden="1" outlineLevel="1" x14ac:dyDescent="0.2">
      <c r="A36" s="9" t="s">
        <v>300</v>
      </c>
      <c r="B36" s="36">
        <v>0</v>
      </c>
      <c r="C36" s="36">
        <v>0</v>
      </c>
      <c r="D36" s="36">
        <v>0</v>
      </c>
      <c r="E36" s="36">
        <v>0</v>
      </c>
      <c r="F36" s="36">
        <v>0</v>
      </c>
      <c r="G36" s="36">
        <v>0</v>
      </c>
      <c r="H36" s="36">
        <v>0</v>
      </c>
      <c r="I36" s="36">
        <v>0</v>
      </c>
      <c r="J36" s="36">
        <v>0</v>
      </c>
      <c r="K36" s="36">
        <v>0</v>
      </c>
      <c r="L36" s="36">
        <v>0</v>
      </c>
      <c r="M36" s="36">
        <v>0</v>
      </c>
      <c r="N36" s="36">
        <v>0</v>
      </c>
      <c r="O36" s="36">
        <v>0</v>
      </c>
      <c r="P36" s="36">
        <v>0</v>
      </c>
      <c r="Q36" s="36">
        <v>0</v>
      </c>
      <c r="R36" s="36">
        <v>0</v>
      </c>
      <c r="S36" s="36">
        <v>0</v>
      </c>
      <c r="T36" s="36">
        <v>0</v>
      </c>
      <c r="U36" s="36">
        <v>0</v>
      </c>
      <c r="V36" s="36">
        <v>0</v>
      </c>
      <c r="W36" s="36">
        <v>0</v>
      </c>
      <c r="X36" s="36">
        <v>0</v>
      </c>
      <c r="Y36" s="36">
        <v>0</v>
      </c>
      <c r="Z36" s="36">
        <v>0</v>
      </c>
      <c r="AA36" s="36">
        <v>0</v>
      </c>
      <c r="AB36" s="36">
        <v>0</v>
      </c>
      <c r="AC36" s="36">
        <v>0</v>
      </c>
      <c r="AD36" s="36">
        <v>0</v>
      </c>
      <c r="AE36" s="36">
        <v>0</v>
      </c>
      <c r="AF36" s="36">
        <v>0</v>
      </c>
      <c r="AG36" s="36">
        <v>0</v>
      </c>
      <c r="AH36" s="36">
        <v>0</v>
      </c>
      <c r="AI36" s="36">
        <v>0</v>
      </c>
      <c r="AJ36" s="36">
        <v>0</v>
      </c>
      <c r="AK36" s="36">
        <v>0</v>
      </c>
      <c r="AL36" s="36">
        <v>0</v>
      </c>
      <c r="AM36" s="36">
        <v>0</v>
      </c>
      <c r="AN36" s="36">
        <v>0</v>
      </c>
      <c r="AO36" s="36">
        <v>0</v>
      </c>
      <c r="AP36" s="36">
        <v>0</v>
      </c>
      <c r="AQ36" s="36">
        <v>0</v>
      </c>
      <c r="AR36" s="36">
        <v>0</v>
      </c>
      <c r="AS36" s="36">
        <v>0</v>
      </c>
      <c r="AT36" s="36">
        <v>0</v>
      </c>
      <c r="AU36" s="36">
        <v>0</v>
      </c>
      <c r="AV36" s="36">
        <v>0</v>
      </c>
      <c r="AW36" s="36">
        <v>0</v>
      </c>
      <c r="AX36" s="36">
        <v>0</v>
      </c>
      <c r="AY36" s="36">
        <v>0</v>
      </c>
      <c r="AZ36" s="36">
        <v>0</v>
      </c>
      <c r="BA36" s="36">
        <v>0</v>
      </c>
      <c r="BB36" s="36">
        <v>0</v>
      </c>
      <c r="BC36" s="36">
        <v>0</v>
      </c>
      <c r="BD36" s="36">
        <v>0</v>
      </c>
      <c r="BE36" s="36">
        <v>0</v>
      </c>
      <c r="BF36" s="36">
        <v>0</v>
      </c>
      <c r="BG36" s="36">
        <v>0</v>
      </c>
      <c r="BH36" s="36">
        <v>0</v>
      </c>
      <c r="BI36" s="36">
        <v>0</v>
      </c>
      <c r="BJ36" s="36">
        <v>0</v>
      </c>
      <c r="BK36" s="40">
        <v>0</v>
      </c>
      <c r="BL36" s="40">
        <v>0</v>
      </c>
      <c r="BM36" s="40">
        <v>0</v>
      </c>
      <c r="BN36" s="40">
        <v>0</v>
      </c>
      <c r="BO36" s="40">
        <v>0</v>
      </c>
      <c r="BP36" s="40">
        <v>0</v>
      </c>
      <c r="BQ36" s="40">
        <v>0</v>
      </c>
      <c r="BR36" s="40">
        <v>0</v>
      </c>
      <c r="BS36" s="40">
        <v>0</v>
      </c>
      <c r="BT36" s="40">
        <v>0</v>
      </c>
      <c r="BU36" s="40">
        <v>0</v>
      </c>
      <c r="BV36" s="40">
        <v>0</v>
      </c>
      <c r="BW36" s="40">
        <v>0</v>
      </c>
      <c r="BX36" s="40">
        <v>0</v>
      </c>
      <c r="BY36" s="40">
        <v>0</v>
      </c>
      <c r="BZ36" s="40">
        <v>0</v>
      </c>
      <c r="CA36" s="40">
        <v>0</v>
      </c>
      <c r="CB36" s="40">
        <v>0</v>
      </c>
      <c r="CC36" s="40">
        <v>0</v>
      </c>
      <c r="CD36" s="40">
        <v>0</v>
      </c>
      <c r="CE36" s="40">
        <v>0</v>
      </c>
      <c r="CF36" s="40">
        <v>0</v>
      </c>
      <c r="CG36" s="40">
        <v>0</v>
      </c>
      <c r="CH36" s="40">
        <v>0</v>
      </c>
      <c r="CI36" s="40">
        <v>0</v>
      </c>
      <c r="CJ36" s="40">
        <v>0</v>
      </c>
      <c r="CK36" s="40">
        <v>0</v>
      </c>
      <c r="CL36" s="40">
        <v>0</v>
      </c>
      <c r="CM36" s="40">
        <v>41.781095163293642</v>
      </c>
      <c r="CN36" s="40">
        <v>0</v>
      </c>
      <c r="CO36" s="40">
        <v>0</v>
      </c>
      <c r="CP36" s="40">
        <v>0</v>
      </c>
      <c r="CQ36" s="40">
        <v>0</v>
      </c>
      <c r="CR36" s="40">
        <v>0</v>
      </c>
      <c r="CS36" s="40">
        <v>0</v>
      </c>
      <c r="CT36" s="40">
        <v>708.79616827372024</v>
      </c>
      <c r="CU36" s="40">
        <v>0</v>
      </c>
      <c r="CV36" s="40">
        <v>0</v>
      </c>
      <c r="CW36" s="40">
        <v>0</v>
      </c>
      <c r="CX36" s="40">
        <v>0</v>
      </c>
      <c r="CY36" s="40">
        <v>0</v>
      </c>
      <c r="CZ36" s="40">
        <v>0</v>
      </c>
      <c r="DA36" s="40">
        <v>0</v>
      </c>
      <c r="DB36" s="40">
        <v>0</v>
      </c>
      <c r="DC36" s="40">
        <v>0</v>
      </c>
      <c r="DD36" s="40">
        <v>0</v>
      </c>
      <c r="DE36" s="40">
        <v>0</v>
      </c>
      <c r="DF36" s="40">
        <v>0</v>
      </c>
      <c r="DG36" s="40">
        <v>0</v>
      </c>
      <c r="DH36" s="40">
        <v>0</v>
      </c>
      <c r="DI36" s="40">
        <v>0</v>
      </c>
      <c r="DJ36" s="40">
        <v>0</v>
      </c>
      <c r="DK36" s="40">
        <v>0</v>
      </c>
      <c r="DL36" s="40">
        <v>14755.589734318155</v>
      </c>
      <c r="DM36" s="40">
        <v>0</v>
      </c>
      <c r="DN36" s="40">
        <v>0</v>
      </c>
      <c r="DO36" s="40">
        <v>0</v>
      </c>
      <c r="DP36" s="40">
        <v>0</v>
      </c>
      <c r="DQ36" s="40">
        <v>0</v>
      </c>
      <c r="DR36" s="40">
        <v>0</v>
      </c>
      <c r="DS36" s="40">
        <v>754.28338719269334</v>
      </c>
      <c r="DT36" s="40">
        <v>0</v>
      </c>
      <c r="DU36" s="40">
        <v>0</v>
      </c>
      <c r="DV36" s="40">
        <v>0</v>
      </c>
      <c r="DW36" s="40">
        <v>0</v>
      </c>
      <c r="DX36" s="40">
        <v>0</v>
      </c>
      <c r="DY36" s="40">
        <v>0</v>
      </c>
      <c r="DZ36" s="40">
        <v>0</v>
      </c>
      <c r="EA36" s="40">
        <v>0</v>
      </c>
      <c r="EB36" s="40">
        <v>0</v>
      </c>
      <c r="EC36" s="40">
        <v>5.2948518068275217</v>
      </c>
      <c r="ED36" s="40">
        <v>0</v>
      </c>
      <c r="EE36" s="40">
        <v>0</v>
      </c>
      <c r="EF36" s="40">
        <v>0</v>
      </c>
      <c r="EG36" s="40">
        <v>0</v>
      </c>
      <c r="EH36" s="40">
        <v>0</v>
      </c>
      <c r="EI36" s="40">
        <v>0</v>
      </c>
      <c r="EJ36" s="40">
        <v>0</v>
      </c>
      <c r="EK36" s="40">
        <v>0</v>
      </c>
      <c r="EL36" s="40">
        <v>0</v>
      </c>
      <c r="EM36" s="40">
        <v>0</v>
      </c>
      <c r="EN36" s="40">
        <v>0</v>
      </c>
      <c r="EO36" s="40">
        <v>0</v>
      </c>
      <c r="EP36" s="40">
        <v>0</v>
      </c>
      <c r="EQ36" s="40">
        <v>0</v>
      </c>
      <c r="ER36" s="40">
        <v>0</v>
      </c>
      <c r="ES36" s="40">
        <v>0</v>
      </c>
      <c r="ET36" s="40">
        <v>0</v>
      </c>
      <c r="EU36" s="40">
        <v>0</v>
      </c>
      <c r="EV36" s="40">
        <v>0</v>
      </c>
      <c r="EW36" s="40">
        <v>0</v>
      </c>
      <c r="EX36" s="40">
        <v>0</v>
      </c>
      <c r="EY36" s="40">
        <v>0</v>
      </c>
      <c r="EZ36" s="40">
        <v>0</v>
      </c>
      <c r="FA36" s="40">
        <v>0</v>
      </c>
      <c r="FB36" s="40">
        <v>0</v>
      </c>
      <c r="FC36" s="40">
        <v>0</v>
      </c>
      <c r="FD36" s="40">
        <v>0</v>
      </c>
      <c r="FE36" s="40">
        <v>0</v>
      </c>
      <c r="FF36" s="40">
        <v>1246.0123933354066</v>
      </c>
      <c r="FG36" s="40">
        <v>0</v>
      </c>
      <c r="FH36" s="40">
        <v>0</v>
      </c>
      <c r="FI36" s="40">
        <v>0</v>
      </c>
      <c r="FJ36" s="40">
        <v>0</v>
      </c>
      <c r="FK36" s="40">
        <v>0</v>
      </c>
      <c r="FL36" s="40">
        <v>0</v>
      </c>
      <c r="FM36" s="40">
        <v>0</v>
      </c>
      <c r="FN36" s="40">
        <v>0</v>
      </c>
      <c r="FO36" s="36">
        <v>0</v>
      </c>
      <c r="FP36" s="36">
        <v>0</v>
      </c>
      <c r="FQ36" s="36">
        <v>0</v>
      </c>
      <c r="FR36" s="36">
        <v>0</v>
      </c>
      <c r="FS36" s="36">
        <v>0</v>
      </c>
      <c r="FT36" s="36">
        <v>0</v>
      </c>
      <c r="FU36" s="36">
        <v>0</v>
      </c>
      <c r="FV36" s="36">
        <v>0</v>
      </c>
      <c r="FW36" s="36">
        <v>0</v>
      </c>
      <c r="FX36" s="36">
        <v>0</v>
      </c>
      <c r="FY36" s="36">
        <v>0</v>
      </c>
      <c r="FZ36" s="36">
        <v>0</v>
      </c>
      <c r="GA36" s="36">
        <v>0</v>
      </c>
      <c r="GB36" s="36">
        <v>0</v>
      </c>
      <c r="GC36" s="36">
        <v>0</v>
      </c>
      <c r="GD36" s="36">
        <v>0</v>
      </c>
      <c r="GE36" s="36">
        <v>0</v>
      </c>
      <c r="GF36" s="36">
        <v>0</v>
      </c>
      <c r="GG36" s="36"/>
      <c r="GH36" s="36"/>
      <c r="GI36" s="36"/>
      <c r="GJ36" s="36"/>
      <c r="GK36" s="36"/>
      <c r="GL36" s="36"/>
      <c r="GM36" s="36"/>
      <c r="GN36" s="36"/>
      <c r="GO36" s="36"/>
      <c r="GP36" s="36"/>
      <c r="GQ36" s="36"/>
      <c r="GR36" s="36"/>
      <c r="GS36" s="36"/>
      <c r="GT36" s="36"/>
      <c r="GU36" s="36">
        <v>0</v>
      </c>
      <c r="GV36" s="36">
        <v>0</v>
      </c>
      <c r="GW36" s="36">
        <v>0</v>
      </c>
      <c r="GX36" s="36">
        <v>0</v>
      </c>
      <c r="GY36" s="36">
        <v>0</v>
      </c>
      <c r="GZ36" s="36">
        <v>0</v>
      </c>
      <c r="HA36" s="36">
        <v>0</v>
      </c>
      <c r="HB36" s="36">
        <v>0</v>
      </c>
      <c r="HC36" s="36">
        <f t="shared" si="0"/>
        <v>17511.757630090098</v>
      </c>
      <c r="HD36" s="36">
        <f>SUM(AG$5:AG$213)</f>
        <v>17511.757630090098</v>
      </c>
      <c r="HE36" s="41">
        <v>0</v>
      </c>
    </row>
    <row r="37" spans="1:213" hidden="1" outlineLevel="1" x14ac:dyDescent="0.2">
      <c r="A37" s="9" t="s">
        <v>305</v>
      </c>
      <c r="B37" s="36">
        <v>0</v>
      </c>
      <c r="C37" s="36">
        <v>0</v>
      </c>
      <c r="D37" s="36">
        <v>0</v>
      </c>
      <c r="E37" s="36">
        <v>0</v>
      </c>
      <c r="F37" s="36">
        <v>0</v>
      </c>
      <c r="G37" s="36">
        <v>0</v>
      </c>
      <c r="H37" s="36">
        <v>0</v>
      </c>
      <c r="I37" s="36">
        <v>0</v>
      </c>
      <c r="J37" s="36">
        <v>0</v>
      </c>
      <c r="K37" s="36">
        <v>0</v>
      </c>
      <c r="L37" s="36">
        <v>0</v>
      </c>
      <c r="M37" s="36">
        <v>0</v>
      </c>
      <c r="N37" s="36">
        <v>0</v>
      </c>
      <c r="O37" s="36">
        <v>0</v>
      </c>
      <c r="P37" s="36">
        <v>0</v>
      </c>
      <c r="Q37" s="36">
        <v>0</v>
      </c>
      <c r="R37" s="36">
        <v>0</v>
      </c>
      <c r="S37" s="36">
        <v>0</v>
      </c>
      <c r="T37" s="36">
        <v>0</v>
      </c>
      <c r="U37" s="36">
        <v>0</v>
      </c>
      <c r="V37" s="36">
        <v>0</v>
      </c>
      <c r="W37" s="36">
        <v>0</v>
      </c>
      <c r="X37" s="36">
        <v>0</v>
      </c>
      <c r="Y37" s="36">
        <v>0</v>
      </c>
      <c r="Z37" s="36">
        <v>0</v>
      </c>
      <c r="AA37" s="36">
        <v>0</v>
      </c>
      <c r="AB37" s="36">
        <v>0</v>
      </c>
      <c r="AC37" s="36">
        <v>0</v>
      </c>
      <c r="AD37" s="36">
        <v>0</v>
      </c>
      <c r="AE37" s="36">
        <v>0</v>
      </c>
      <c r="AF37" s="36">
        <v>0</v>
      </c>
      <c r="AG37" s="36">
        <v>0</v>
      </c>
      <c r="AH37" s="36">
        <v>0</v>
      </c>
      <c r="AI37" s="36">
        <v>0</v>
      </c>
      <c r="AJ37" s="36">
        <v>0</v>
      </c>
      <c r="AK37" s="36">
        <v>0</v>
      </c>
      <c r="AL37" s="36">
        <v>0</v>
      </c>
      <c r="AM37" s="36">
        <v>0</v>
      </c>
      <c r="AN37" s="36">
        <v>0</v>
      </c>
      <c r="AO37" s="36">
        <v>0</v>
      </c>
      <c r="AP37" s="36">
        <v>0</v>
      </c>
      <c r="AQ37" s="36">
        <v>0</v>
      </c>
      <c r="AR37" s="36">
        <v>0</v>
      </c>
      <c r="AS37" s="36">
        <v>0</v>
      </c>
      <c r="AT37" s="36">
        <v>0</v>
      </c>
      <c r="AU37" s="36">
        <v>0</v>
      </c>
      <c r="AV37" s="36">
        <v>0</v>
      </c>
      <c r="AW37" s="36">
        <v>0</v>
      </c>
      <c r="AX37" s="36">
        <v>0</v>
      </c>
      <c r="AY37" s="36">
        <v>0</v>
      </c>
      <c r="AZ37" s="36">
        <v>0</v>
      </c>
      <c r="BA37" s="36">
        <v>0</v>
      </c>
      <c r="BB37" s="36">
        <v>0</v>
      </c>
      <c r="BC37" s="36">
        <v>0</v>
      </c>
      <c r="BD37" s="36">
        <v>0</v>
      </c>
      <c r="BE37" s="36">
        <v>0</v>
      </c>
      <c r="BF37" s="36">
        <v>0</v>
      </c>
      <c r="BG37" s="36">
        <v>0</v>
      </c>
      <c r="BH37" s="36">
        <v>0</v>
      </c>
      <c r="BI37" s="36">
        <v>0</v>
      </c>
      <c r="BJ37" s="36">
        <v>0</v>
      </c>
      <c r="BK37" s="40">
        <v>0</v>
      </c>
      <c r="BL37" s="40">
        <v>0</v>
      </c>
      <c r="BM37" s="40">
        <v>0</v>
      </c>
      <c r="BN37" s="40">
        <v>0</v>
      </c>
      <c r="BO37" s="40">
        <v>0</v>
      </c>
      <c r="BP37" s="40">
        <v>0</v>
      </c>
      <c r="BQ37" s="40">
        <v>0</v>
      </c>
      <c r="BR37" s="40">
        <v>0</v>
      </c>
      <c r="BS37" s="40">
        <v>0</v>
      </c>
      <c r="BT37" s="40">
        <v>0</v>
      </c>
      <c r="BU37" s="40">
        <v>0</v>
      </c>
      <c r="BV37" s="40">
        <v>0</v>
      </c>
      <c r="BW37" s="40">
        <v>2.9426840451690599</v>
      </c>
      <c r="BX37" s="40">
        <v>0</v>
      </c>
      <c r="BY37" s="40">
        <v>0</v>
      </c>
      <c r="BZ37" s="40">
        <v>0</v>
      </c>
      <c r="CA37" s="40">
        <v>0</v>
      </c>
      <c r="CB37" s="40">
        <v>0</v>
      </c>
      <c r="CC37" s="40">
        <v>0</v>
      </c>
      <c r="CD37" s="40">
        <v>0</v>
      </c>
      <c r="CE37" s="40">
        <v>0</v>
      </c>
      <c r="CF37" s="40">
        <v>0</v>
      </c>
      <c r="CG37" s="40">
        <v>0</v>
      </c>
      <c r="CH37" s="40">
        <v>0</v>
      </c>
      <c r="CI37" s="40">
        <v>0</v>
      </c>
      <c r="CJ37" s="40">
        <v>0</v>
      </c>
      <c r="CK37" s="40">
        <v>0</v>
      </c>
      <c r="CL37" s="40">
        <v>0</v>
      </c>
      <c r="CM37" s="40">
        <v>97.291207100829951</v>
      </c>
      <c r="CN37" s="40">
        <v>0</v>
      </c>
      <c r="CO37" s="40">
        <v>0</v>
      </c>
      <c r="CP37" s="40">
        <v>0</v>
      </c>
      <c r="CQ37" s="40">
        <v>0</v>
      </c>
      <c r="CR37" s="40">
        <v>0</v>
      </c>
      <c r="CS37" s="40">
        <v>0</v>
      </c>
      <c r="CT37" s="40">
        <v>0</v>
      </c>
      <c r="CU37" s="40">
        <v>0</v>
      </c>
      <c r="CV37" s="40">
        <v>5.0794972851056306</v>
      </c>
      <c r="CW37" s="40">
        <v>0</v>
      </c>
      <c r="CX37" s="40">
        <v>0</v>
      </c>
      <c r="CY37" s="40">
        <v>0</v>
      </c>
      <c r="CZ37" s="40">
        <v>0</v>
      </c>
      <c r="DA37" s="40">
        <v>0</v>
      </c>
      <c r="DB37" s="40">
        <v>0</v>
      </c>
      <c r="DC37" s="40">
        <v>0</v>
      </c>
      <c r="DD37" s="40">
        <v>0</v>
      </c>
      <c r="DE37" s="40">
        <v>2319.7550538186874</v>
      </c>
      <c r="DF37" s="40">
        <v>0</v>
      </c>
      <c r="DG37" s="40">
        <v>0</v>
      </c>
      <c r="DH37" s="40">
        <v>0</v>
      </c>
      <c r="DI37" s="40">
        <v>0</v>
      </c>
      <c r="DJ37" s="40">
        <v>0</v>
      </c>
      <c r="DK37" s="40">
        <v>0</v>
      </c>
      <c r="DL37" s="40">
        <v>0</v>
      </c>
      <c r="DM37" s="40">
        <v>18901.731697609815</v>
      </c>
      <c r="DN37" s="40">
        <v>8276.9438019741792</v>
      </c>
      <c r="DO37" s="40">
        <v>22283.50992208191</v>
      </c>
      <c r="DP37" s="40">
        <v>0</v>
      </c>
      <c r="DQ37" s="40">
        <v>0</v>
      </c>
      <c r="DR37" s="40">
        <v>45.559522066329926</v>
      </c>
      <c r="DS37" s="40">
        <v>0</v>
      </c>
      <c r="DT37" s="40">
        <v>1037.7470026474007</v>
      </c>
      <c r="DU37" s="40">
        <v>0</v>
      </c>
      <c r="DV37" s="40">
        <v>0</v>
      </c>
      <c r="DW37" s="40">
        <v>80.748386052204566</v>
      </c>
      <c r="DX37" s="40">
        <v>259.73238881844401</v>
      </c>
      <c r="DY37" s="40">
        <v>0</v>
      </c>
      <c r="DZ37" s="40">
        <v>0</v>
      </c>
      <c r="EA37" s="40">
        <v>244.18113690557223</v>
      </c>
      <c r="EB37" s="40">
        <v>0</v>
      </c>
      <c r="EC37" s="40">
        <v>237.70905834230285</v>
      </c>
      <c r="ED37" s="40">
        <v>0</v>
      </c>
      <c r="EE37" s="40">
        <v>32.470652017501699</v>
      </c>
      <c r="EF37" s="40">
        <v>0</v>
      </c>
      <c r="EG37" s="40">
        <v>0</v>
      </c>
      <c r="EH37" s="40">
        <v>0</v>
      </c>
      <c r="EI37" s="40">
        <v>0</v>
      </c>
      <c r="EJ37" s="40">
        <v>0</v>
      </c>
      <c r="EK37" s="40">
        <v>0</v>
      </c>
      <c r="EL37" s="40">
        <v>0</v>
      </c>
      <c r="EM37" s="40">
        <v>0</v>
      </c>
      <c r="EN37" s="40">
        <v>0</v>
      </c>
      <c r="EO37" s="40">
        <v>0</v>
      </c>
      <c r="EP37" s="40">
        <v>0</v>
      </c>
      <c r="EQ37" s="40">
        <v>0</v>
      </c>
      <c r="ER37" s="40">
        <v>0</v>
      </c>
      <c r="ES37" s="40">
        <v>0</v>
      </c>
      <c r="ET37" s="40">
        <v>0</v>
      </c>
      <c r="EU37" s="40">
        <v>0</v>
      </c>
      <c r="EV37" s="40">
        <v>0</v>
      </c>
      <c r="EW37" s="40">
        <v>0</v>
      </c>
      <c r="EX37" s="40">
        <v>0</v>
      </c>
      <c r="EY37" s="40">
        <v>0</v>
      </c>
      <c r="EZ37" s="40">
        <v>0</v>
      </c>
      <c r="FA37" s="40">
        <v>0</v>
      </c>
      <c r="FB37" s="40">
        <v>0</v>
      </c>
      <c r="FC37" s="40">
        <v>0</v>
      </c>
      <c r="FD37" s="40">
        <v>0</v>
      </c>
      <c r="FE37" s="40">
        <v>0</v>
      </c>
      <c r="FF37" s="40">
        <v>1184.1651331687235</v>
      </c>
      <c r="FG37" s="40">
        <v>0</v>
      </c>
      <c r="FH37" s="40">
        <v>0</v>
      </c>
      <c r="FI37" s="40">
        <v>0</v>
      </c>
      <c r="FJ37" s="40">
        <v>0</v>
      </c>
      <c r="FK37" s="40">
        <v>0</v>
      </c>
      <c r="FL37" s="40">
        <v>0</v>
      </c>
      <c r="FM37" s="40">
        <v>0</v>
      </c>
      <c r="FN37" s="40">
        <v>0</v>
      </c>
      <c r="FO37" s="36">
        <v>0</v>
      </c>
      <c r="FP37" s="36">
        <v>0</v>
      </c>
      <c r="FQ37" s="36">
        <v>0</v>
      </c>
      <c r="FR37" s="36">
        <v>0</v>
      </c>
      <c r="FS37" s="36">
        <v>0</v>
      </c>
      <c r="FT37" s="36">
        <v>0</v>
      </c>
      <c r="FU37" s="36">
        <v>0</v>
      </c>
      <c r="FV37" s="36">
        <v>0</v>
      </c>
      <c r="FW37" s="36">
        <v>0</v>
      </c>
      <c r="FX37" s="36">
        <v>0</v>
      </c>
      <c r="FY37" s="36">
        <v>0</v>
      </c>
      <c r="FZ37" s="36">
        <v>0</v>
      </c>
      <c r="GA37" s="36">
        <v>0</v>
      </c>
      <c r="GB37" s="36">
        <v>0</v>
      </c>
      <c r="GC37" s="36">
        <v>0</v>
      </c>
      <c r="GD37" s="36">
        <v>0</v>
      </c>
      <c r="GE37" s="36">
        <v>0</v>
      </c>
      <c r="GF37" s="36">
        <v>0</v>
      </c>
      <c r="GG37" s="36"/>
      <c r="GH37" s="36"/>
      <c r="GI37" s="36"/>
      <c r="GJ37" s="36"/>
      <c r="GK37" s="36"/>
      <c r="GL37" s="36"/>
      <c r="GM37" s="36"/>
      <c r="GN37" s="36"/>
      <c r="GO37" s="36"/>
      <c r="GP37" s="36"/>
      <c r="GQ37" s="36"/>
      <c r="GR37" s="36"/>
      <c r="GS37" s="36"/>
      <c r="GT37" s="36"/>
      <c r="GU37" s="36">
        <v>0</v>
      </c>
      <c r="GV37" s="36">
        <v>0</v>
      </c>
      <c r="GW37" s="36">
        <v>0</v>
      </c>
      <c r="GX37" s="36">
        <v>0</v>
      </c>
      <c r="GY37" s="36">
        <v>0</v>
      </c>
      <c r="GZ37" s="36">
        <v>0</v>
      </c>
      <c r="HA37" s="36">
        <v>0</v>
      </c>
      <c r="HB37" s="36">
        <v>0</v>
      </c>
      <c r="HC37" s="36">
        <f t="shared" si="0"/>
        <v>55009.56714393419</v>
      </c>
      <c r="HD37" s="36">
        <f>SUM(AH$5:AH$213)</f>
        <v>55009.567143934153</v>
      </c>
      <c r="HE37" s="41">
        <v>0</v>
      </c>
    </row>
    <row r="38" spans="1:213" hidden="1" outlineLevel="1" x14ac:dyDescent="0.2">
      <c r="A38" s="9" t="s">
        <v>309</v>
      </c>
      <c r="B38" s="36">
        <v>0</v>
      </c>
      <c r="C38" s="36">
        <v>0</v>
      </c>
      <c r="D38" s="36">
        <v>0</v>
      </c>
      <c r="E38" s="36">
        <v>0</v>
      </c>
      <c r="F38" s="36">
        <v>0</v>
      </c>
      <c r="G38" s="36">
        <v>0</v>
      </c>
      <c r="H38" s="36">
        <v>0</v>
      </c>
      <c r="I38" s="36">
        <v>0</v>
      </c>
      <c r="J38" s="36">
        <v>0</v>
      </c>
      <c r="K38" s="36">
        <v>0</v>
      </c>
      <c r="L38" s="36">
        <v>0</v>
      </c>
      <c r="M38" s="36">
        <v>0</v>
      </c>
      <c r="N38" s="36">
        <v>0</v>
      </c>
      <c r="O38" s="36">
        <v>0</v>
      </c>
      <c r="P38" s="36">
        <v>0</v>
      </c>
      <c r="Q38" s="36">
        <v>0</v>
      </c>
      <c r="R38" s="36">
        <v>0</v>
      </c>
      <c r="S38" s="36">
        <v>0</v>
      </c>
      <c r="T38" s="36">
        <v>0</v>
      </c>
      <c r="U38" s="36">
        <v>0</v>
      </c>
      <c r="V38" s="36">
        <v>0</v>
      </c>
      <c r="W38" s="36">
        <v>0</v>
      </c>
      <c r="X38" s="36">
        <v>0</v>
      </c>
      <c r="Y38" s="36">
        <v>0</v>
      </c>
      <c r="Z38" s="36">
        <v>0</v>
      </c>
      <c r="AA38" s="36">
        <v>0</v>
      </c>
      <c r="AB38" s="36">
        <v>0</v>
      </c>
      <c r="AC38" s="36">
        <v>0</v>
      </c>
      <c r="AD38" s="36">
        <v>0</v>
      </c>
      <c r="AE38" s="36">
        <v>0</v>
      </c>
      <c r="AF38" s="36">
        <v>0</v>
      </c>
      <c r="AG38" s="36">
        <v>0</v>
      </c>
      <c r="AH38" s="36">
        <v>0</v>
      </c>
      <c r="AI38" s="36">
        <v>0</v>
      </c>
      <c r="AJ38" s="36">
        <v>0</v>
      </c>
      <c r="AK38" s="36">
        <v>0</v>
      </c>
      <c r="AL38" s="36">
        <v>0</v>
      </c>
      <c r="AM38" s="36">
        <v>0</v>
      </c>
      <c r="AN38" s="36">
        <v>0</v>
      </c>
      <c r="AO38" s="36">
        <v>0</v>
      </c>
      <c r="AP38" s="36">
        <v>0</v>
      </c>
      <c r="AQ38" s="36">
        <v>0</v>
      </c>
      <c r="AR38" s="36">
        <v>0</v>
      </c>
      <c r="AS38" s="36">
        <v>0</v>
      </c>
      <c r="AT38" s="36">
        <v>0</v>
      </c>
      <c r="AU38" s="36">
        <v>0</v>
      </c>
      <c r="AV38" s="36">
        <v>0</v>
      </c>
      <c r="AW38" s="36">
        <v>0</v>
      </c>
      <c r="AX38" s="36">
        <v>0</v>
      </c>
      <c r="AY38" s="36">
        <v>0</v>
      </c>
      <c r="AZ38" s="36">
        <v>0</v>
      </c>
      <c r="BA38" s="36">
        <v>0</v>
      </c>
      <c r="BB38" s="36">
        <v>0</v>
      </c>
      <c r="BC38" s="36">
        <v>0</v>
      </c>
      <c r="BD38" s="36">
        <v>0</v>
      </c>
      <c r="BE38" s="36">
        <v>0</v>
      </c>
      <c r="BF38" s="36">
        <v>0</v>
      </c>
      <c r="BG38" s="36">
        <v>0</v>
      </c>
      <c r="BH38" s="36">
        <v>0</v>
      </c>
      <c r="BI38" s="36">
        <v>0</v>
      </c>
      <c r="BJ38" s="36">
        <v>0</v>
      </c>
      <c r="BK38" s="40">
        <v>0</v>
      </c>
      <c r="BL38" s="40">
        <v>0</v>
      </c>
      <c r="BM38" s="40">
        <v>0</v>
      </c>
      <c r="BN38" s="40">
        <v>0</v>
      </c>
      <c r="BO38" s="40">
        <v>0</v>
      </c>
      <c r="BP38" s="40">
        <v>0</v>
      </c>
      <c r="BQ38" s="40">
        <v>0</v>
      </c>
      <c r="BR38" s="40">
        <v>0</v>
      </c>
      <c r="BS38" s="40">
        <v>0</v>
      </c>
      <c r="BT38" s="40">
        <v>0</v>
      </c>
      <c r="BU38" s="40">
        <v>246453.17637714153</v>
      </c>
      <c r="BV38" s="40">
        <v>0</v>
      </c>
      <c r="BW38" s="40">
        <v>0</v>
      </c>
      <c r="BX38" s="40">
        <v>0</v>
      </c>
      <c r="BY38" s="40">
        <v>0</v>
      </c>
      <c r="BZ38" s="40">
        <v>0</v>
      </c>
      <c r="CA38" s="40">
        <v>0</v>
      </c>
      <c r="CB38" s="40">
        <v>0</v>
      </c>
      <c r="CC38" s="40">
        <v>0</v>
      </c>
      <c r="CD38" s="40">
        <v>0</v>
      </c>
      <c r="CE38" s="40">
        <v>0</v>
      </c>
      <c r="CF38" s="40">
        <v>0</v>
      </c>
      <c r="CG38" s="40">
        <v>0</v>
      </c>
      <c r="CH38" s="40">
        <v>0</v>
      </c>
      <c r="CI38" s="40">
        <v>0</v>
      </c>
      <c r="CJ38" s="40">
        <v>0</v>
      </c>
      <c r="CK38" s="40">
        <v>0</v>
      </c>
      <c r="CL38" s="40">
        <v>0</v>
      </c>
      <c r="CM38" s="40">
        <v>0</v>
      </c>
      <c r="CN38" s="40">
        <v>0</v>
      </c>
      <c r="CO38" s="40">
        <v>0</v>
      </c>
      <c r="CP38" s="40">
        <v>0</v>
      </c>
      <c r="CQ38" s="40">
        <v>0</v>
      </c>
      <c r="CR38" s="40">
        <v>0</v>
      </c>
      <c r="CS38" s="40">
        <v>0</v>
      </c>
      <c r="CT38" s="40">
        <v>0</v>
      </c>
      <c r="CU38" s="40">
        <v>0</v>
      </c>
      <c r="CV38" s="40">
        <v>0</v>
      </c>
      <c r="CW38" s="40">
        <v>0</v>
      </c>
      <c r="CX38" s="40">
        <v>0</v>
      </c>
      <c r="CY38" s="40">
        <v>0</v>
      </c>
      <c r="CZ38" s="40">
        <v>0</v>
      </c>
      <c r="DA38" s="40">
        <v>0</v>
      </c>
      <c r="DB38" s="40">
        <v>0</v>
      </c>
      <c r="DC38" s="40">
        <v>0</v>
      </c>
      <c r="DD38" s="40">
        <v>0</v>
      </c>
      <c r="DE38" s="40">
        <v>0</v>
      </c>
      <c r="DF38" s="40">
        <v>0</v>
      </c>
      <c r="DG38" s="40">
        <v>0</v>
      </c>
      <c r="DH38" s="40">
        <v>0</v>
      </c>
      <c r="DI38" s="40">
        <v>0</v>
      </c>
      <c r="DJ38" s="40">
        <v>0</v>
      </c>
      <c r="DK38" s="40">
        <v>0</v>
      </c>
      <c r="DL38" s="40">
        <v>0</v>
      </c>
      <c r="DM38" s="40">
        <v>0</v>
      </c>
      <c r="DN38" s="40">
        <v>0</v>
      </c>
      <c r="DO38" s="40">
        <v>0</v>
      </c>
      <c r="DP38" s="40">
        <v>0</v>
      </c>
      <c r="DQ38" s="40">
        <v>0</v>
      </c>
      <c r="DR38" s="40">
        <v>0</v>
      </c>
      <c r="DS38" s="40">
        <v>0</v>
      </c>
      <c r="DT38" s="40">
        <v>0</v>
      </c>
      <c r="DU38" s="40">
        <v>0</v>
      </c>
      <c r="DV38" s="40">
        <v>0</v>
      </c>
      <c r="DW38" s="40">
        <v>0</v>
      </c>
      <c r="DX38" s="40">
        <v>0</v>
      </c>
      <c r="DY38" s="40">
        <v>0</v>
      </c>
      <c r="DZ38" s="40">
        <v>0</v>
      </c>
      <c r="EA38" s="40">
        <v>0</v>
      </c>
      <c r="EB38" s="40">
        <v>0</v>
      </c>
      <c r="EC38" s="40">
        <v>0</v>
      </c>
      <c r="ED38" s="40">
        <v>0</v>
      </c>
      <c r="EE38" s="40">
        <v>0</v>
      </c>
      <c r="EF38" s="40">
        <v>0</v>
      </c>
      <c r="EG38" s="40">
        <v>0</v>
      </c>
      <c r="EH38" s="40">
        <v>0</v>
      </c>
      <c r="EI38" s="40">
        <v>0</v>
      </c>
      <c r="EJ38" s="40">
        <v>0</v>
      </c>
      <c r="EK38" s="40">
        <v>0</v>
      </c>
      <c r="EL38" s="40">
        <v>0</v>
      </c>
      <c r="EM38" s="40">
        <v>0</v>
      </c>
      <c r="EN38" s="40">
        <v>0</v>
      </c>
      <c r="EO38" s="40">
        <v>0</v>
      </c>
      <c r="EP38" s="40">
        <v>0</v>
      </c>
      <c r="EQ38" s="40">
        <v>0</v>
      </c>
      <c r="ER38" s="40">
        <v>0</v>
      </c>
      <c r="ES38" s="40">
        <v>28332.010975322366</v>
      </c>
      <c r="ET38" s="40">
        <v>0</v>
      </c>
      <c r="EU38" s="40">
        <v>0</v>
      </c>
      <c r="EV38" s="40">
        <v>0</v>
      </c>
      <c r="EW38" s="40">
        <v>0</v>
      </c>
      <c r="EX38" s="40">
        <v>0</v>
      </c>
      <c r="EY38" s="40">
        <v>0</v>
      </c>
      <c r="EZ38" s="40">
        <v>0</v>
      </c>
      <c r="FA38" s="40">
        <v>0</v>
      </c>
      <c r="FB38" s="40">
        <v>0</v>
      </c>
      <c r="FC38" s="40">
        <v>0</v>
      </c>
      <c r="FD38" s="40">
        <v>0</v>
      </c>
      <c r="FE38" s="40">
        <v>0</v>
      </c>
      <c r="FF38" s="40">
        <v>0</v>
      </c>
      <c r="FG38" s="40">
        <v>0</v>
      </c>
      <c r="FH38" s="40">
        <v>0</v>
      </c>
      <c r="FI38" s="40">
        <v>0</v>
      </c>
      <c r="FJ38" s="40">
        <v>0</v>
      </c>
      <c r="FK38" s="40">
        <v>0</v>
      </c>
      <c r="FL38" s="40">
        <v>0</v>
      </c>
      <c r="FM38" s="40">
        <v>0</v>
      </c>
      <c r="FN38" s="40">
        <v>0</v>
      </c>
      <c r="FO38" s="36">
        <v>0</v>
      </c>
      <c r="FP38" s="36">
        <v>0</v>
      </c>
      <c r="FQ38" s="36">
        <v>0</v>
      </c>
      <c r="FR38" s="36">
        <v>0</v>
      </c>
      <c r="FS38" s="36">
        <v>0</v>
      </c>
      <c r="FT38" s="36">
        <v>0</v>
      </c>
      <c r="FU38" s="36">
        <v>0</v>
      </c>
      <c r="FV38" s="36">
        <v>0</v>
      </c>
      <c r="FW38" s="36">
        <v>0</v>
      </c>
      <c r="FX38" s="36">
        <v>0</v>
      </c>
      <c r="FY38" s="36">
        <v>0</v>
      </c>
      <c r="FZ38" s="36">
        <v>0</v>
      </c>
      <c r="GA38" s="36">
        <v>0</v>
      </c>
      <c r="GB38" s="36">
        <v>0</v>
      </c>
      <c r="GC38" s="36">
        <v>0</v>
      </c>
      <c r="GD38" s="36">
        <v>0</v>
      </c>
      <c r="GE38" s="36">
        <v>0</v>
      </c>
      <c r="GF38" s="36">
        <v>0</v>
      </c>
      <c r="GG38" s="36"/>
      <c r="GH38" s="36"/>
      <c r="GI38" s="36"/>
      <c r="GJ38" s="36"/>
      <c r="GK38" s="36"/>
      <c r="GL38" s="36"/>
      <c r="GM38" s="36"/>
      <c r="GN38" s="36"/>
      <c r="GO38" s="36"/>
      <c r="GP38" s="36"/>
      <c r="GQ38" s="36"/>
      <c r="GR38" s="36"/>
      <c r="GS38" s="36"/>
      <c r="GT38" s="36"/>
      <c r="GU38" s="36">
        <v>0</v>
      </c>
      <c r="GV38" s="36">
        <v>0</v>
      </c>
      <c r="GW38" s="36">
        <v>0</v>
      </c>
      <c r="GX38" s="36">
        <v>0</v>
      </c>
      <c r="GY38" s="36">
        <v>0</v>
      </c>
      <c r="GZ38" s="36">
        <v>0</v>
      </c>
      <c r="HA38" s="36">
        <v>0</v>
      </c>
      <c r="HB38" s="36">
        <v>0</v>
      </c>
      <c r="HC38" s="36">
        <f t="shared" si="0"/>
        <v>274785.18735246389</v>
      </c>
      <c r="HD38" s="36">
        <f>SUM(AI$5:AI$213)</f>
        <v>274785.18735246378</v>
      </c>
      <c r="HE38" s="41">
        <v>0</v>
      </c>
    </row>
    <row r="39" spans="1:213" hidden="1" outlineLevel="1" x14ac:dyDescent="0.2">
      <c r="A39" s="9" t="s">
        <v>313</v>
      </c>
      <c r="B39" s="36">
        <v>0</v>
      </c>
      <c r="C39" s="36">
        <v>0</v>
      </c>
      <c r="D39" s="36">
        <v>0</v>
      </c>
      <c r="E39" s="36">
        <v>0</v>
      </c>
      <c r="F39" s="36">
        <v>0</v>
      </c>
      <c r="G39" s="36">
        <v>0</v>
      </c>
      <c r="H39" s="36">
        <v>0</v>
      </c>
      <c r="I39" s="36">
        <v>0</v>
      </c>
      <c r="J39" s="36">
        <v>0</v>
      </c>
      <c r="K39" s="36">
        <v>0</v>
      </c>
      <c r="L39" s="36">
        <v>0</v>
      </c>
      <c r="M39" s="36">
        <v>0</v>
      </c>
      <c r="N39" s="36">
        <v>0</v>
      </c>
      <c r="O39" s="36">
        <v>0</v>
      </c>
      <c r="P39" s="36">
        <v>0</v>
      </c>
      <c r="Q39" s="36">
        <v>0</v>
      </c>
      <c r="R39" s="36">
        <v>0</v>
      </c>
      <c r="S39" s="36">
        <v>0</v>
      </c>
      <c r="T39" s="36">
        <v>0</v>
      </c>
      <c r="U39" s="36">
        <v>0</v>
      </c>
      <c r="V39" s="36">
        <v>0</v>
      </c>
      <c r="W39" s="36">
        <v>0</v>
      </c>
      <c r="X39" s="36">
        <v>0</v>
      </c>
      <c r="Y39" s="36">
        <v>0</v>
      </c>
      <c r="Z39" s="36">
        <v>0</v>
      </c>
      <c r="AA39" s="36">
        <v>0</v>
      </c>
      <c r="AB39" s="36">
        <v>0</v>
      </c>
      <c r="AC39" s="36">
        <v>0</v>
      </c>
      <c r="AD39" s="36">
        <v>0</v>
      </c>
      <c r="AE39" s="36">
        <v>0</v>
      </c>
      <c r="AF39" s="36">
        <v>0</v>
      </c>
      <c r="AG39" s="36">
        <v>0</v>
      </c>
      <c r="AH39" s="36">
        <v>0</v>
      </c>
      <c r="AI39" s="36">
        <v>0</v>
      </c>
      <c r="AJ39" s="36">
        <v>0</v>
      </c>
      <c r="AK39" s="36">
        <v>0</v>
      </c>
      <c r="AL39" s="36">
        <v>0</v>
      </c>
      <c r="AM39" s="36">
        <v>0</v>
      </c>
      <c r="AN39" s="36">
        <v>0</v>
      </c>
      <c r="AO39" s="36">
        <v>0</v>
      </c>
      <c r="AP39" s="36">
        <v>0</v>
      </c>
      <c r="AQ39" s="36">
        <v>0</v>
      </c>
      <c r="AR39" s="36">
        <v>0</v>
      </c>
      <c r="AS39" s="36">
        <v>0</v>
      </c>
      <c r="AT39" s="36">
        <v>0</v>
      </c>
      <c r="AU39" s="36">
        <v>0</v>
      </c>
      <c r="AV39" s="36">
        <v>0</v>
      </c>
      <c r="AW39" s="36">
        <v>0</v>
      </c>
      <c r="AX39" s="36">
        <v>0</v>
      </c>
      <c r="AY39" s="36">
        <v>0</v>
      </c>
      <c r="AZ39" s="36">
        <v>0</v>
      </c>
      <c r="BA39" s="36">
        <v>0</v>
      </c>
      <c r="BB39" s="36">
        <v>0</v>
      </c>
      <c r="BC39" s="36">
        <v>0</v>
      </c>
      <c r="BD39" s="36">
        <v>0</v>
      </c>
      <c r="BE39" s="36">
        <v>0</v>
      </c>
      <c r="BF39" s="36">
        <v>0</v>
      </c>
      <c r="BG39" s="36">
        <v>0</v>
      </c>
      <c r="BH39" s="36">
        <v>0</v>
      </c>
      <c r="BI39" s="36">
        <v>0</v>
      </c>
      <c r="BJ39" s="36">
        <v>0</v>
      </c>
      <c r="BK39" s="40">
        <v>0</v>
      </c>
      <c r="BL39" s="40">
        <v>0</v>
      </c>
      <c r="BM39" s="40">
        <v>0</v>
      </c>
      <c r="BN39" s="40">
        <v>0</v>
      </c>
      <c r="BO39" s="40">
        <v>0</v>
      </c>
      <c r="BP39" s="40">
        <v>0</v>
      </c>
      <c r="BQ39" s="40">
        <v>0</v>
      </c>
      <c r="BR39" s="40">
        <v>0</v>
      </c>
      <c r="BS39" s="40">
        <v>0</v>
      </c>
      <c r="BT39" s="40">
        <v>0</v>
      </c>
      <c r="BU39" s="40">
        <v>3163.0249159128157</v>
      </c>
      <c r="BV39" s="40">
        <v>57412.136062697908</v>
      </c>
      <c r="BW39" s="40">
        <v>0</v>
      </c>
      <c r="BX39" s="40">
        <v>0</v>
      </c>
      <c r="BY39" s="40">
        <v>0</v>
      </c>
      <c r="BZ39" s="40">
        <v>0</v>
      </c>
      <c r="CA39" s="40">
        <v>0</v>
      </c>
      <c r="CB39" s="40">
        <v>0</v>
      </c>
      <c r="CC39" s="40">
        <v>0</v>
      </c>
      <c r="CD39" s="40">
        <v>0</v>
      </c>
      <c r="CE39" s="40">
        <v>0</v>
      </c>
      <c r="CF39" s="40">
        <v>0</v>
      </c>
      <c r="CG39" s="40">
        <v>0</v>
      </c>
      <c r="CH39" s="40">
        <v>0</v>
      </c>
      <c r="CI39" s="40">
        <v>0</v>
      </c>
      <c r="CJ39" s="40">
        <v>0</v>
      </c>
      <c r="CK39" s="40">
        <v>0</v>
      </c>
      <c r="CL39" s="40">
        <v>0</v>
      </c>
      <c r="CM39" s="40">
        <v>0</v>
      </c>
      <c r="CN39" s="40">
        <v>0</v>
      </c>
      <c r="CO39" s="40">
        <v>0</v>
      </c>
      <c r="CP39" s="40">
        <v>0</v>
      </c>
      <c r="CQ39" s="40">
        <v>0</v>
      </c>
      <c r="CR39" s="40">
        <v>0</v>
      </c>
      <c r="CS39" s="40">
        <v>0</v>
      </c>
      <c r="CT39" s="40">
        <v>0</v>
      </c>
      <c r="CU39" s="40">
        <v>0</v>
      </c>
      <c r="CV39" s="40">
        <v>0</v>
      </c>
      <c r="CW39" s="40">
        <v>0</v>
      </c>
      <c r="CX39" s="40">
        <v>0</v>
      </c>
      <c r="CY39" s="40">
        <v>0</v>
      </c>
      <c r="CZ39" s="40">
        <v>0</v>
      </c>
      <c r="DA39" s="40">
        <v>0</v>
      </c>
      <c r="DB39" s="40">
        <v>0</v>
      </c>
      <c r="DC39" s="40">
        <v>0</v>
      </c>
      <c r="DD39" s="40">
        <v>0</v>
      </c>
      <c r="DE39" s="40">
        <v>0</v>
      </c>
      <c r="DF39" s="40">
        <v>0</v>
      </c>
      <c r="DG39" s="40">
        <v>0</v>
      </c>
      <c r="DH39" s="40">
        <v>0</v>
      </c>
      <c r="DI39" s="40">
        <v>0</v>
      </c>
      <c r="DJ39" s="40">
        <v>0</v>
      </c>
      <c r="DK39" s="40">
        <v>0</v>
      </c>
      <c r="DL39" s="40">
        <v>0</v>
      </c>
      <c r="DM39" s="40">
        <v>0</v>
      </c>
      <c r="DN39" s="40">
        <v>0</v>
      </c>
      <c r="DO39" s="40">
        <v>0</v>
      </c>
      <c r="DP39" s="40">
        <v>0</v>
      </c>
      <c r="DQ39" s="40">
        <v>0</v>
      </c>
      <c r="DR39" s="40">
        <v>0</v>
      </c>
      <c r="DS39" s="40">
        <v>0</v>
      </c>
      <c r="DT39" s="40">
        <v>0</v>
      </c>
      <c r="DU39" s="40">
        <v>0</v>
      </c>
      <c r="DV39" s="40">
        <v>0</v>
      </c>
      <c r="DW39" s="40">
        <v>0</v>
      </c>
      <c r="DX39" s="40">
        <v>0</v>
      </c>
      <c r="DY39" s="40">
        <v>0</v>
      </c>
      <c r="DZ39" s="40">
        <v>0</v>
      </c>
      <c r="EA39" s="40">
        <v>0</v>
      </c>
      <c r="EB39" s="40">
        <v>0</v>
      </c>
      <c r="EC39" s="40">
        <v>0</v>
      </c>
      <c r="ED39" s="40">
        <v>0</v>
      </c>
      <c r="EE39" s="40">
        <v>0</v>
      </c>
      <c r="EF39" s="40">
        <v>0</v>
      </c>
      <c r="EG39" s="40">
        <v>0</v>
      </c>
      <c r="EH39" s="40">
        <v>0</v>
      </c>
      <c r="EI39" s="40">
        <v>0</v>
      </c>
      <c r="EJ39" s="40">
        <v>0</v>
      </c>
      <c r="EK39" s="40">
        <v>0</v>
      </c>
      <c r="EL39" s="40">
        <v>0</v>
      </c>
      <c r="EM39" s="40">
        <v>0</v>
      </c>
      <c r="EN39" s="40">
        <v>0</v>
      </c>
      <c r="EO39" s="40">
        <v>0</v>
      </c>
      <c r="EP39" s="40">
        <v>0</v>
      </c>
      <c r="EQ39" s="40">
        <v>0</v>
      </c>
      <c r="ER39" s="40">
        <v>0</v>
      </c>
      <c r="ES39" s="40">
        <v>0</v>
      </c>
      <c r="ET39" s="40">
        <v>3207.9258476772634</v>
      </c>
      <c r="EU39" s="40">
        <v>0</v>
      </c>
      <c r="EV39" s="40">
        <v>0</v>
      </c>
      <c r="EW39" s="40">
        <v>0</v>
      </c>
      <c r="EX39" s="40">
        <v>0</v>
      </c>
      <c r="EY39" s="40">
        <v>0</v>
      </c>
      <c r="EZ39" s="40">
        <v>0</v>
      </c>
      <c r="FA39" s="40">
        <v>0</v>
      </c>
      <c r="FB39" s="40">
        <v>0</v>
      </c>
      <c r="FC39" s="40">
        <v>0</v>
      </c>
      <c r="FD39" s="40">
        <v>0</v>
      </c>
      <c r="FE39" s="40">
        <v>0</v>
      </c>
      <c r="FF39" s="40">
        <v>0</v>
      </c>
      <c r="FG39" s="40">
        <v>0</v>
      </c>
      <c r="FH39" s="40">
        <v>0</v>
      </c>
      <c r="FI39" s="40">
        <v>0</v>
      </c>
      <c r="FJ39" s="40">
        <v>0</v>
      </c>
      <c r="FK39" s="40">
        <v>0</v>
      </c>
      <c r="FL39" s="40">
        <v>0</v>
      </c>
      <c r="FM39" s="40">
        <v>0</v>
      </c>
      <c r="FN39" s="40">
        <v>0</v>
      </c>
      <c r="FO39" s="36">
        <v>0</v>
      </c>
      <c r="FP39" s="36">
        <v>0</v>
      </c>
      <c r="FQ39" s="36">
        <v>0</v>
      </c>
      <c r="FR39" s="36">
        <v>0</v>
      </c>
      <c r="FS39" s="36">
        <v>0</v>
      </c>
      <c r="FT39" s="36">
        <v>0</v>
      </c>
      <c r="FU39" s="36">
        <v>0</v>
      </c>
      <c r="FV39" s="36">
        <v>0</v>
      </c>
      <c r="FW39" s="36">
        <v>0</v>
      </c>
      <c r="FX39" s="36">
        <v>0</v>
      </c>
      <c r="FY39" s="36">
        <v>0</v>
      </c>
      <c r="FZ39" s="36">
        <v>0</v>
      </c>
      <c r="GA39" s="36">
        <v>0</v>
      </c>
      <c r="GB39" s="36">
        <v>0</v>
      </c>
      <c r="GC39" s="36">
        <v>0</v>
      </c>
      <c r="GD39" s="36">
        <v>0</v>
      </c>
      <c r="GE39" s="36">
        <v>0</v>
      </c>
      <c r="GF39" s="36">
        <v>0</v>
      </c>
      <c r="GG39" s="36"/>
      <c r="GH39" s="36"/>
      <c r="GI39" s="36"/>
      <c r="GJ39" s="36"/>
      <c r="GK39" s="36"/>
      <c r="GL39" s="36"/>
      <c r="GM39" s="36"/>
      <c r="GN39" s="36"/>
      <c r="GO39" s="36"/>
      <c r="GP39" s="36"/>
      <c r="GQ39" s="36"/>
      <c r="GR39" s="36"/>
      <c r="GS39" s="36"/>
      <c r="GT39" s="36"/>
      <c r="GU39" s="36">
        <v>0</v>
      </c>
      <c r="GV39" s="36">
        <v>0</v>
      </c>
      <c r="GW39" s="36">
        <v>0</v>
      </c>
      <c r="GX39" s="36">
        <v>0</v>
      </c>
      <c r="GY39" s="36">
        <v>0</v>
      </c>
      <c r="GZ39" s="36">
        <v>0</v>
      </c>
      <c r="HA39" s="36">
        <v>0</v>
      </c>
      <c r="HB39" s="36">
        <v>0</v>
      </c>
      <c r="HC39" s="36">
        <f t="shared" si="0"/>
        <v>63783.086826287989</v>
      </c>
      <c r="HD39" s="36">
        <f>SUM(AJ$5:AJ$213)</f>
        <v>63783.086826287981</v>
      </c>
      <c r="HE39" s="41">
        <v>0</v>
      </c>
    </row>
    <row r="40" spans="1:213" hidden="1" outlineLevel="1" x14ac:dyDescent="0.2">
      <c r="A40" s="9" t="s">
        <v>318</v>
      </c>
      <c r="B40" s="36">
        <v>0</v>
      </c>
      <c r="C40" s="36">
        <v>0</v>
      </c>
      <c r="D40" s="36">
        <v>0</v>
      </c>
      <c r="E40" s="36">
        <v>0</v>
      </c>
      <c r="F40" s="36">
        <v>0</v>
      </c>
      <c r="G40" s="36">
        <v>0</v>
      </c>
      <c r="H40" s="36">
        <v>0</v>
      </c>
      <c r="I40" s="36">
        <v>0</v>
      </c>
      <c r="J40" s="36">
        <v>0</v>
      </c>
      <c r="K40" s="36">
        <v>0</v>
      </c>
      <c r="L40" s="36">
        <v>0</v>
      </c>
      <c r="M40" s="36">
        <v>0</v>
      </c>
      <c r="N40" s="36">
        <v>0</v>
      </c>
      <c r="O40" s="36">
        <v>0</v>
      </c>
      <c r="P40" s="36">
        <v>0</v>
      </c>
      <c r="Q40" s="36">
        <v>0</v>
      </c>
      <c r="R40" s="36">
        <v>0</v>
      </c>
      <c r="S40" s="36">
        <v>0</v>
      </c>
      <c r="T40" s="36">
        <v>0</v>
      </c>
      <c r="U40" s="36">
        <v>0</v>
      </c>
      <c r="V40" s="36">
        <v>0</v>
      </c>
      <c r="W40" s="36">
        <v>0</v>
      </c>
      <c r="X40" s="36">
        <v>0</v>
      </c>
      <c r="Y40" s="36">
        <v>0</v>
      </c>
      <c r="Z40" s="36">
        <v>0</v>
      </c>
      <c r="AA40" s="36">
        <v>0</v>
      </c>
      <c r="AB40" s="36">
        <v>0</v>
      </c>
      <c r="AC40" s="36">
        <v>0</v>
      </c>
      <c r="AD40" s="36">
        <v>0</v>
      </c>
      <c r="AE40" s="36">
        <v>0</v>
      </c>
      <c r="AF40" s="36">
        <v>0</v>
      </c>
      <c r="AG40" s="36">
        <v>0</v>
      </c>
      <c r="AH40" s="36">
        <v>0</v>
      </c>
      <c r="AI40" s="36">
        <v>0</v>
      </c>
      <c r="AJ40" s="36">
        <v>0</v>
      </c>
      <c r="AK40" s="36">
        <v>0</v>
      </c>
      <c r="AL40" s="36">
        <v>0</v>
      </c>
      <c r="AM40" s="36">
        <v>0</v>
      </c>
      <c r="AN40" s="36">
        <v>0</v>
      </c>
      <c r="AO40" s="36">
        <v>0</v>
      </c>
      <c r="AP40" s="36">
        <v>0</v>
      </c>
      <c r="AQ40" s="36">
        <v>0</v>
      </c>
      <c r="AR40" s="36">
        <v>0</v>
      </c>
      <c r="AS40" s="36">
        <v>0</v>
      </c>
      <c r="AT40" s="36">
        <v>0</v>
      </c>
      <c r="AU40" s="36">
        <v>0</v>
      </c>
      <c r="AV40" s="36">
        <v>0</v>
      </c>
      <c r="AW40" s="36">
        <v>0</v>
      </c>
      <c r="AX40" s="36">
        <v>0</v>
      </c>
      <c r="AY40" s="36">
        <v>0</v>
      </c>
      <c r="AZ40" s="36">
        <v>0</v>
      </c>
      <c r="BA40" s="36">
        <v>0</v>
      </c>
      <c r="BB40" s="36">
        <v>0</v>
      </c>
      <c r="BC40" s="36">
        <v>0</v>
      </c>
      <c r="BD40" s="36">
        <v>0</v>
      </c>
      <c r="BE40" s="36">
        <v>0</v>
      </c>
      <c r="BF40" s="36">
        <v>0</v>
      </c>
      <c r="BG40" s="36">
        <v>0</v>
      </c>
      <c r="BH40" s="36">
        <v>0</v>
      </c>
      <c r="BI40" s="36">
        <v>0</v>
      </c>
      <c r="BJ40" s="36">
        <v>0</v>
      </c>
      <c r="BK40" s="40">
        <v>0</v>
      </c>
      <c r="BL40" s="40">
        <v>0</v>
      </c>
      <c r="BM40" s="40">
        <v>0</v>
      </c>
      <c r="BN40" s="40">
        <v>0</v>
      </c>
      <c r="BO40" s="40">
        <v>0</v>
      </c>
      <c r="BP40" s="40">
        <v>0</v>
      </c>
      <c r="BQ40" s="40">
        <v>0</v>
      </c>
      <c r="BR40" s="40">
        <v>0</v>
      </c>
      <c r="BS40" s="40">
        <v>0</v>
      </c>
      <c r="BT40" s="40">
        <v>0</v>
      </c>
      <c r="BU40" s="40">
        <v>0</v>
      </c>
      <c r="BV40" s="40">
        <v>0</v>
      </c>
      <c r="BW40" s="40">
        <v>0</v>
      </c>
      <c r="BX40" s="40">
        <v>0</v>
      </c>
      <c r="BY40" s="40">
        <v>0</v>
      </c>
      <c r="BZ40" s="40">
        <v>0</v>
      </c>
      <c r="CA40" s="40">
        <v>0</v>
      </c>
      <c r="CB40" s="40">
        <v>0</v>
      </c>
      <c r="CC40" s="40">
        <v>0</v>
      </c>
      <c r="CD40" s="40">
        <v>0</v>
      </c>
      <c r="CE40" s="40">
        <v>0</v>
      </c>
      <c r="CF40" s="40">
        <v>0</v>
      </c>
      <c r="CG40" s="40">
        <v>0</v>
      </c>
      <c r="CH40" s="40">
        <v>0</v>
      </c>
      <c r="CI40" s="40">
        <v>0</v>
      </c>
      <c r="CJ40" s="40">
        <v>0</v>
      </c>
      <c r="CK40" s="40">
        <v>0</v>
      </c>
      <c r="CL40" s="40">
        <v>0</v>
      </c>
      <c r="CM40" s="40">
        <v>0</v>
      </c>
      <c r="CN40" s="40">
        <v>0</v>
      </c>
      <c r="CO40" s="40">
        <v>0</v>
      </c>
      <c r="CP40" s="40">
        <v>0</v>
      </c>
      <c r="CQ40" s="40">
        <v>0</v>
      </c>
      <c r="CR40" s="40">
        <v>0</v>
      </c>
      <c r="CS40" s="40">
        <v>0</v>
      </c>
      <c r="CT40" s="40">
        <v>0</v>
      </c>
      <c r="CU40" s="40">
        <v>0</v>
      </c>
      <c r="CV40" s="40">
        <v>0</v>
      </c>
      <c r="CW40" s="40">
        <v>0</v>
      </c>
      <c r="CX40" s="40">
        <v>0</v>
      </c>
      <c r="CY40" s="40">
        <v>0</v>
      </c>
      <c r="CZ40" s="40">
        <v>0</v>
      </c>
      <c r="DA40" s="40">
        <v>0</v>
      </c>
      <c r="DB40" s="40">
        <v>0</v>
      </c>
      <c r="DC40" s="40">
        <v>0</v>
      </c>
      <c r="DD40" s="40">
        <v>0</v>
      </c>
      <c r="DE40" s="40">
        <v>0</v>
      </c>
      <c r="DF40" s="40">
        <v>0</v>
      </c>
      <c r="DG40" s="40">
        <v>0</v>
      </c>
      <c r="DH40" s="40">
        <v>0</v>
      </c>
      <c r="DI40" s="40">
        <v>0</v>
      </c>
      <c r="DJ40" s="40">
        <v>0</v>
      </c>
      <c r="DK40" s="40">
        <v>0</v>
      </c>
      <c r="DL40" s="40">
        <v>0</v>
      </c>
      <c r="DM40" s="40">
        <v>0</v>
      </c>
      <c r="DN40" s="40">
        <v>0</v>
      </c>
      <c r="DO40" s="40">
        <v>0</v>
      </c>
      <c r="DP40" s="40">
        <v>0</v>
      </c>
      <c r="DQ40" s="40">
        <v>0</v>
      </c>
      <c r="DR40" s="40">
        <v>0</v>
      </c>
      <c r="DS40" s="40">
        <v>0</v>
      </c>
      <c r="DT40" s="40">
        <v>0</v>
      </c>
      <c r="DU40" s="40">
        <v>0</v>
      </c>
      <c r="DV40" s="40">
        <v>0</v>
      </c>
      <c r="DW40" s="40">
        <v>0</v>
      </c>
      <c r="DX40" s="40">
        <v>0</v>
      </c>
      <c r="DY40" s="40">
        <v>0</v>
      </c>
      <c r="DZ40" s="40">
        <v>0</v>
      </c>
      <c r="EA40" s="40">
        <v>0</v>
      </c>
      <c r="EB40" s="40">
        <v>0</v>
      </c>
      <c r="EC40" s="40">
        <v>0</v>
      </c>
      <c r="ED40" s="40">
        <v>0</v>
      </c>
      <c r="EE40" s="40">
        <v>0</v>
      </c>
      <c r="EF40" s="40">
        <v>0</v>
      </c>
      <c r="EG40" s="40">
        <v>0</v>
      </c>
      <c r="EH40" s="40">
        <v>0</v>
      </c>
      <c r="EI40" s="40">
        <v>0</v>
      </c>
      <c r="EJ40" s="40">
        <v>396817.1738277041</v>
      </c>
      <c r="EK40" s="40">
        <v>0</v>
      </c>
      <c r="EL40" s="40">
        <v>0</v>
      </c>
      <c r="EM40" s="40">
        <v>0</v>
      </c>
      <c r="EN40" s="40">
        <v>0</v>
      </c>
      <c r="EO40" s="40">
        <v>0</v>
      </c>
      <c r="EP40" s="40">
        <v>0</v>
      </c>
      <c r="EQ40" s="40">
        <v>0</v>
      </c>
      <c r="ER40" s="40">
        <v>0</v>
      </c>
      <c r="ES40" s="40">
        <v>0</v>
      </c>
      <c r="ET40" s="40">
        <v>0</v>
      </c>
      <c r="EU40" s="40">
        <v>0</v>
      </c>
      <c r="EV40" s="40">
        <v>0</v>
      </c>
      <c r="EW40" s="40">
        <v>0</v>
      </c>
      <c r="EX40" s="40">
        <v>0</v>
      </c>
      <c r="EY40" s="40">
        <v>0</v>
      </c>
      <c r="EZ40" s="40">
        <v>0</v>
      </c>
      <c r="FA40" s="40">
        <v>4299.9467216191188</v>
      </c>
      <c r="FB40" s="40">
        <v>0</v>
      </c>
      <c r="FC40" s="40">
        <v>0</v>
      </c>
      <c r="FD40" s="40">
        <v>11590.502085626656</v>
      </c>
      <c r="FE40" s="40">
        <v>0</v>
      </c>
      <c r="FF40" s="40">
        <v>0</v>
      </c>
      <c r="FG40" s="40">
        <v>0</v>
      </c>
      <c r="FH40" s="40">
        <v>0</v>
      </c>
      <c r="FI40" s="40">
        <v>0</v>
      </c>
      <c r="FJ40" s="40">
        <v>0</v>
      </c>
      <c r="FK40" s="40">
        <v>0</v>
      </c>
      <c r="FL40" s="40">
        <v>0</v>
      </c>
      <c r="FM40" s="40">
        <v>0</v>
      </c>
      <c r="FN40" s="40">
        <v>0</v>
      </c>
      <c r="FO40" s="36">
        <v>0</v>
      </c>
      <c r="FP40" s="36">
        <v>0</v>
      </c>
      <c r="FQ40" s="36">
        <v>0</v>
      </c>
      <c r="FR40" s="36">
        <v>0</v>
      </c>
      <c r="FS40" s="36">
        <v>0</v>
      </c>
      <c r="FT40" s="36">
        <v>0</v>
      </c>
      <c r="FU40" s="36">
        <v>0</v>
      </c>
      <c r="FV40" s="36">
        <v>0</v>
      </c>
      <c r="FW40" s="36">
        <v>0</v>
      </c>
      <c r="FX40" s="36">
        <v>0</v>
      </c>
      <c r="FY40" s="36">
        <v>0</v>
      </c>
      <c r="FZ40" s="36">
        <v>0</v>
      </c>
      <c r="GA40" s="36">
        <v>0</v>
      </c>
      <c r="GB40" s="36">
        <v>0</v>
      </c>
      <c r="GC40" s="36">
        <v>0</v>
      </c>
      <c r="GD40" s="36">
        <v>0</v>
      </c>
      <c r="GE40" s="36">
        <v>0</v>
      </c>
      <c r="GF40" s="36">
        <v>0</v>
      </c>
      <c r="GG40" s="36"/>
      <c r="GH40" s="36"/>
      <c r="GI40" s="36"/>
      <c r="GJ40" s="36"/>
      <c r="GK40" s="36"/>
      <c r="GL40" s="36"/>
      <c r="GM40" s="36"/>
      <c r="GN40" s="36"/>
      <c r="GO40" s="36"/>
      <c r="GP40" s="36"/>
      <c r="GQ40" s="36"/>
      <c r="GR40" s="36"/>
      <c r="GS40" s="36"/>
      <c r="GT40" s="36"/>
      <c r="GU40" s="36">
        <v>0</v>
      </c>
      <c r="GV40" s="36">
        <v>0</v>
      </c>
      <c r="GW40" s="36">
        <v>0</v>
      </c>
      <c r="GX40" s="36">
        <v>0</v>
      </c>
      <c r="GY40" s="36">
        <v>0</v>
      </c>
      <c r="GZ40" s="36">
        <v>0</v>
      </c>
      <c r="HA40" s="36">
        <v>0</v>
      </c>
      <c r="HB40" s="36">
        <v>0</v>
      </c>
      <c r="HC40" s="36">
        <f t="shared" si="0"/>
        <v>412707.62263494986</v>
      </c>
      <c r="HD40" s="36">
        <f>SUM(AK$5:AK$213)</f>
        <v>412707.62263494998</v>
      </c>
      <c r="HE40" s="41">
        <v>0</v>
      </c>
    </row>
    <row r="41" spans="1:213" hidden="1" outlineLevel="1" x14ac:dyDescent="0.2">
      <c r="A41" s="9" t="s">
        <v>324</v>
      </c>
      <c r="B41" s="36">
        <v>0</v>
      </c>
      <c r="C41" s="36">
        <v>0</v>
      </c>
      <c r="D41" s="36">
        <v>0</v>
      </c>
      <c r="E41" s="36">
        <v>0</v>
      </c>
      <c r="F41" s="36">
        <v>0</v>
      </c>
      <c r="G41" s="36">
        <v>0</v>
      </c>
      <c r="H41" s="36">
        <v>0</v>
      </c>
      <c r="I41" s="36">
        <v>0</v>
      </c>
      <c r="J41" s="36">
        <v>0</v>
      </c>
      <c r="K41" s="36">
        <v>0</v>
      </c>
      <c r="L41" s="36">
        <v>0</v>
      </c>
      <c r="M41" s="36">
        <v>0</v>
      </c>
      <c r="N41" s="36">
        <v>0</v>
      </c>
      <c r="O41" s="36">
        <v>0</v>
      </c>
      <c r="P41" s="36">
        <v>0</v>
      </c>
      <c r="Q41" s="36">
        <v>0</v>
      </c>
      <c r="R41" s="36">
        <v>0</v>
      </c>
      <c r="S41" s="36">
        <v>0</v>
      </c>
      <c r="T41" s="36">
        <v>0</v>
      </c>
      <c r="U41" s="36">
        <v>0</v>
      </c>
      <c r="V41" s="36">
        <v>0</v>
      </c>
      <c r="W41" s="36">
        <v>0</v>
      </c>
      <c r="X41" s="36">
        <v>0</v>
      </c>
      <c r="Y41" s="36">
        <v>0</v>
      </c>
      <c r="Z41" s="36">
        <v>0</v>
      </c>
      <c r="AA41" s="36">
        <v>0</v>
      </c>
      <c r="AB41" s="36">
        <v>0</v>
      </c>
      <c r="AC41" s="36">
        <v>0</v>
      </c>
      <c r="AD41" s="36">
        <v>0</v>
      </c>
      <c r="AE41" s="36">
        <v>0</v>
      </c>
      <c r="AF41" s="36">
        <v>0</v>
      </c>
      <c r="AG41" s="36">
        <v>0</v>
      </c>
      <c r="AH41" s="36">
        <v>0</v>
      </c>
      <c r="AI41" s="36">
        <v>0</v>
      </c>
      <c r="AJ41" s="36">
        <v>0</v>
      </c>
      <c r="AK41" s="36">
        <v>0</v>
      </c>
      <c r="AL41" s="36">
        <v>0</v>
      </c>
      <c r="AM41" s="36">
        <v>0</v>
      </c>
      <c r="AN41" s="36">
        <v>0</v>
      </c>
      <c r="AO41" s="36">
        <v>0</v>
      </c>
      <c r="AP41" s="36">
        <v>0</v>
      </c>
      <c r="AQ41" s="36">
        <v>0</v>
      </c>
      <c r="AR41" s="36">
        <v>0</v>
      </c>
      <c r="AS41" s="36">
        <v>0</v>
      </c>
      <c r="AT41" s="36">
        <v>0</v>
      </c>
      <c r="AU41" s="36">
        <v>0</v>
      </c>
      <c r="AV41" s="36">
        <v>0</v>
      </c>
      <c r="AW41" s="36">
        <v>0</v>
      </c>
      <c r="AX41" s="36">
        <v>0</v>
      </c>
      <c r="AY41" s="36">
        <v>0</v>
      </c>
      <c r="AZ41" s="36">
        <v>0</v>
      </c>
      <c r="BA41" s="36">
        <v>0</v>
      </c>
      <c r="BB41" s="36">
        <v>0</v>
      </c>
      <c r="BC41" s="36">
        <v>0</v>
      </c>
      <c r="BD41" s="36">
        <v>0</v>
      </c>
      <c r="BE41" s="36">
        <v>0</v>
      </c>
      <c r="BF41" s="36">
        <v>0</v>
      </c>
      <c r="BG41" s="36">
        <v>0</v>
      </c>
      <c r="BH41" s="36">
        <v>0</v>
      </c>
      <c r="BI41" s="36">
        <v>0</v>
      </c>
      <c r="BJ41" s="36">
        <v>0</v>
      </c>
      <c r="BK41" s="40">
        <v>0</v>
      </c>
      <c r="BL41" s="40">
        <v>0</v>
      </c>
      <c r="BM41" s="40">
        <v>0</v>
      </c>
      <c r="BN41" s="40">
        <v>0</v>
      </c>
      <c r="BO41" s="40">
        <v>0</v>
      </c>
      <c r="BP41" s="40">
        <v>0</v>
      </c>
      <c r="BQ41" s="40">
        <v>0</v>
      </c>
      <c r="BR41" s="40">
        <v>0</v>
      </c>
      <c r="BS41" s="40">
        <v>0</v>
      </c>
      <c r="BT41" s="40">
        <v>0</v>
      </c>
      <c r="BU41" s="40">
        <v>0</v>
      </c>
      <c r="BV41" s="40">
        <v>0</v>
      </c>
      <c r="BW41" s="40">
        <v>0</v>
      </c>
      <c r="BX41" s="40">
        <v>0</v>
      </c>
      <c r="BY41" s="40">
        <v>0</v>
      </c>
      <c r="BZ41" s="40">
        <v>0</v>
      </c>
      <c r="CA41" s="40">
        <v>0</v>
      </c>
      <c r="CB41" s="40">
        <v>0</v>
      </c>
      <c r="CC41" s="40">
        <v>0</v>
      </c>
      <c r="CD41" s="40">
        <v>0</v>
      </c>
      <c r="CE41" s="40">
        <v>0</v>
      </c>
      <c r="CF41" s="40">
        <v>0</v>
      </c>
      <c r="CG41" s="40">
        <v>0</v>
      </c>
      <c r="CH41" s="40">
        <v>0</v>
      </c>
      <c r="CI41" s="40">
        <v>0</v>
      </c>
      <c r="CJ41" s="40">
        <v>0</v>
      </c>
      <c r="CK41" s="40">
        <v>0</v>
      </c>
      <c r="CL41" s="40">
        <v>0</v>
      </c>
      <c r="CM41" s="40">
        <v>0</v>
      </c>
      <c r="CN41" s="40">
        <v>0</v>
      </c>
      <c r="CO41" s="40">
        <v>0</v>
      </c>
      <c r="CP41" s="40">
        <v>0</v>
      </c>
      <c r="CQ41" s="40">
        <v>0</v>
      </c>
      <c r="CR41" s="40">
        <v>0</v>
      </c>
      <c r="CS41" s="40">
        <v>0</v>
      </c>
      <c r="CT41" s="40">
        <v>0</v>
      </c>
      <c r="CU41" s="40">
        <v>0</v>
      </c>
      <c r="CV41" s="40">
        <v>0</v>
      </c>
      <c r="CW41" s="40">
        <v>0</v>
      </c>
      <c r="CX41" s="40">
        <v>0</v>
      </c>
      <c r="CY41" s="40">
        <v>0</v>
      </c>
      <c r="CZ41" s="40">
        <v>0</v>
      </c>
      <c r="DA41" s="40">
        <v>0</v>
      </c>
      <c r="DB41" s="40">
        <v>0</v>
      </c>
      <c r="DC41" s="40">
        <v>0</v>
      </c>
      <c r="DD41" s="40">
        <v>0</v>
      </c>
      <c r="DE41" s="40">
        <v>0</v>
      </c>
      <c r="DF41" s="40">
        <v>0</v>
      </c>
      <c r="DG41" s="40">
        <v>0</v>
      </c>
      <c r="DH41" s="40">
        <v>0</v>
      </c>
      <c r="DI41" s="40">
        <v>0</v>
      </c>
      <c r="DJ41" s="40">
        <v>0</v>
      </c>
      <c r="DK41" s="40">
        <v>0</v>
      </c>
      <c r="DL41" s="40">
        <v>0</v>
      </c>
      <c r="DM41" s="40">
        <v>0</v>
      </c>
      <c r="DN41" s="40">
        <v>0</v>
      </c>
      <c r="DO41" s="40">
        <v>0</v>
      </c>
      <c r="DP41" s="40">
        <v>0</v>
      </c>
      <c r="DQ41" s="40">
        <v>0</v>
      </c>
      <c r="DR41" s="40">
        <v>0</v>
      </c>
      <c r="DS41" s="40">
        <v>0</v>
      </c>
      <c r="DT41" s="40">
        <v>0</v>
      </c>
      <c r="DU41" s="40">
        <v>0</v>
      </c>
      <c r="DV41" s="40">
        <v>0</v>
      </c>
      <c r="DW41" s="40">
        <v>0</v>
      </c>
      <c r="DX41" s="40">
        <v>0</v>
      </c>
      <c r="DY41" s="40">
        <v>0</v>
      </c>
      <c r="DZ41" s="40">
        <v>0</v>
      </c>
      <c r="EA41" s="40">
        <v>0</v>
      </c>
      <c r="EB41" s="40">
        <v>0</v>
      </c>
      <c r="EC41" s="40">
        <v>0</v>
      </c>
      <c r="ED41" s="40">
        <v>0</v>
      </c>
      <c r="EE41" s="40">
        <v>0</v>
      </c>
      <c r="EF41" s="40">
        <v>0</v>
      </c>
      <c r="EG41" s="40">
        <v>0</v>
      </c>
      <c r="EH41" s="40">
        <v>0</v>
      </c>
      <c r="EI41" s="40">
        <v>0</v>
      </c>
      <c r="EJ41" s="40">
        <v>0</v>
      </c>
      <c r="EK41" s="40">
        <v>361761.83178402006</v>
      </c>
      <c r="EL41" s="40">
        <v>0</v>
      </c>
      <c r="EM41" s="40">
        <v>0</v>
      </c>
      <c r="EN41" s="40">
        <v>0</v>
      </c>
      <c r="EO41" s="40">
        <v>0</v>
      </c>
      <c r="EP41" s="40">
        <v>0</v>
      </c>
      <c r="EQ41" s="40">
        <v>0</v>
      </c>
      <c r="ER41" s="40">
        <v>0</v>
      </c>
      <c r="ES41" s="40">
        <v>0</v>
      </c>
      <c r="ET41" s="40">
        <v>0</v>
      </c>
      <c r="EU41" s="40">
        <v>0</v>
      </c>
      <c r="EV41" s="40">
        <v>0</v>
      </c>
      <c r="EW41" s="40">
        <v>0</v>
      </c>
      <c r="EX41" s="40">
        <v>0</v>
      </c>
      <c r="EY41" s="40">
        <v>0</v>
      </c>
      <c r="EZ41" s="40">
        <v>0</v>
      </c>
      <c r="FA41" s="40">
        <v>0</v>
      </c>
      <c r="FB41" s="40">
        <v>0</v>
      </c>
      <c r="FC41" s="40">
        <v>0</v>
      </c>
      <c r="FD41" s="40">
        <v>0</v>
      </c>
      <c r="FE41" s="40">
        <v>0</v>
      </c>
      <c r="FF41" s="40">
        <v>107211.06717772971</v>
      </c>
      <c r="FG41" s="40">
        <v>0</v>
      </c>
      <c r="FH41" s="40">
        <v>0</v>
      </c>
      <c r="FI41" s="40">
        <v>0</v>
      </c>
      <c r="FJ41" s="40">
        <v>0</v>
      </c>
      <c r="FK41" s="40">
        <v>0</v>
      </c>
      <c r="FL41" s="40">
        <v>0</v>
      </c>
      <c r="FM41" s="40">
        <v>0</v>
      </c>
      <c r="FN41" s="40">
        <v>0</v>
      </c>
      <c r="FO41" s="36">
        <v>0</v>
      </c>
      <c r="FP41" s="36">
        <v>0</v>
      </c>
      <c r="FQ41" s="36">
        <v>0</v>
      </c>
      <c r="FR41" s="36">
        <v>0</v>
      </c>
      <c r="FS41" s="36">
        <v>0</v>
      </c>
      <c r="FT41" s="36">
        <v>0</v>
      </c>
      <c r="FU41" s="36">
        <v>0</v>
      </c>
      <c r="FV41" s="36">
        <v>0</v>
      </c>
      <c r="FW41" s="36">
        <v>0</v>
      </c>
      <c r="FX41" s="36">
        <v>0</v>
      </c>
      <c r="FY41" s="36">
        <v>0</v>
      </c>
      <c r="FZ41" s="36">
        <v>0</v>
      </c>
      <c r="GA41" s="36">
        <v>0</v>
      </c>
      <c r="GB41" s="36">
        <v>0</v>
      </c>
      <c r="GC41" s="36">
        <v>0</v>
      </c>
      <c r="GD41" s="36">
        <v>0</v>
      </c>
      <c r="GE41" s="36">
        <v>0</v>
      </c>
      <c r="GF41" s="36">
        <v>0</v>
      </c>
      <c r="GG41" s="36"/>
      <c r="GH41" s="36"/>
      <c r="GI41" s="36"/>
      <c r="GJ41" s="36"/>
      <c r="GK41" s="36"/>
      <c r="GL41" s="36"/>
      <c r="GM41" s="36"/>
      <c r="GN41" s="36"/>
      <c r="GO41" s="36"/>
      <c r="GP41" s="36"/>
      <c r="GQ41" s="36"/>
      <c r="GR41" s="36"/>
      <c r="GS41" s="36"/>
      <c r="GT41" s="36"/>
      <c r="GU41" s="36">
        <v>0</v>
      </c>
      <c r="GV41" s="36">
        <v>0</v>
      </c>
      <c r="GW41" s="36">
        <v>0</v>
      </c>
      <c r="GX41" s="36">
        <v>0</v>
      </c>
      <c r="GY41" s="36">
        <v>0</v>
      </c>
      <c r="GZ41" s="36">
        <v>0</v>
      </c>
      <c r="HA41" s="36">
        <v>0</v>
      </c>
      <c r="HB41" s="36">
        <v>0</v>
      </c>
      <c r="HC41" s="36">
        <f t="shared" si="0"/>
        <v>468972.89896174974</v>
      </c>
      <c r="HD41" s="36">
        <f>SUM(AL$5:AL$213)</f>
        <v>468972.89896174963</v>
      </c>
      <c r="HE41" s="41">
        <v>0</v>
      </c>
    </row>
    <row r="42" spans="1:213" hidden="1" outlineLevel="1" x14ac:dyDescent="0.2">
      <c r="A42" s="9" t="s">
        <v>329</v>
      </c>
      <c r="B42" s="36">
        <v>0</v>
      </c>
      <c r="C42" s="36">
        <v>0</v>
      </c>
      <c r="D42" s="36">
        <v>0</v>
      </c>
      <c r="E42" s="36">
        <v>0</v>
      </c>
      <c r="F42" s="36">
        <v>0</v>
      </c>
      <c r="G42" s="36">
        <v>0</v>
      </c>
      <c r="H42" s="36">
        <v>0</v>
      </c>
      <c r="I42" s="36">
        <v>0</v>
      </c>
      <c r="J42" s="36">
        <v>0</v>
      </c>
      <c r="K42" s="36">
        <v>0</v>
      </c>
      <c r="L42" s="36">
        <v>0</v>
      </c>
      <c r="M42" s="36">
        <v>0</v>
      </c>
      <c r="N42" s="36">
        <v>0</v>
      </c>
      <c r="O42" s="36">
        <v>0</v>
      </c>
      <c r="P42" s="36">
        <v>0</v>
      </c>
      <c r="Q42" s="36">
        <v>0</v>
      </c>
      <c r="R42" s="36">
        <v>0</v>
      </c>
      <c r="S42" s="36">
        <v>0</v>
      </c>
      <c r="T42" s="36">
        <v>0</v>
      </c>
      <c r="U42" s="36">
        <v>0</v>
      </c>
      <c r="V42" s="36">
        <v>0</v>
      </c>
      <c r="W42" s="36">
        <v>0</v>
      </c>
      <c r="X42" s="36">
        <v>0</v>
      </c>
      <c r="Y42" s="36">
        <v>0</v>
      </c>
      <c r="Z42" s="36">
        <v>0</v>
      </c>
      <c r="AA42" s="36">
        <v>0</v>
      </c>
      <c r="AB42" s="36">
        <v>0</v>
      </c>
      <c r="AC42" s="36">
        <v>0</v>
      </c>
      <c r="AD42" s="36">
        <v>0</v>
      </c>
      <c r="AE42" s="36">
        <v>0</v>
      </c>
      <c r="AF42" s="36">
        <v>0</v>
      </c>
      <c r="AG42" s="36">
        <v>0</v>
      </c>
      <c r="AH42" s="36">
        <v>0</v>
      </c>
      <c r="AI42" s="36">
        <v>0</v>
      </c>
      <c r="AJ42" s="36">
        <v>0</v>
      </c>
      <c r="AK42" s="36">
        <v>0</v>
      </c>
      <c r="AL42" s="36">
        <v>0</v>
      </c>
      <c r="AM42" s="36">
        <v>0</v>
      </c>
      <c r="AN42" s="36">
        <v>0</v>
      </c>
      <c r="AO42" s="36">
        <v>0</v>
      </c>
      <c r="AP42" s="36">
        <v>0</v>
      </c>
      <c r="AQ42" s="36">
        <v>0</v>
      </c>
      <c r="AR42" s="36">
        <v>0</v>
      </c>
      <c r="AS42" s="36">
        <v>0</v>
      </c>
      <c r="AT42" s="36">
        <v>0</v>
      </c>
      <c r="AU42" s="36">
        <v>0</v>
      </c>
      <c r="AV42" s="36">
        <v>0</v>
      </c>
      <c r="AW42" s="36">
        <v>0</v>
      </c>
      <c r="AX42" s="36">
        <v>0</v>
      </c>
      <c r="AY42" s="36">
        <v>0</v>
      </c>
      <c r="AZ42" s="36">
        <v>0</v>
      </c>
      <c r="BA42" s="36">
        <v>0</v>
      </c>
      <c r="BB42" s="36">
        <v>0</v>
      </c>
      <c r="BC42" s="36">
        <v>0</v>
      </c>
      <c r="BD42" s="36">
        <v>0</v>
      </c>
      <c r="BE42" s="36">
        <v>0</v>
      </c>
      <c r="BF42" s="36">
        <v>0</v>
      </c>
      <c r="BG42" s="36">
        <v>0</v>
      </c>
      <c r="BH42" s="36">
        <v>0</v>
      </c>
      <c r="BI42" s="36">
        <v>0</v>
      </c>
      <c r="BJ42" s="36">
        <v>0</v>
      </c>
      <c r="BK42" s="40">
        <v>0</v>
      </c>
      <c r="BL42" s="40">
        <v>0</v>
      </c>
      <c r="BM42" s="40">
        <v>0</v>
      </c>
      <c r="BN42" s="40">
        <v>0</v>
      </c>
      <c r="BO42" s="40">
        <v>0</v>
      </c>
      <c r="BP42" s="40">
        <v>0</v>
      </c>
      <c r="BQ42" s="40">
        <v>0</v>
      </c>
      <c r="BR42" s="40">
        <v>0</v>
      </c>
      <c r="BS42" s="40">
        <v>0</v>
      </c>
      <c r="BT42" s="40">
        <v>0</v>
      </c>
      <c r="BU42" s="40">
        <v>0</v>
      </c>
      <c r="BV42" s="40">
        <v>0</v>
      </c>
      <c r="BW42" s="40">
        <v>0</v>
      </c>
      <c r="BX42" s="40">
        <v>0</v>
      </c>
      <c r="BY42" s="40">
        <v>0</v>
      </c>
      <c r="BZ42" s="40">
        <v>0</v>
      </c>
      <c r="CA42" s="40">
        <v>0</v>
      </c>
      <c r="CB42" s="40">
        <v>0</v>
      </c>
      <c r="CC42" s="40">
        <v>0</v>
      </c>
      <c r="CD42" s="40">
        <v>0</v>
      </c>
      <c r="CE42" s="40">
        <v>0</v>
      </c>
      <c r="CF42" s="40">
        <v>0</v>
      </c>
      <c r="CG42" s="40">
        <v>0</v>
      </c>
      <c r="CH42" s="40">
        <v>0</v>
      </c>
      <c r="CI42" s="40">
        <v>0</v>
      </c>
      <c r="CJ42" s="40">
        <v>0</v>
      </c>
      <c r="CK42" s="40">
        <v>0</v>
      </c>
      <c r="CL42" s="40">
        <v>0</v>
      </c>
      <c r="CM42" s="40">
        <v>0</v>
      </c>
      <c r="CN42" s="40">
        <v>0</v>
      </c>
      <c r="CO42" s="40">
        <v>0</v>
      </c>
      <c r="CP42" s="40">
        <v>0</v>
      </c>
      <c r="CQ42" s="40">
        <v>0</v>
      </c>
      <c r="CR42" s="40">
        <v>0</v>
      </c>
      <c r="CS42" s="40">
        <v>0</v>
      </c>
      <c r="CT42" s="40">
        <v>0</v>
      </c>
      <c r="CU42" s="40">
        <v>0</v>
      </c>
      <c r="CV42" s="40">
        <v>0</v>
      </c>
      <c r="CW42" s="40">
        <v>0</v>
      </c>
      <c r="CX42" s="40">
        <v>0</v>
      </c>
      <c r="CY42" s="40">
        <v>0</v>
      </c>
      <c r="CZ42" s="40">
        <v>0</v>
      </c>
      <c r="DA42" s="40">
        <v>0</v>
      </c>
      <c r="DB42" s="40">
        <v>0</v>
      </c>
      <c r="DC42" s="40">
        <v>0</v>
      </c>
      <c r="DD42" s="40">
        <v>0</v>
      </c>
      <c r="DE42" s="40">
        <v>0</v>
      </c>
      <c r="DF42" s="40">
        <v>0</v>
      </c>
      <c r="DG42" s="40">
        <v>0</v>
      </c>
      <c r="DH42" s="40">
        <v>0</v>
      </c>
      <c r="DI42" s="40">
        <v>0</v>
      </c>
      <c r="DJ42" s="40">
        <v>0</v>
      </c>
      <c r="DK42" s="40">
        <v>0</v>
      </c>
      <c r="DL42" s="40">
        <v>0</v>
      </c>
      <c r="DM42" s="40">
        <v>0</v>
      </c>
      <c r="DN42" s="40">
        <v>0</v>
      </c>
      <c r="DO42" s="40">
        <v>0</v>
      </c>
      <c r="DP42" s="40">
        <v>0</v>
      </c>
      <c r="DQ42" s="40">
        <v>0</v>
      </c>
      <c r="DR42" s="40">
        <v>0</v>
      </c>
      <c r="DS42" s="40">
        <v>0</v>
      </c>
      <c r="DT42" s="40">
        <v>0</v>
      </c>
      <c r="DU42" s="40">
        <v>0</v>
      </c>
      <c r="DV42" s="40">
        <v>0</v>
      </c>
      <c r="DW42" s="40">
        <v>0</v>
      </c>
      <c r="DX42" s="40">
        <v>0</v>
      </c>
      <c r="DY42" s="40">
        <v>0</v>
      </c>
      <c r="DZ42" s="40">
        <v>0</v>
      </c>
      <c r="EA42" s="40">
        <v>0</v>
      </c>
      <c r="EB42" s="40">
        <v>0</v>
      </c>
      <c r="EC42" s="40">
        <v>0</v>
      </c>
      <c r="ED42" s="40">
        <v>0</v>
      </c>
      <c r="EE42" s="40">
        <v>0</v>
      </c>
      <c r="EF42" s="40">
        <v>0</v>
      </c>
      <c r="EG42" s="40">
        <v>0</v>
      </c>
      <c r="EH42" s="40">
        <v>0</v>
      </c>
      <c r="EI42" s="40">
        <v>0</v>
      </c>
      <c r="EJ42" s="40">
        <v>0</v>
      </c>
      <c r="EK42" s="40">
        <v>0</v>
      </c>
      <c r="EL42" s="40">
        <v>243962.2794200739</v>
      </c>
      <c r="EM42" s="40">
        <v>0</v>
      </c>
      <c r="EN42" s="40">
        <v>0</v>
      </c>
      <c r="EO42" s="40">
        <v>0</v>
      </c>
      <c r="EP42" s="40">
        <v>0</v>
      </c>
      <c r="EQ42" s="40">
        <v>0</v>
      </c>
      <c r="ER42" s="40">
        <v>0</v>
      </c>
      <c r="ES42" s="40">
        <v>0</v>
      </c>
      <c r="ET42" s="40">
        <v>0</v>
      </c>
      <c r="EU42" s="40">
        <v>0</v>
      </c>
      <c r="EV42" s="40">
        <v>0</v>
      </c>
      <c r="EW42" s="40">
        <v>0</v>
      </c>
      <c r="EX42" s="40">
        <v>0</v>
      </c>
      <c r="EY42" s="40">
        <v>0</v>
      </c>
      <c r="EZ42" s="40">
        <v>0</v>
      </c>
      <c r="FA42" s="40">
        <v>0</v>
      </c>
      <c r="FB42" s="40">
        <v>0</v>
      </c>
      <c r="FC42" s="40">
        <v>0</v>
      </c>
      <c r="FD42" s="40">
        <v>0</v>
      </c>
      <c r="FE42" s="40">
        <v>0</v>
      </c>
      <c r="FF42" s="40">
        <v>55233.603711654752</v>
      </c>
      <c r="FG42" s="40">
        <v>0</v>
      </c>
      <c r="FH42" s="40">
        <v>0</v>
      </c>
      <c r="FI42" s="40">
        <v>0</v>
      </c>
      <c r="FJ42" s="40">
        <v>0</v>
      </c>
      <c r="FK42" s="40">
        <v>0</v>
      </c>
      <c r="FL42" s="40">
        <v>0</v>
      </c>
      <c r="FM42" s="40">
        <v>0</v>
      </c>
      <c r="FN42" s="40">
        <v>0</v>
      </c>
      <c r="FO42" s="36">
        <v>0</v>
      </c>
      <c r="FP42" s="36">
        <v>0</v>
      </c>
      <c r="FQ42" s="36">
        <v>0</v>
      </c>
      <c r="FR42" s="36">
        <v>0</v>
      </c>
      <c r="FS42" s="36">
        <v>0</v>
      </c>
      <c r="FT42" s="36">
        <v>0</v>
      </c>
      <c r="FU42" s="36">
        <v>0</v>
      </c>
      <c r="FV42" s="36">
        <v>0</v>
      </c>
      <c r="FW42" s="36">
        <v>0</v>
      </c>
      <c r="FX42" s="36">
        <v>0</v>
      </c>
      <c r="FY42" s="36">
        <v>0</v>
      </c>
      <c r="FZ42" s="36">
        <v>0</v>
      </c>
      <c r="GA42" s="36">
        <v>0</v>
      </c>
      <c r="GB42" s="36">
        <v>0</v>
      </c>
      <c r="GC42" s="36">
        <v>0</v>
      </c>
      <c r="GD42" s="36">
        <v>0</v>
      </c>
      <c r="GE42" s="36">
        <v>0</v>
      </c>
      <c r="GF42" s="36">
        <v>0</v>
      </c>
      <c r="GG42" s="36"/>
      <c r="GH42" s="36"/>
      <c r="GI42" s="36"/>
      <c r="GJ42" s="36"/>
      <c r="GK42" s="36"/>
      <c r="GL42" s="36"/>
      <c r="GM42" s="36"/>
      <c r="GN42" s="36"/>
      <c r="GO42" s="36"/>
      <c r="GP42" s="36"/>
      <c r="GQ42" s="36"/>
      <c r="GR42" s="36"/>
      <c r="GS42" s="36"/>
      <c r="GT42" s="36"/>
      <c r="GU42" s="36">
        <v>0</v>
      </c>
      <c r="GV42" s="36">
        <v>0</v>
      </c>
      <c r="GW42" s="36">
        <v>0</v>
      </c>
      <c r="GX42" s="36">
        <v>0</v>
      </c>
      <c r="GY42" s="36">
        <v>0</v>
      </c>
      <c r="GZ42" s="36">
        <v>0</v>
      </c>
      <c r="HA42" s="36">
        <v>0</v>
      </c>
      <c r="HB42" s="36">
        <v>0</v>
      </c>
      <c r="HC42" s="36">
        <f t="shared" si="0"/>
        <v>299195.88313172862</v>
      </c>
      <c r="HD42" s="36">
        <f>SUM(AM$5:AM$213)</f>
        <v>299195.88313172862</v>
      </c>
      <c r="HE42" s="41">
        <v>0</v>
      </c>
    </row>
    <row r="43" spans="1:213" hidden="1" outlineLevel="1" x14ac:dyDescent="0.2">
      <c r="A43" s="9" t="s">
        <v>334</v>
      </c>
      <c r="B43" s="36">
        <v>0</v>
      </c>
      <c r="C43" s="36">
        <v>0</v>
      </c>
      <c r="D43" s="36">
        <v>0</v>
      </c>
      <c r="E43" s="36">
        <v>0</v>
      </c>
      <c r="F43" s="36">
        <v>0</v>
      </c>
      <c r="G43" s="36">
        <v>0</v>
      </c>
      <c r="H43" s="36">
        <v>0</v>
      </c>
      <c r="I43" s="36">
        <v>0</v>
      </c>
      <c r="J43" s="36">
        <v>0</v>
      </c>
      <c r="K43" s="36">
        <v>0</v>
      </c>
      <c r="L43" s="36">
        <v>0</v>
      </c>
      <c r="M43" s="36">
        <v>0</v>
      </c>
      <c r="N43" s="36">
        <v>0</v>
      </c>
      <c r="O43" s="36">
        <v>0</v>
      </c>
      <c r="P43" s="36">
        <v>0</v>
      </c>
      <c r="Q43" s="36">
        <v>0</v>
      </c>
      <c r="R43" s="36">
        <v>0</v>
      </c>
      <c r="S43" s="36">
        <v>0</v>
      </c>
      <c r="T43" s="36">
        <v>0</v>
      </c>
      <c r="U43" s="36">
        <v>0</v>
      </c>
      <c r="V43" s="36">
        <v>0</v>
      </c>
      <c r="W43" s="36">
        <v>0</v>
      </c>
      <c r="X43" s="36">
        <v>0</v>
      </c>
      <c r="Y43" s="36">
        <v>0</v>
      </c>
      <c r="Z43" s="36">
        <v>0</v>
      </c>
      <c r="AA43" s="36">
        <v>0</v>
      </c>
      <c r="AB43" s="36">
        <v>0</v>
      </c>
      <c r="AC43" s="36">
        <v>0</v>
      </c>
      <c r="AD43" s="36">
        <v>0</v>
      </c>
      <c r="AE43" s="36">
        <v>0</v>
      </c>
      <c r="AF43" s="36">
        <v>0</v>
      </c>
      <c r="AG43" s="36">
        <v>0</v>
      </c>
      <c r="AH43" s="36">
        <v>0</v>
      </c>
      <c r="AI43" s="36">
        <v>0</v>
      </c>
      <c r="AJ43" s="36">
        <v>0</v>
      </c>
      <c r="AK43" s="36">
        <v>0</v>
      </c>
      <c r="AL43" s="36">
        <v>0</v>
      </c>
      <c r="AM43" s="36">
        <v>0</v>
      </c>
      <c r="AN43" s="36">
        <v>0</v>
      </c>
      <c r="AO43" s="36">
        <v>0</v>
      </c>
      <c r="AP43" s="36">
        <v>0</v>
      </c>
      <c r="AQ43" s="36">
        <v>0</v>
      </c>
      <c r="AR43" s="36">
        <v>0</v>
      </c>
      <c r="AS43" s="36">
        <v>0</v>
      </c>
      <c r="AT43" s="36">
        <v>0</v>
      </c>
      <c r="AU43" s="36">
        <v>0</v>
      </c>
      <c r="AV43" s="36">
        <v>0</v>
      </c>
      <c r="AW43" s="36">
        <v>0</v>
      </c>
      <c r="AX43" s="36">
        <v>0</v>
      </c>
      <c r="AY43" s="36">
        <v>0</v>
      </c>
      <c r="AZ43" s="36">
        <v>0</v>
      </c>
      <c r="BA43" s="36">
        <v>0</v>
      </c>
      <c r="BB43" s="36">
        <v>0</v>
      </c>
      <c r="BC43" s="36">
        <v>0</v>
      </c>
      <c r="BD43" s="36">
        <v>0</v>
      </c>
      <c r="BE43" s="36">
        <v>0</v>
      </c>
      <c r="BF43" s="36">
        <v>0</v>
      </c>
      <c r="BG43" s="36">
        <v>0</v>
      </c>
      <c r="BH43" s="36">
        <v>0</v>
      </c>
      <c r="BI43" s="36">
        <v>0</v>
      </c>
      <c r="BJ43" s="36">
        <v>0</v>
      </c>
      <c r="BK43" s="40">
        <v>0</v>
      </c>
      <c r="BL43" s="40">
        <v>0</v>
      </c>
      <c r="BM43" s="40">
        <v>0</v>
      </c>
      <c r="BN43" s="40">
        <v>0</v>
      </c>
      <c r="BO43" s="40">
        <v>0</v>
      </c>
      <c r="BP43" s="40">
        <v>0</v>
      </c>
      <c r="BQ43" s="40">
        <v>0</v>
      </c>
      <c r="BR43" s="40">
        <v>0</v>
      </c>
      <c r="BS43" s="40">
        <v>0</v>
      </c>
      <c r="BT43" s="40">
        <v>0</v>
      </c>
      <c r="BU43" s="40">
        <v>0</v>
      </c>
      <c r="BV43" s="40">
        <v>0</v>
      </c>
      <c r="BW43" s="40">
        <v>0</v>
      </c>
      <c r="BX43" s="40">
        <v>0</v>
      </c>
      <c r="BY43" s="40">
        <v>0.14547615358770319</v>
      </c>
      <c r="BZ43" s="40">
        <v>0.44226054665051984</v>
      </c>
      <c r="CA43" s="40">
        <v>0</v>
      </c>
      <c r="CB43" s="40">
        <v>0</v>
      </c>
      <c r="CC43" s="40">
        <v>0</v>
      </c>
      <c r="CD43" s="40">
        <v>0</v>
      </c>
      <c r="CE43" s="40">
        <v>0</v>
      </c>
      <c r="CF43" s="40">
        <v>0</v>
      </c>
      <c r="CG43" s="40">
        <v>0</v>
      </c>
      <c r="CH43" s="40">
        <v>0</v>
      </c>
      <c r="CI43" s="40">
        <v>0</v>
      </c>
      <c r="CJ43" s="40">
        <v>0</v>
      </c>
      <c r="CK43" s="40">
        <v>0</v>
      </c>
      <c r="CL43" s="40">
        <v>0</v>
      </c>
      <c r="CM43" s="40">
        <v>0</v>
      </c>
      <c r="CN43" s="40">
        <v>0</v>
      </c>
      <c r="CO43" s="40">
        <v>0</v>
      </c>
      <c r="CP43" s="40">
        <v>0</v>
      </c>
      <c r="CQ43" s="40">
        <v>0</v>
      </c>
      <c r="CR43" s="40">
        <v>0</v>
      </c>
      <c r="CS43" s="40">
        <v>0</v>
      </c>
      <c r="CT43" s="40">
        <v>0</v>
      </c>
      <c r="CU43" s="40">
        <v>0</v>
      </c>
      <c r="CV43" s="40">
        <v>0</v>
      </c>
      <c r="CW43" s="40">
        <v>0</v>
      </c>
      <c r="CX43" s="40">
        <v>0</v>
      </c>
      <c r="CY43" s="40">
        <v>0</v>
      </c>
      <c r="CZ43" s="40">
        <v>0</v>
      </c>
      <c r="DA43" s="40">
        <v>0</v>
      </c>
      <c r="DB43" s="40">
        <v>0</v>
      </c>
      <c r="DC43" s="40">
        <v>0</v>
      </c>
      <c r="DD43" s="40">
        <v>0</v>
      </c>
      <c r="DE43" s="40">
        <v>0</v>
      </c>
      <c r="DF43" s="40">
        <v>0</v>
      </c>
      <c r="DG43" s="40">
        <v>0</v>
      </c>
      <c r="DH43" s="40">
        <v>0</v>
      </c>
      <c r="DI43" s="40">
        <v>0</v>
      </c>
      <c r="DJ43" s="40">
        <v>0</v>
      </c>
      <c r="DK43" s="40">
        <v>0</v>
      </c>
      <c r="DL43" s="40">
        <v>0</v>
      </c>
      <c r="DM43" s="40">
        <v>0</v>
      </c>
      <c r="DN43" s="40">
        <v>0</v>
      </c>
      <c r="DO43" s="40">
        <v>0</v>
      </c>
      <c r="DP43" s="40">
        <v>0</v>
      </c>
      <c r="DQ43" s="40">
        <v>0</v>
      </c>
      <c r="DR43" s="40">
        <v>0</v>
      </c>
      <c r="DS43" s="40">
        <v>0</v>
      </c>
      <c r="DT43" s="40">
        <v>0</v>
      </c>
      <c r="DU43" s="40">
        <v>0</v>
      </c>
      <c r="DV43" s="40">
        <v>0</v>
      </c>
      <c r="DW43" s="40">
        <v>0</v>
      </c>
      <c r="DX43" s="40">
        <v>0</v>
      </c>
      <c r="DY43" s="40">
        <v>0</v>
      </c>
      <c r="DZ43" s="40">
        <v>0</v>
      </c>
      <c r="EA43" s="40">
        <v>0</v>
      </c>
      <c r="EB43" s="40">
        <v>0</v>
      </c>
      <c r="EC43" s="40">
        <v>0</v>
      </c>
      <c r="ED43" s="40">
        <v>0</v>
      </c>
      <c r="EE43" s="40">
        <v>0</v>
      </c>
      <c r="EF43" s="40">
        <v>0</v>
      </c>
      <c r="EG43" s="40">
        <v>0</v>
      </c>
      <c r="EH43" s="40">
        <v>0</v>
      </c>
      <c r="EI43" s="40">
        <v>0</v>
      </c>
      <c r="EJ43" s="40">
        <v>0</v>
      </c>
      <c r="EK43" s="40">
        <v>33396.534161234573</v>
      </c>
      <c r="EL43" s="40">
        <v>76601.184494353103</v>
      </c>
      <c r="EM43" s="40">
        <v>0</v>
      </c>
      <c r="EN43" s="40">
        <v>0</v>
      </c>
      <c r="EO43" s="40">
        <v>0</v>
      </c>
      <c r="EP43" s="40">
        <v>0</v>
      </c>
      <c r="EQ43" s="40">
        <v>0</v>
      </c>
      <c r="ER43" s="40">
        <v>0</v>
      </c>
      <c r="ES43" s="40">
        <v>0</v>
      </c>
      <c r="ET43" s="40">
        <v>0</v>
      </c>
      <c r="EU43" s="40">
        <v>0</v>
      </c>
      <c r="EV43" s="40">
        <v>0</v>
      </c>
      <c r="EW43" s="40">
        <v>0</v>
      </c>
      <c r="EX43" s="40">
        <v>0</v>
      </c>
      <c r="EY43" s="40">
        <v>0</v>
      </c>
      <c r="EZ43" s="40">
        <v>0</v>
      </c>
      <c r="FA43" s="40">
        <v>0</v>
      </c>
      <c r="FB43" s="40">
        <v>0</v>
      </c>
      <c r="FC43" s="40">
        <v>0</v>
      </c>
      <c r="FD43" s="40">
        <v>0</v>
      </c>
      <c r="FE43" s="40">
        <v>0</v>
      </c>
      <c r="FF43" s="40">
        <v>74519.553882091714</v>
      </c>
      <c r="FG43" s="40">
        <v>0</v>
      </c>
      <c r="FH43" s="40">
        <v>0</v>
      </c>
      <c r="FI43" s="40">
        <v>0</v>
      </c>
      <c r="FJ43" s="40">
        <v>0</v>
      </c>
      <c r="FK43" s="40">
        <v>0</v>
      </c>
      <c r="FL43" s="40">
        <v>0</v>
      </c>
      <c r="FM43" s="40">
        <v>0</v>
      </c>
      <c r="FN43" s="40">
        <v>0</v>
      </c>
      <c r="FO43" s="36">
        <v>0</v>
      </c>
      <c r="FP43" s="36">
        <v>0</v>
      </c>
      <c r="FQ43" s="36">
        <v>0</v>
      </c>
      <c r="FR43" s="36">
        <v>0</v>
      </c>
      <c r="FS43" s="36">
        <v>0</v>
      </c>
      <c r="FT43" s="36">
        <v>0</v>
      </c>
      <c r="FU43" s="36">
        <v>0</v>
      </c>
      <c r="FV43" s="36">
        <v>0</v>
      </c>
      <c r="FW43" s="36">
        <v>0</v>
      </c>
      <c r="FX43" s="36">
        <v>0</v>
      </c>
      <c r="FY43" s="36">
        <v>0</v>
      </c>
      <c r="FZ43" s="36">
        <v>0</v>
      </c>
      <c r="GA43" s="36">
        <v>0</v>
      </c>
      <c r="GB43" s="36">
        <v>0</v>
      </c>
      <c r="GC43" s="36">
        <v>0</v>
      </c>
      <c r="GD43" s="36">
        <v>0</v>
      </c>
      <c r="GE43" s="36">
        <v>0</v>
      </c>
      <c r="GF43" s="36">
        <v>0</v>
      </c>
      <c r="GG43" s="36"/>
      <c r="GH43" s="36"/>
      <c r="GI43" s="36"/>
      <c r="GJ43" s="36"/>
      <c r="GK43" s="36"/>
      <c r="GL43" s="36"/>
      <c r="GM43" s="36"/>
      <c r="GN43" s="36"/>
      <c r="GO43" s="36"/>
      <c r="GP43" s="36"/>
      <c r="GQ43" s="36"/>
      <c r="GR43" s="36"/>
      <c r="GS43" s="36"/>
      <c r="GT43" s="36"/>
      <c r="GU43" s="36">
        <v>0</v>
      </c>
      <c r="GV43" s="36">
        <v>0</v>
      </c>
      <c r="GW43" s="36">
        <v>0</v>
      </c>
      <c r="GX43" s="36">
        <v>0</v>
      </c>
      <c r="GY43" s="36">
        <v>0</v>
      </c>
      <c r="GZ43" s="36">
        <v>0</v>
      </c>
      <c r="HA43" s="36">
        <v>0</v>
      </c>
      <c r="HB43" s="36">
        <v>0</v>
      </c>
      <c r="HC43" s="36">
        <f t="shared" si="0"/>
        <v>184517.86027437964</v>
      </c>
      <c r="HD43" s="36">
        <f>SUM(AN$5:AN$213)</f>
        <v>184517.86027437967</v>
      </c>
      <c r="HE43" s="41">
        <v>0</v>
      </c>
    </row>
    <row r="44" spans="1:213" hidden="1" outlineLevel="1" x14ac:dyDescent="0.2">
      <c r="A44" s="9" t="s">
        <v>339</v>
      </c>
      <c r="B44" s="36">
        <v>0</v>
      </c>
      <c r="C44" s="36">
        <v>0</v>
      </c>
      <c r="D44" s="36">
        <v>0</v>
      </c>
      <c r="E44" s="36">
        <v>0</v>
      </c>
      <c r="F44" s="36">
        <v>0</v>
      </c>
      <c r="G44" s="36">
        <v>0</v>
      </c>
      <c r="H44" s="36">
        <v>0</v>
      </c>
      <c r="I44" s="36">
        <v>0</v>
      </c>
      <c r="J44" s="36">
        <v>0</v>
      </c>
      <c r="K44" s="36">
        <v>0</v>
      </c>
      <c r="L44" s="36">
        <v>0</v>
      </c>
      <c r="M44" s="36">
        <v>0</v>
      </c>
      <c r="N44" s="36">
        <v>0</v>
      </c>
      <c r="O44" s="36">
        <v>0</v>
      </c>
      <c r="P44" s="36">
        <v>0</v>
      </c>
      <c r="Q44" s="36">
        <v>0</v>
      </c>
      <c r="R44" s="36">
        <v>0</v>
      </c>
      <c r="S44" s="36">
        <v>0</v>
      </c>
      <c r="T44" s="36">
        <v>0</v>
      </c>
      <c r="U44" s="36">
        <v>0</v>
      </c>
      <c r="V44" s="36">
        <v>0</v>
      </c>
      <c r="W44" s="36">
        <v>0</v>
      </c>
      <c r="X44" s="36">
        <v>0</v>
      </c>
      <c r="Y44" s="36">
        <v>0</v>
      </c>
      <c r="Z44" s="36">
        <v>0</v>
      </c>
      <c r="AA44" s="36">
        <v>0</v>
      </c>
      <c r="AB44" s="36">
        <v>0</v>
      </c>
      <c r="AC44" s="36">
        <v>0</v>
      </c>
      <c r="AD44" s="36">
        <v>0</v>
      </c>
      <c r="AE44" s="36">
        <v>0</v>
      </c>
      <c r="AF44" s="36">
        <v>0</v>
      </c>
      <c r="AG44" s="36">
        <v>0</v>
      </c>
      <c r="AH44" s="36">
        <v>0</v>
      </c>
      <c r="AI44" s="36">
        <v>0</v>
      </c>
      <c r="AJ44" s="36">
        <v>0</v>
      </c>
      <c r="AK44" s="36">
        <v>0</v>
      </c>
      <c r="AL44" s="36">
        <v>0</v>
      </c>
      <c r="AM44" s="36">
        <v>0</v>
      </c>
      <c r="AN44" s="36">
        <v>0</v>
      </c>
      <c r="AO44" s="36">
        <v>0</v>
      </c>
      <c r="AP44" s="36">
        <v>0</v>
      </c>
      <c r="AQ44" s="36">
        <v>0</v>
      </c>
      <c r="AR44" s="36">
        <v>0</v>
      </c>
      <c r="AS44" s="36">
        <v>0</v>
      </c>
      <c r="AT44" s="36">
        <v>0</v>
      </c>
      <c r="AU44" s="36">
        <v>0</v>
      </c>
      <c r="AV44" s="36">
        <v>0</v>
      </c>
      <c r="AW44" s="36">
        <v>0</v>
      </c>
      <c r="AX44" s="36">
        <v>0</v>
      </c>
      <c r="AY44" s="36">
        <v>0</v>
      </c>
      <c r="AZ44" s="36">
        <v>0</v>
      </c>
      <c r="BA44" s="36">
        <v>0</v>
      </c>
      <c r="BB44" s="36">
        <v>0</v>
      </c>
      <c r="BC44" s="36">
        <v>0</v>
      </c>
      <c r="BD44" s="36">
        <v>0</v>
      </c>
      <c r="BE44" s="36">
        <v>0</v>
      </c>
      <c r="BF44" s="36">
        <v>0</v>
      </c>
      <c r="BG44" s="36">
        <v>0</v>
      </c>
      <c r="BH44" s="36">
        <v>0</v>
      </c>
      <c r="BI44" s="36">
        <v>0</v>
      </c>
      <c r="BJ44" s="36">
        <v>0</v>
      </c>
      <c r="BK44" s="40">
        <v>0</v>
      </c>
      <c r="BL44" s="40">
        <v>0</v>
      </c>
      <c r="BM44" s="40">
        <v>0</v>
      </c>
      <c r="BN44" s="40">
        <v>0</v>
      </c>
      <c r="BO44" s="40">
        <v>0</v>
      </c>
      <c r="BP44" s="40">
        <v>0</v>
      </c>
      <c r="BQ44" s="40">
        <v>0</v>
      </c>
      <c r="BR44" s="40">
        <v>0</v>
      </c>
      <c r="BS44" s="40">
        <v>0</v>
      </c>
      <c r="BT44" s="40">
        <v>0</v>
      </c>
      <c r="BU44" s="40">
        <v>0</v>
      </c>
      <c r="BV44" s="40">
        <v>0</v>
      </c>
      <c r="BW44" s="40">
        <v>0</v>
      </c>
      <c r="BX44" s="40">
        <v>0</v>
      </c>
      <c r="BY44" s="40">
        <v>0</v>
      </c>
      <c r="BZ44" s="40">
        <v>0</v>
      </c>
      <c r="CA44" s="40">
        <v>0</v>
      </c>
      <c r="CB44" s="40">
        <v>0</v>
      </c>
      <c r="CC44" s="40">
        <v>0</v>
      </c>
      <c r="CD44" s="40">
        <v>0</v>
      </c>
      <c r="CE44" s="40">
        <v>0</v>
      </c>
      <c r="CF44" s="40">
        <v>0</v>
      </c>
      <c r="CG44" s="40">
        <v>0</v>
      </c>
      <c r="CH44" s="40">
        <v>0</v>
      </c>
      <c r="CI44" s="40">
        <v>0</v>
      </c>
      <c r="CJ44" s="40">
        <v>0</v>
      </c>
      <c r="CK44" s="40">
        <v>0</v>
      </c>
      <c r="CL44" s="40">
        <v>0</v>
      </c>
      <c r="CM44" s="40">
        <v>0</v>
      </c>
      <c r="CN44" s="40">
        <v>0</v>
      </c>
      <c r="CO44" s="40">
        <v>0</v>
      </c>
      <c r="CP44" s="40">
        <v>0</v>
      </c>
      <c r="CQ44" s="40">
        <v>0</v>
      </c>
      <c r="CR44" s="40">
        <v>0</v>
      </c>
      <c r="CS44" s="40">
        <v>0</v>
      </c>
      <c r="CT44" s="40">
        <v>0</v>
      </c>
      <c r="CU44" s="40">
        <v>0</v>
      </c>
      <c r="CV44" s="40">
        <v>0</v>
      </c>
      <c r="CW44" s="40">
        <v>0</v>
      </c>
      <c r="CX44" s="40">
        <v>0</v>
      </c>
      <c r="CY44" s="40">
        <v>0</v>
      </c>
      <c r="CZ44" s="40">
        <v>0</v>
      </c>
      <c r="DA44" s="40">
        <v>0</v>
      </c>
      <c r="DB44" s="40">
        <v>0</v>
      </c>
      <c r="DC44" s="40">
        <v>0</v>
      </c>
      <c r="DD44" s="40">
        <v>0</v>
      </c>
      <c r="DE44" s="40">
        <v>0</v>
      </c>
      <c r="DF44" s="40">
        <v>0</v>
      </c>
      <c r="DG44" s="40">
        <v>0</v>
      </c>
      <c r="DH44" s="40">
        <v>0</v>
      </c>
      <c r="DI44" s="40">
        <v>0</v>
      </c>
      <c r="DJ44" s="40">
        <v>0</v>
      </c>
      <c r="DK44" s="40">
        <v>0</v>
      </c>
      <c r="DL44" s="40">
        <v>0</v>
      </c>
      <c r="DM44" s="40">
        <v>0</v>
      </c>
      <c r="DN44" s="40">
        <v>0</v>
      </c>
      <c r="DO44" s="40">
        <v>0</v>
      </c>
      <c r="DP44" s="40">
        <v>0</v>
      </c>
      <c r="DQ44" s="40">
        <v>0</v>
      </c>
      <c r="DR44" s="40">
        <v>0</v>
      </c>
      <c r="DS44" s="40">
        <v>0</v>
      </c>
      <c r="DT44" s="40">
        <v>0</v>
      </c>
      <c r="DU44" s="40">
        <v>0</v>
      </c>
      <c r="DV44" s="40">
        <v>0</v>
      </c>
      <c r="DW44" s="40">
        <v>0</v>
      </c>
      <c r="DX44" s="40">
        <v>0</v>
      </c>
      <c r="DY44" s="40">
        <v>0</v>
      </c>
      <c r="DZ44" s="40">
        <v>0</v>
      </c>
      <c r="EA44" s="40">
        <v>0</v>
      </c>
      <c r="EB44" s="40">
        <v>0</v>
      </c>
      <c r="EC44" s="40">
        <v>0</v>
      </c>
      <c r="ED44" s="40">
        <v>0</v>
      </c>
      <c r="EE44" s="40">
        <v>0</v>
      </c>
      <c r="EF44" s="40">
        <v>0</v>
      </c>
      <c r="EG44" s="40">
        <v>0</v>
      </c>
      <c r="EH44" s="40">
        <v>0</v>
      </c>
      <c r="EI44" s="40">
        <v>0</v>
      </c>
      <c r="EJ44" s="40">
        <v>0</v>
      </c>
      <c r="EK44" s="40">
        <v>0</v>
      </c>
      <c r="EL44" s="40">
        <v>0</v>
      </c>
      <c r="EM44" s="40">
        <v>35484.086192006063</v>
      </c>
      <c r="EN44" s="40">
        <v>98117.900490222179</v>
      </c>
      <c r="EO44" s="40">
        <v>0</v>
      </c>
      <c r="EP44" s="40">
        <v>0</v>
      </c>
      <c r="EQ44" s="40">
        <v>0</v>
      </c>
      <c r="ER44" s="40">
        <v>0</v>
      </c>
      <c r="ES44" s="40">
        <v>0</v>
      </c>
      <c r="ET44" s="40">
        <v>0</v>
      </c>
      <c r="EU44" s="40">
        <v>0</v>
      </c>
      <c r="EV44" s="40">
        <v>0</v>
      </c>
      <c r="EW44" s="40">
        <v>0</v>
      </c>
      <c r="EX44" s="40">
        <v>0</v>
      </c>
      <c r="EY44" s="40">
        <v>0</v>
      </c>
      <c r="EZ44" s="40">
        <v>0</v>
      </c>
      <c r="FA44" s="40">
        <v>0</v>
      </c>
      <c r="FB44" s="40">
        <v>0</v>
      </c>
      <c r="FC44" s="40">
        <v>0</v>
      </c>
      <c r="FD44" s="40">
        <v>0</v>
      </c>
      <c r="FE44" s="40">
        <v>0</v>
      </c>
      <c r="FF44" s="40">
        <v>1018.5416583766324</v>
      </c>
      <c r="FG44" s="40">
        <v>0</v>
      </c>
      <c r="FH44" s="40">
        <v>0</v>
      </c>
      <c r="FI44" s="40">
        <v>0</v>
      </c>
      <c r="FJ44" s="40">
        <v>0</v>
      </c>
      <c r="FK44" s="40">
        <v>0</v>
      </c>
      <c r="FL44" s="40">
        <v>21001.010020916754</v>
      </c>
      <c r="FM44" s="40">
        <v>1157.766777147539</v>
      </c>
      <c r="FN44" s="40">
        <v>0</v>
      </c>
      <c r="FO44" s="36">
        <v>0</v>
      </c>
      <c r="FP44" s="36">
        <v>0</v>
      </c>
      <c r="FQ44" s="36">
        <v>0</v>
      </c>
      <c r="FR44" s="36">
        <v>0</v>
      </c>
      <c r="FS44" s="36">
        <v>0</v>
      </c>
      <c r="FT44" s="36">
        <v>0</v>
      </c>
      <c r="FU44" s="36">
        <v>0</v>
      </c>
      <c r="FV44" s="36">
        <v>0</v>
      </c>
      <c r="FW44" s="36">
        <v>0</v>
      </c>
      <c r="FX44" s="36">
        <v>0</v>
      </c>
      <c r="FY44" s="36">
        <v>0</v>
      </c>
      <c r="FZ44" s="36">
        <v>0</v>
      </c>
      <c r="GA44" s="36">
        <v>0</v>
      </c>
      <c r="GB44" s="36">
        <v>0</v>
      </c>
      <c r="GC44" s="36">
        <v>0</v>
      </c>
      <c r="GD44" s="36">
        <v>0</v>
      </c>
      <c r="GE44" s="36">
        <v>0</v>
      </c>
      <c r="GF44" s="36">
        <v>0</v>
      </c>
      <c r="GG44" s="36"/>
      <c r="GH44" s="36"/>
      <c r="GI44" s="36"/>
      <c r="GJ44" s="36"/>
      <c r="GK44" s="36"/>
      <c r="GL44" s="36"/>
      <c r="GM44" s="36"/>
      <c r="GN44" s="36"/>
      <c r="GO44" s="36"/>
      <c r="GP44" s="36"/>
      <c r="GQ44" s="36"/>
      <c r="GR44" s="36"/>
      <c r="GS44" s="36"/>
      <c r="GT44" s="36"/>
      <c r="GU44" s="36">
        <v>0</v>
      </c>
      <c r="GV44" s="36">
        <v>0</v>
      </c>
      <c r="GW44" s="36">
        <v>0</v>
      </c>
      <c r="GX44" s="36">
        <v>0</v>
      </c>
      <c r="GY44" s="36">
        <v>0</v>
      </c>
      <c r="GZ44" s="36">
        <v>0</v>
      </c>
      <c r="HA44" s="36">
        <v>0</v>
      </c>
      <c r="HB44" s="36">
        <v>0</v>
      </c>
      <c r="HC44" s="36">
        <f t="shared" si="0"/>
        <v>156779.30513866918</v>
      </c>
      <c r="HD44" s="36">
        <f>SUM(AO$5:AO$213)</f>
        <v>156779.30513866918</v>
      </c>
      <c r="HE44" s="41">
        <v>0</v>
      </c>
    </row>
    <row r="45" spans="1:213" hidden="1" outlineLevel="1" x14ac:dyDescent="0.2">
      <c r="A45" s="9" t="s">
        <v>344</v>
      </c>
      <c r="B45" s="36">
        <v>0</v>
      </c>
      <c r="C45" s="36">
        <v>0</v>
      </c>
      <c r="D45" s="36">
        <v>0</v>
      </c>
      <c r="E45" s="36">
        <v>0</v>
      </c>
      <c r="F45" s="36">
        <v>0</v>
      </c>
      <c r="G45" s="36">
        <v>0</v>
      </c>
      <c r="H45" s="36">
        <v>0</v>
      </c>
      <c r="I45" s="36">
        <v>0</v>
      </c>
      <c r="J45" s="36">
        <v>0</v>
      </c>
      <c r="K45" s="36">
        <v>0</v>
      </c>
      <c r="L45" s="36">
        <v>0</v>
      </c>
      <c r="M45" s="36">
        <v>0</v>
      </c>
      <c r="N45" s="36">
        <v>0</v>
      </c>
      <c r="O45" s="36">
        <v>0</v>
      </c>
      <c r="P45" s="36">
        <v>0</v>
      </c>
      <c r="Q45" s="36">
        <v>0</v>
      </c>
      <c r="R45" s="36">
        <v>0</v>
      </c>
      <c r="S45" s="36">
        <v>0</v>
      </c>
      <c r="T45" s="36">
        <v>0</v>
      </c>
      <c r="U45" s="36">
        <v>0</v>
      </c>
      <c r="V45" s="36">
        <v>0</v>
      </c>
      <c r="W45" s="36">
        <v>0</v>
      </c>
      <c r="X45" s="36">
        <v>0</v>
      </c>
      <c r="Y45" s="36">
        <v>0</v>
      </c>
      <c r="Z45" s="36">
        <v>0</v>
      </c>
      <c r="AA45" s="36">
        <v>0</v>
      </c>
      <c r="AB45" s="36">
        <v>0</v>
      </c>
      <c r="AC45" s="36">
        <v>0</v>
      </c>
      <c r="AD45" s="36">
        <v>0</v>
      </c>
      <c r="AE45" s="36">
        <v>0</v>
      </c>
      <c r="AF45" s="36">
        <v>0</v>
      </c>
      <c r="AG45" s="36">
        <v>0</v>
      </c>
      <c r="AH45" s="36">
        <v>0</v>
      </c>
      <c r="AI45" s="36">
        <v>0</v>
      </c>
      <c r="AJ45" s="36">
        <v>0</v>
      </c>
      <c r="AK45" s="36">
        <v>0</v>
      </c>
      <c r="AL45" s="36">
        <v>0</v>
      </c>
      <c r="AM45" s="36">
        <v>0</v>
      </c>
      <c r="AN45" s="36">
        <v>0</v>
      </c>
      <c r="AO45" s="36">
        <v>0</v>
      </c>
      <c r="AP45" s="36">
        <v>0</v>
      </c>
      <c r="AQ45" s="36">
        <v>0</v>
      </c>
      <c r="AR45" s="36">
        <v>0</v>
      </c>
      <c r="AS45" s="36">
        <v>0</v>
      </c>
      <c r="AT45" s="36">
        <v>0</v>
      </c>
      <c r="AU45" s="36">
        <v>0</v>
      </c>
      <c r="AV45" s="36">
        <v>0</v>
      </c>
      <c r="AW45" s="36">
        <v>0</v>
      </c>
      <c r="AX45" s="36">
        <v>0</v>
      </c>
      <c r="AY45" s="36">
        <v>0</v>
      </c>
      <c r="AZ45" s="36">
        <v>0</v>
      </c>
      <c r="BA45" s="36">
        <v>0</v>
      </c>
      <c r="BB45" s="36">
        <v>0</v>
      </c>
      <c r="BC45" s="36">
        <v>0</v>
      </c>
      <c r="BD45" s="36">
        <v>0</v>
      </c>
      <c r="BE45" s="36">
        <v>0</v>
      </c>
      <c r="BF45" s="36">
        <v>0</v>
      </c>
      <c r="BG45" s="36">
        <v>0</v>
      </c>
      <c r="BH45" s="36">
        <v>0</v>
      </c>
      <c r="BI45" s="36">
        <v>0</v>
      </c>
      <c r="BJ45" s="36">
        <v>0</v>
      </c>
      <c r="BK45" s="40">
        <v>0</v>
      </c>
      <c r="BL45" s="40">
        <v>0</v>
      </c>
      <c r="BM45" s="40">
        <v>0</v>
      </c>
      <c r="BN45" s="40">
        <v>0</v>
      </c>
      <c r="BO45" s="40">
        <v>0</v>
      </c>
      <c r="BP45" s="40">
        <v>0</v>
      </c>
      <c r="BQ45" s="40">
        <v>0</v>
      </c>
      <c r="BR45" s="40">
        <v>0</v>
      </c>
      <c r="BS45" s="40">
        <v>0</v>
      </c>
      <c r="BT45" s="40">
        <v>0</v>
      </c>
      <c r="BU45" s="40">
        <v>0</v>
      </c>
      <c r="BV45" s="40">
        <v>0</v>
      </c>
      <c r="BW45" s="40">
        <v>0</v>
      </c>
      <c r="BX45" s="40">
        <v>0</v>
      </c>
      <c r="BY45" s="40">
        <v>0</v>
      </c>
      <c r="BZ45" s="40">
        <v>0</v>
      </c>
      <c r="CA45" s="40">
        <v>0</v>
      </c>
      <c r="CB45" s="40">
        <v>0</v>
      </c>
      <c r="CC45" s="40">
        <v>0</v>
      </c>
      <c r="CD45" s="40">
        <v>0</v>
      </c>
      <c r="CE45" s="40">
        <v>0</v>
      </c>
      <c r="CF45" s="40">
        <v>0</v>
      </c>
      <c r="CG45" s="40">
        <v>0</v>
      </c>
      <c r="CH45" s="40">
        <v>0</v>
      </c>
      <c r="CI45" s="40">
        <v>0</v>
      </c>
      <c r="CJ45" s="40">
        <v>0</v>
      </c>
      <c r="CK45" s="40">
        <v>0</v>
      </c>
      <c r="CL45" s="40">
        <v>0</v>
      </c>
      <c r="CM45" s="40">
        <v>0</v>
      </c>
      <c r="CN45" s="40">
        <v>0</v>
      </c>
      <c r="CO45" s="40">
        <v>0</v>
      </c>
      <c r="CP45" s="40">
        <v>0</v>
      </c>
      <c r="CQ45" s="40">
        <v>0</v>
      </c>
      <c r="CR45" s="40">
        <v>0</v>
      </c>
      <c r="CS45" s="40">
        <v>0</v>
      </c>
      <c r="CT45" s="40">
        <v>0</v>
      </c>
      <c r="CU45" s="40">
        <v>0</v>
      </c>
      <c r="CV45" s="40">
        <v>0</v>
      </c>
      <c r="CW45" s="40">
        <v>0</v>
      </c>
      <c r="CX45" s="40">
        <v>0</v>
      </c>
      <c r="CY45" s="40">
        <v>0</v>
      </c>
      <c r="CZ45" s="40">
        <v>0</v>
      </c>
      <c r="DA45" s="40">
        <v>0</v>
      </c>
      <c r="DB45" s="40">
        <v>0</v>
      </c>
      <c r="DC45" s="40">
        <v>0</v>
      </c>
      <c r="DD45" s="40">
        <v>0</v>
      </c>
      <c r="DE45" s="40">
        <v>0</v>
      </c>
      <c r="DF45" s="40">
        <v>0</v>
      </c>
      <c r="DG45" s="40">
        <v>0</v>
      </c>
      <c r="DH45" s="40">
        <v>0</v>
      </c>
      <c r="DI45" s="40">
        <v>0</v>
      </c>
      <c r="DJ45" s="40">
        <v>0</v>
      </c>
      <c r="DK45" s="40">
        <v>0</v>
      </c>
      <c r="DL45" s="40">
        <v>0</v>
      </c>
      <c r="DM45" s="40">
        <v>0</v>
      </c>
      <c r="DN45" s="40">
        <v>0</v>
      </c>
      <c r="DO45" s="40">
        <v>0</v>
      </c>
      <c r="DP45" s="40">
        <v>0</v>
      </c>
      <c r="DQ45" s="40">
        <v>0</v>
      </c>
      <c r="DR45" s="40">
        <v>0</v>
      </c>
      <c r="DS45" s="40">
        <v>0</v>
      </c>
      <c r="DT45" s="40">
        <v>0</v>
      </c>
      <c r="DU45" s="40">
        <v>0</v>
      </c>
      <c r="DV45" s="40">
        <v>0</v>
      </c>
      <c r="DW45" s="40">
        <v>0</v>
      </c>
      <c r="DX45" s="40">
        <v>0</v>
      </c>
      <c r="DY45" s="40">
        <v>0</v>
      </c>
      <c r="DZ45" s="40">
        <v>0</v>
      </c>
      <c r="EA45" s="40">
        <v>0</v>
      </c>
      <c r="EB45" s="40">
        <v>0</v>
      </c>
      <c r="EC45" s="40">
        <v>0</v>
      </c>
      <c r="ED45" s="40">
        <v>0</v>
      </c>
      <c r="EE45" s="40">
        <v>0</v>
      </c>
      <c r="EF45" s="40">
        <v>0</v>
      </c>
      <c r="EG45" s="40">
        <v>0</v>
      </c>
      <c r="EH45" s="40">
        <v>0</v>
      </c>
      <c r="EI45" s="40">
        <v>0</v>
      </c>
      <c r="EJ45" s="40">
        <v>0</v>
      </c>
      <c r="EK45" s="40">
        <v>0</v>
      </c>
      <c r="EL45" s="40">
        <v>0</v>
      </c>
      <c r="EM45" s="40">
        <v>0</v>
      </c>
      <c r="EN45" s="40">
        <v>0</v>
      </c>
      <c r="EO45" s="40">
        <v>74990.696885430836</v>
      </c>
      <c r="EP45" s="40">
        <v>213324.37193685601</v>
      </c>
      <c r="EQ45" s="40">
        <v>6721.5768868634414</v>
      </c>
      <c r="ER45" s="40">
        <v>0</v>
      </c>
      <c r="ES45" s="40">
        <v>0</v>
      </c>
      <c r="ET45" s="40">
        <v>0</v>
      </c>
      <c r="EU45" s="40">
        <v>0</v>
      </c>
      <c r="EV45" s="40">
        <v>0</v>
      </c>
      <c r="EW45" s="40">
        <v>0</v>
      </c>
      <c r="EX45" s="40">
        <v>0</v>
      </c>
      <c r="EY45" s="40">
        <v>0</v>
      </c>
      <c r="EZ45" s="40">
        <v>0</v>
      </c>
      <c r="FA45" s="40">
        <v>0</v>
      </c>
      <c r="FB45" s="40">
        <v>0</v>
      </c>
      <c r="FC45" s="40">
        <v>0</v>
      </c>
      <c r="FD45" s="40">
        <v>0</v>
      </c>
      <c r="FE45" s="40">
        <v>0</v>
      </c>
      <c r="FF45" s="40">
        <v>0</v>
      </c>
      <c r="FG45" s="40">
        <v>0</v>
      </c>
      <c r="FH45" s="40">
        <v>0</v>
      </c>
      <c r="FI45" s="40">
        <v>0</v>
      </c>
      <c r="FJ45" s="40">
        <v>0</v>
      </c>
      <c r="FK45" s="40">
        <v>0</v>
      </c>
      <c r="FL45" s="40">
        <v>0</v>
      </c>
      <c r="FM45" s="40">
        <v>0</v>
      </c>
      <c r="FN45" s="40">
        <v>0</v>
      </c>
      <c r="FO45" s="36">
        <v>0</v>
      </c>
      <c r="FP45" s="36">
        <v>0</v>
      </c>
      <c r="FQ45" s="36">
        <v>0</v>
      </c>
      <c r="FR45" s="36">
        <v>0</v>
      </c>
      <c r="FS45" s="36">
        <v>0</v>
      </c>
      <c r="FT45" s="36">
        <v>0</v>
      </c>
      <c r="FU45" s="36">
        <v>0</v>
      </c>
      <c r="FV45" s="36">
        <v>0</v>
      </c>
      <c r="FW45" s="36">
        <v>0</v>
      </c>
      <c r="FX45" s="36">
        <v>0</v>
      </c>
      <c r="FY45" s="36">
        <v>0</v>
      </c>
      <c r="FZ45" s="36">
        <v>0</v>
      </c>
      <c r="GA45" s="36">
        <v>0</v>
      </c>
      <c r="GB45" s="36">
        <v>0</v>
      </c>
      <c r="GC45" s="36">
        <v>0</v>
      </c>
      <c r="GD45" s="36">
        <v>0</v>
      </c>
      <c r="GE45" s="36">
        <v>0</v>
      </c>
      <c r="GF45" s="36">
        <v>0</v>
      </c>
      <c r="GG45" s="36"/>
      <c r="GH45" s="36"/>
      <c r="GI45" s="36"/>
      <c r="GJ45" s="36"/>
      <c r="GK45" s="36"/>
      <c r="GL45" s="36"/>
      <c r="GM45" s="36"/>
      <c r="GN45" s="36"/>
      <c r="GO45" s="36"/>
      <c r="GP45" s="36"/>
      <c r="GQ45" s="36"/>
      <c r="GR45" s="36"/>
      <c r="GS45" s="36"/>
      <c r="GT45" s="36"/>
      <c r="GU45" s="36">
        <v>0</v>
      </c>
      <c r="GV45" s="36">
        <v>0</v>
      </c>
      <c r="GW45" s="36">
        <v>0</v>
      </c>
      <c r="GX45" s="36">
        <v>0</v>
      </c>
      <c r="GY45" s="36">
        <v>0</v>
      </c>
      <c r="GZ45" s="36">
        <v>0</v>
      </c>
      <c r="HA45" s="36">
        <v>0</v>
      </c>
      <c r="HB45" s="36">
        <v>0</v>
      </c>
      <c r="HC45" s="36">
        <f t="shared" si="0"/>
        <v>295036.6457091503</v>
      </c>
      <c r="HD45" s="36">
        <f>SUM(AP$5:AP$213)</f>
        <v>295036.64570915024</v>
      </c>
      <c r="HE45" s="41">
        <v>0</v>
      </c>
    </row>
    <row r="46" spans="1:213" hidden="1" outlineLevel="1" x14ac:dyDescent="0.2">
      <c r="A46" s="9" t="s">
        <v>349</v>
      </c>
      <c r="B46" s="36">
        <v>0</v>
      </c>
      <c r="C46" s="36">
        <v>0</v>
      </c>
      <c r="D46" s="36">
        <v>0</v>
      </c>
      <c r="E46" s="36">
        <v>0</v>
      </c>
      <c r="F46" s="36">
        <v>0</v>
      </c>
      <c r="G46" s="36">
        <v>0</v>
      </c>
      <c r="H46" s="36">
        <v>0</v>
      </c>
      <c r="I46" s="36">
        <v>0</v>
      </c>
      <c r="J46" s="36">
        <v>0</v>
      </c>
      <c r="K46" s="36">
        <v>0</v>
      </c>
      <c r="L46" s="36">
        <v>0</v>
      </c>
      <c r="M46" s="36">
        <v>0</v>
      </c>
      <c r="N46" s="36">
        <v>0</v>
      </c>
      <c r="O46" s="36">
        <v>0</v>
      </c>
      <c r="P46" s="36">
        <v>0</v>
      </c>
      <c r="Q46" s="36">
        <v>0</v>
      </c>
      <c r="R46" s="36">
        <v>0</v>
      </c>
      <c r="S46" s="36">
        <v>0</v>
      </c>
      <c r="T46" s="36">
        <v>0</v>
      </c>
      <c r="U46" s="36">
        <v>0</v>
      </c>
      <c r="V46" s="36">
        <v>0</v>
      </c>
      <c r="W46" s="36">
        <v>0</v>
      </c>
      <c r="X46" s="36">
        <v>0</v>
      </c>
      <c r="Y46" s="36">
        <v>0</v>
      </c>
      <c r="Z46" s="36">
        <v>0</v>
      </c>
      <c r="AA46" s="36">
        <v>0</v>
      </c>
      <c r="AB46" s="36">
        <v>0</v>
      </c>
      <c r="AC46" s="36">
        <v>0</v>
      </c>
      <c r="AD46" s="36">
        <v>0</v>
      </c>
      <c r="AE46" s="36">
        <v>0</v>
      </c>
      <c r="AF46" s="36">
        <v>0</v>
      </c>
      <c r="AG46" s="36">
        <v>0</v>
      </c>
      <c r="AH46" s="36">
        <v>0</v>
      </c>
      <c r="AI46" s="36">
        <v>0</v>
      </c>
      <c r="AJ46" s="36">
        <v>0</v>
      </c>
      <c r="AK46" s="36">
        <v>0</v>
      </c>
      <c r="AL46" s="36">
        <v>0</v>
      </c>
      <c r="AM46" s="36">
        <v>0</v>
      </c>
      <c r="AN46" s="36">
        <v>0</v>
      </c>
      <c r="AO46" s="36">
        <v>0</v>
      </c>
      <c r="AP46" s="36">
        <v>0</v>
      </c>
      <c r="AQ46" s="36">
        <v>0</v>
      </c>
      <c r="AR46" s="36">
        <v>0</v>
      </c>
      <c r="AS46" s="36">
        <v>0</v>
      </c>
      <c r="AT46" s="36">
        <v>0</v>
      </c>
      <c r="AU46" s="36">
        <v>0</v>
      </c>
      <c r="AV46" s="36">
        <v>0</v>
      </c>
      <c r="AW46" s="36">
        <v>0</v>
      </c>
      <c r="AX46" s="36">
        <v>0</v>
      </c>
      <c r="AY46" s="36">
        <v>0</v>
      </c>
      <c r="AZ46" s="36">
        <v>0</v>
      </c>
      <c r="BA46" s="36">
        <v>0</v>
      </c>
      <c r="BB46" s="36">
        <v>0</v>
      </c>
      <c r="BC46" s="36">
        <v>0</v>
      </c>
      <c r="BD46" s="36">
        <v>0</v>
      </c>
      <c r="BE46" s="36">
        <v>0</v>
      </c>
      <c r="BF46" s="36">
        <v>0</v>
      </c>
      <c r="BG46" s="36">
        <v>0</v>
      </c>
      <c r="BH46" s="36">
        <v>0</v>
      </c>
      <c r="BI46" s="36">
        <v>0</v>
      </c>
      <c r="BJ46" s="36">
        <v>0</v>
      </c>
      <c r="BK46" s="40">
        <v>0</v>
      </c>
      <c r="BL46" s="40">
        <v>0</v>
      </c>
      <c r="BM46" s="40">
        <v>0</v>
      </c>
      <c r="BN46" s="40">
        <v>0</v>
      </c>
      <c r="BO46" s="40">
        <v>0</v>
      </c>
      <c r="BP46" s="40">
        <v>0</v>
      </c>
      <c r="BQ46" s="40">
        <v>0</v>
      </c>
      <c r="BR46" s="40">
        <v>0</v>
      </c>
      <c r="BS46" s="40">
        <v>0</v>
      </c>
      <c r="BT46" s="40">
        <v>0</v>
      </c>
      <c r="BU46" s="40">
        <v>0</v>
      </c>
      <c r="BV46" s="40">
        <v>0</v>
      </c>
      <c r="BW46" s="40">
        <v>0</v>
      </c>
      <c r="BX46" s="40">
        <v>0</v>
      </c>
      <c r="BY46" s="40">
        <v>0</v>
      </c>
      <c r="BZ46" s="40">
        <v>0</v>
      </c>
      <c r="CA46" s="40">
        <v>0</v>
      </c>
      <c r="CB46" s="40">
        <v>0</v>
      </c>
      <c r="CC46" s="40">
        <v>0</v>
      </c>
      <c r="CD46" s="40">
        <v>0</v>
      </c>
      <c r="CE46" s="40">
        <v>0</v>
      </c>
      <c r="CF46" s="40">
        <v>0</v>
      </c>
      <c r="CG46" s="40">
        <v>0</v>
      </c>
      <c r="CH46" s="40">
        <v>0</v>
      </c>
      <c r="CI46" s="40">
        <v>0</v>
      </c>
      <c r="CJ46" s="40">
        <v>0</v>
      </c>
      <c r="CK46" s="40">
        <v>0</v>
      </c>
      <c r="CL46" s="40">
        <v>0</v>
      </c>
      <c r="CM46" s="40">
        <v>0</v>
      </c>
      <c r="CN46" s="40">
        <v>0</v>
      </c>
      <c r="CO46" s="40">
        <v>0</v>
      </c>
      <c r="CP46" s="40">
        <v>0</v>
      </c>
      <c r="CQ46" s="40">
        <v>0</v>
      </c>
      <c r="CR46" s="40">
        <v>0</v>
      </c>
      <c r="CS46" s="40">
        <v>0</v>
      </c>
      <c r="CT46" s="40">
        <v>0</v>
      </c>
      <c r="CU46" s="40">
        <v>0</v>
      </c>
      <c r="CV46" s="40">
        <v>0</v>
      </c>
      <c r="CW46" s="40">
        <v>0</v>
      </c>
      <c r="CX46" s="40">
        <v>0</v>
      </c>
      <c r="CY46" s="40">
        <v>0</v>
      </c>
      <c r="CZ46" s="40">
        <v>0</v>
      </c>
      <c r="DA46" s="40">
        <v>0</v>
      </c>
      <c r="DB46" s="40">
        <v>0</v>
      </c>
      <c r="DC46" s="40">
        <v>0</v>
      </c>
      <c r="DD46" s="40">
        <v>0</v>
      </c>
      <c r="DE46" s="40">
        <v>0</v>
      </c>
      <c r="DF46" s="40">
        <v>0</v>
      </c>
      <c r="DG46" s="40">
        <v>0</v>
      </c>
      <c r="DH46" s="40">
        <v>0</v>
      </c>
      <c r="DI46" s="40">
        <v>0</v>
      </c>
      <c r="DJ46" s="40">
        <v>0</v>
      </c>
      <c r="DK46" s="40">
        <v>0</v>
      </c>
      <c r="DL46" s="40">
        <v>0</v>
      </c>
      <c r="DM46" s="40">
        <v>0</v>
      </c>
      <c r="DN46" s="40">
        <v>0</v>
      </c>
      <c r="DO46" s="40">
        <v>0</v>
      </c>
      <c r="DP46" s="40">
        <v>0</v>
      </c>
      <c r="DQ46" s="40">
        <v>0</v>
      </c>
      <c r="DR46" s="40">
        <v>0</v>
      </c>
      <c r="DS46" s="40">
        <v>0</v>
      </c>
      <c r="DT46" s="40">
        <v>0</v>
      </c>
      <c r="DU46" s="40">
        <v>0</v>
      </c>
      <c r="DV46" s="40">
        <v>0</v>
      </c>
      <c r="DW46" s="40">
        <v>0</v>
      </c>
      <c r="DX46" s="40">
        <v>0</v>
      </c>
      <c r="DY46" s="40">
        <v>0</v>
      </c>
      <c r="DZ46" s="40">
        <v>0</v>
      </c>
      <c r="EA46" s="40">
        <v>0</v>
      </c>
      <c r="EB46" s="40">
        <v>0</v>
      </c>
      <c r="EC46" s="40">
        <v>0</v>
      </c>
      <c r="ED46" s="40">
        <v>0</v>
      </c>
      <c r="EE46" s="40">
        <v>0</v>
      </c>
      <c r="EF46" s="40">
        <v>0</v>
      </c>
      <c r="EG46" s="40">
        <v>0</v>
      </c>
      <c r="EH46" s="40">
        <v>0</v>
      </c>
      <c r="EI46" s="40">
        <v>0</v>
      </c>
      <c r="EJ46" s="40">
        <v>0</v>
      </c>
      <c r="EK46" s="40">
        <v>0</v>
      </c>
      <c r="EL46" s="40">
        <v>0</v>
      </c>
      <c r="EM46" s="40">
        <v>0</v>
      </c>
      <c r="EN46" s="40">
        <v>0</v>
      </c>
      <c r="EO46" s="40">
        <v>3182.1679738061162</v>
      </c>
      <c r="EP46" s="40">
        <v>2650.2234766922575</v>
      </c>
      <c r="EQ46" s="40">
        <v>1063.8889942277162</v>
      </c>
      <c r="ER46" s="40">
        <v>0</v>
      </c>
      <c r="ES46" s="40">
        <v>0</v>
      </c>
      <c r="ET46" s="40">
        <v>0</v>
      </c>
      <c r="EU46" s="40">
        <v>0</v>
      </c>
      <c r="EV46" s="40">
        <v>0</v>
      </c>
      <c r="EW46" s="40">
        <v>0</v>
      </c>
      <c r="EX46" s="40">
        <v>0</v>
      </c>
      <c r="EY46" s="40">
        <v>0</v>
      </c>
      <c r="EZ46" s="40">
        <v>0</v>
      </c>
      <c r="FA46" s="40">
        <v>0</v>
      </c>
      <c r="FB46" s="40">
        <v>0</v>
      </c>
      <c r="FC46" s="40">
        <v>0</v>
      </c>
      <c r="FD46" s="40">
        <v>0</v>
      </c>
      <c r="FE46" s="40">
        <v>0</v>
      </c>
      <c r="FF46" s="40">
        <v>0</v>
      </c>
      <c r="FG46" s="40">
        <v>0</v>
      </c>
      <c r="FH46" s="40">
        <v>0</v>
      </c>
      <c r="FI46" s="40">
        <v>0</v>
      </c>
      <c r="FJ46" s="40">
        <v>0</v>
      </c>
      <c r="FK46" s="40">
        <v>0</v>
      </c>
      <c r="FL46" s="40">
        <v>0</v>
      </c>
      <c r="FM46" s="40">
        <v>0</v>
      </c>
      <c r="FN46" s="40">
        <v>0</v>
      </c>
      <c r="FO46" s="36">
        <v>0</v>
      </c>
      <c r="FP46" s="36">
        <v>0</v>
      </c>
      <c r="FQ46" s="36">
        <v>0</v>
      </c>
      <c r="FR46" s="36">
        <v>0</v>
      </c>
      <c r="FS46" s="36">
        <v>0</v>
      </c>
      <c r="FT46" s="36">
        <v>0</v>
      </c>
      <c r="FU46" s="36">
        <v>0</v>
      </c>
      <c r="FV46" s="36">
        <v>0</v>
      </c>
      <c r="FW46" s="36">
        <v>0</v>
      </c>
      <c r="FX46" s="36">
        <v>0</v>
      </c>
      <c r="FY46" s="36">
        <v>0</v>
      </c>
      <c r="FZ46" s="36">
        <v>0</v>
      </c>
      <c r="GA46" s="36">
        <v>0</v>
      </c>
      <c r="GB46" s="36">
        <v>0</v>
      </c>
      <c r="GC46" s="36">
        <v>0</v>
      </c>
      <c r="GD46" s="36">
        <v>0</v>
      </c>
      <c r="GE46" s="36">
        <v>0</v>
      </c>
      <c r="GF46" s="36">
        <v>0</v>
      </c>
      <c r="GG46" s="36"/>
      <c r="GH46" s="36"/>
      <c r="GI46" s="36"/>
      <c r="GJ46" s="36"/>
      <c r="GK46" s="36"/>
      <c r="GL46" s="36"/>
      <c r="GM46" s="36"/>
      <c r="GN46" s="36"/>
      <c r="GO46" s="36"/>
      <c r="GP46" s="36"/>
      <c r="GQ46" s="36"/>
      <c r="GR46" s="36"/>
      <c r="GS46" s="36"/>
      <c r="GT46" s="36"/>
      <c r="GU46" s="36">
        <v>0</v>
      </c>
      <c r="GV46" s="36">
        <v>0</v>
      </c>
      <c r="GW46" s="36">
        <v>0</v>
      </c>
      <c r="GX46" s="36">
        <v>0</v>
      </c>
      <c r="GY46" s="36">
        <v>0</v>
      </c>
      <c r="GZ46" s="36">
        <v>0</v>
      </c>
      <c r="HA46" s="36">
        <v>0</v>
      </c>
      <c r="HB46" s="36">
        <v>0</v>
      </c>
      <c r="HC46" s="36">
        <f t="shared" si="0"/>
        <v>6896.2804447260896</v>
      </c>
      <c r="HD46" s="36">
        <f>SUM(AQ$5:AQ$213)</f>
        <v>6896.2804447260914</v>
      </c>
      <c r="HE46" s="41">
        <v>0</v>
      </c>
    </row>
    <row r="47" spans="1:213" hidden="1" outlineLevel="1" x14ac:dyDescent="0.2">
      <c r="A47" s="9" t="s">
        <v>355</v>
      </c>
      <c r="B47" s="36">
        <v>0</v>
      </c>
      <c r="C47" s="36">
        <v>0</v>
      </c>
      <c r="D47" s="36">
        <v>0</v>
      </c>
      <c r="E47" s="36">
        <v>0</v>
      </c>
      <c r="F47" s="36">
        <v>0</v>
      </c>
      <c r="G47" s="36">
        <v>0</v>
      </c>
      <c r="H47" s="36">
        <v>0</v>
      </c>
      <c r="I47" s="36">
        <v>0</v>
      </c>
      <c r="J47" s="36">
        <v>0</v>
      </c>
      <c r="K47" s="36">
        <v>0</v>
      </c>
      <c r="L47" s="36">
        <v>0</v>
      </c>
      <c r="M47" s="36">
        <v>0</v>
      </c>
      <c r="N47" s="36">
        <v>0</v>
      </c>
      <c r="O47" s="36">
        <v>0</v>
      </c>
      <c r="P47" s="36">
        <v>0</v>
      </c>
      <c r="Q47" s="36">
        <v>0</v>
      </c>
      <c r="R47" s="36">
        <v>0</v>
      </c>
      <c r="S47" s="36">
        <v>0</v>
      </c>
      <c r="T47" s="36">
        <v>0</v>
      </c>
      <c r="U47" s="36">
        <v>0</v>
      </c>
      <c r="V47" s="36">
        <v>0</v>
      </c>
      <c r="W47" s="36">
        <v>0</v>
      </c>
      <c r="X47" s="36">
        <v>0</v>
      </c>
      <c r="Y47" s="36">
        <v>0</v>
      </c>
      <c r="Z47" s="36">
        <v>0</v>
      </c>
      <c r="AA47" s="36">
        <v>0</v>
      </c>
      <c r="AB47" s="36">
        <v>0</v>
      </c>
      <c r="AC47" s="36">
        <v>0</v>
      </c>
      <c r="AD47" s="36">
        <v>0</v>
      </c>
      <c r="AE47" s="36">
        <v>0</v>
      </c>
      <c r="AF47" s="36">
        <v>0</v>
      </c>
      <c r="AG47" s="36">
        <v>0</v>
      </c>
      <c r="AH47" s="36">
        <v>0</v>
      </c>
      <c r="AI47" s="36">
        <v>0</v>
      </c>
      <c r="AJ47" s="36">
        <v>0</v>
      </c>
      <c r="AK47" s="36">
        <v>0</v>
      </c>
      <c r="AL47" s="36">
        <v>0</v>
      </c>
      <c r="AM47" s="36">
        <v>0</v>
      </c>
      <c r="AN47" s="36">
        <v>0</v>
      </c>
      <c r="AO47" s="36">
        <v>0</v>
      </c>
      <c r="AP47" s="36">
        <v>0</v>
      </c>
      <c r="AQ47" s="36">
        <v>0</v>
      </c>
      <c r="AR47" s="36">
        <v>0</v>
      </c>
      <c r="AS47" s="36">
        <v>0</v>
      </c>
      <c r="AT47" s="36">
        <v>0</v>
      </c>
      <c r="AU47" s="36">
        <v>0</v>
      </c>
      <c r="AV47" s="36">
        <v>0</v>
      </c>
      <c r="AW47" s="36">
        <v>0</v>
      </c>
      <c r="AX47" s="36">
        <v>0</v>
      </c>
      <c r="AY47" s="36">
        <v>0</v>
      </c>
      <c r="AZ47" s="36">
        <v>0</v>
      </c>
      <c r="BA47" s="36">
        <v>0</v>
      </c>
      <c r="BB47" s="36">
        <v>0</v>
      </c>
      <c r="BC47" s="36">
        <v>0</v>
      </c>
      <c r="BD47" s="36">
        <v>0</v>
      </c>
      <c r="BE47" s="36">
        <v>0</v>
      </c>
      <c r="BF47" s="36">
        <v>0</v>
      </c>
      <c r="BG47" s="36">
        <v>0</v>
      </c>
      <c r="BH47" s="36">
        <v>0</v>
      </c>
      <c r="BI47" s="36">
        <v>0</v>
      </c>
      <c r="BJ47" s="36">
        <v>0</v>
      </c>
      <c r="BK47" s="40">
        <v>0</v>
      </c>
      <c r="BL47" s="40">
        <v>0</v>
      </c>
      <c r="BM47" s="40">
        <v>0</v>
      </c>
      <c r="BN47" s="40">
        <v>0</v>
      </c>
      <c r="BO47" s="40">
        <v>0</v>
      </c>
      <c r="BP47" s="40">
        <v>0</v>
      </c>
      <c r="BQ47" s="40">
        <v>0</v>
      </c>
      <c r="BR47" s="40">
        <v>0</v>
      </c>
      <c r="BS47" s="40">
        <v>0</v>
      </c>
      <c r="BT47" s="40">
        <v>0</v>
      </c>
      <c r="BU47" s="40">
        <v>0</v>
      </c>
      <c r="BV47" s="40">
        <v>0</v>
      </c>
      <c r="BW47" s="40">
        <v>0</v>
      </c>
      <c r="BX47" s="40">
        <v>0</v>
      </c>
      <c r="BY47" s="40">
        <v>0</v>
      </c>
      <c r="BZ47" s="40">
        <v>0</v>
      </c>
      <c r="CA47" s="40">
        <v>0</v>
      </c>
      <c r="CB47" s="40">
        <v>0</v>
      </c>
      <c r="CC47" s="40">
        <v>0</v>
      </c>
      <c r="CD47" s="40">
        <v>0</v>
      </c>
      <c r="CE47" s="40">
        <v>0</v>
      </c>
      <c r="CF47" s="40">
        <v>0</v>
      </c>
      <c r="CG47" s="40">
        <v>0</v>
      </c>
      <c r="CH47" s="40">
        <v>0</v>
      </c>
      <c r="CI47" s="40">
        <v>0</v>
      </c>
      <c r="CJ47" s="40">
        <v>0</v>
      </c>
      <c r="CK47" s="40">
        <v>0</v>
      </c>
      <c r="CL47" s="40">
        <v>0</v>
      </c>
      <c r="CM47" s="40">
        <v>0</v>
      </c>
      <c r="CN47" s="40">
        <v>0</v>
      </c>
      <c r="CO47" s="40">
        <v>0</v>
      </c>
      <c r="CP47" s="40">
        <v>0</v>
      </c>
      <c r="CQ47" s="40">
        <v>0</v>
      </c>
      <c r="CR47" s="40">
        <v>0</v>
      </c>
      <c r="CS47" s="40">
        <v>0</v>
      </c>
      <c r="CT47" s="40">
        <v>0</v>
      </c>
      <c r="CU47" s="40">
        <v>0</v>
      </c>
      <c r="CV47" s="40">
        <v>0</v>
      </c>
      <c r="CW47" s="40">
        <v>0</v>
      </c>
      <c r="CX47" s="40">
        <v>0</v>
      </c>
      <c r="CY47" s="40">
        <v>0</v>
      </c>
      <c r="CZ47" s="40">
        <v>0</v>
      </c>
      <c r="DA47" s="40">
        <v>0</v>
      </c>
      <c r="DB47" s="40">
        <v>0</v>
      </c>
      <c r="DC47" s="40">
        <v>0</v>
      </c>
      <c r="DD47" s="40">
        <v>0</v>
      </c>
      <c r="DE47" s="40">
        <v>0</v>
      </c>
      <c r="DF47" s="40">
        <v>0</v>
      </c>
      <c r="DG47" s="40">
        <v>0</v>
      </c>
      <c r="DH47" s="40">
        <v>0</v>
      </c>
      <c r="DI47" s="40">
        <v>0</v>
      </c>
      <c r="DJ47" s="40">
        <v>0</v>
      </c>
      <c r="DK47" s="40">
        <v>0</v>
      </c>
      <c r="DL47" s="40">
        <v>0</v>
      </c>
      <c r="DM47" s="40">
        <v>0</v>
      </c>
      <c r="DN47" s="40">
        <v>0</v>
      </c>
      <c r="DO47" s="40">
        <v>0</v>
      </c>
      <c r="DP47" s="40">
        <v>0</v>
      </c>
      <c r="DQ47" s="40">
        <v>0</v>
      </c>
      <c r="DR47" s="40">
        <v>0</v>
      </c>
      <c r="DS47" s="40">
        <v>0</v>
      </c>
      <c r="DT47" s="40">
        <v>0</v>
      </c>
      <c r="DU47" s="40">
        <v>0</v>
      </c>
      <c r="DV47" s="40">
        <v>0</v>
      </c>
      <c r="DW47" s="40">
        <v>0</v>
      </c>
      <c r="DX47" s="40">
        <v>0</v>
      </c>
      <c r="DY47" s="40">
        <v>0</v>
      </c>
      <c r="DZ47" s="40">
        <v>0</v>
      </c>
      <c r="EA47" s="40">
        <v>0</v>
      </c>
      <c r="EB47" s="40">
        <v>0</v>
      </c>
      <c r="EC47" s="40">
        <v>0</v>
      </c>
      <c r="ED47" s="40">
        <v>0</v>
      </c>
      <c r="EE47" s="40">
        <v>0</v>
      </c>
      <c r="EF47" s="40">
        <v>0</v>
      </c>
      <c r="EG47" s="40">
        <v>0</v>
      </c>
      <c r="EH47" s="40">
        <v>0</v>
      </c>
      <c r="EI47" s="40">
        <v>0</v>
      </c>
      <c r="EJ47" s="40">
        <v>0</v>
      </c>
      <c r="EK47" s="40">
        <v>0</v>
      </c>
      <c r="EL47" s="40">
        <v>0</v>
      </c>
      <c r="EM47" s="40">
        <v>0</v>
      </c>
      <c r="EN47" s="40">
        <v>0</v>
      </c>
      <c r="EO47" s="40">
        <v>58653.138254891142</v>
      </c>
      <c r="EP47" s="40">
        <v>20969.924019451417</v>
      </c>
      <c r="EQ47" s="40">
        <v>0</v>
      </c>
      <c r="ER47" s="40">
        <v>0</v>
      </c>
      <c r="ES47" s="40">
        <v>0</v>
      </c>
      <c r="ET47" s="40">
        <v>0</v>
      </c>
      <c r="EU47" s="40">
        <v>0</v>
      </c>
      <c r="EV47" s="40">
        <v>0</v>
      </c>
      <c r="EW47" s="40">
        <v>0</v>
      </c>
      <c r="EX47" s="40">
        <v>0</v>
      </c>
      <c r="EY47" s="40">
        <v>0</v>
      </c>
      <c r="EZ47" s="40">
        <v>0</v>
      </c>
      <c r="FA47" s="40">
        <v>0</v>
      </c>
      <c r="FB47" s="40">
        <v>0</v>
      </c>
      <c r="FC47" s="40">
        <v>0</v>
      </c>
      <c r="FD47" s="40">
        <v>0</v>
      </c>
      <c r="FE47" s="40">
        <v>0</v>
      </c>
      <c r="FF47" s="40">
        <v>0</v>
      </c>
      <c r="FG47" s="40">
        <v>0</v>
      </c>
      <c r="FH47" s="40">
        <v>0</v>
      </c>
      <c r="FI47" s="40">
        <v>0</v>
      </c>
      <c r="FJ47" s="40">
        <v>0</v>
      </c>
      <c r="FK47" s="40">
        <v>0</v>
      </c>
      <c r="FL47" s="40">
        <v>0</v>
      </c>
      <c r="FM47" s="40">
        <v>0</v>
      </c>
      <c r="FN47" s="40">
        <v>0</v>
      </c>
      <c r="FO47" s="36">
        <v>0</v>
      </c>
      <c r="FP47" s="36">
        <v>0</v>
      </c>
      <c r="FQ47" s="36">
        <v>0</v>
      </c>
      <c r="FR47" s="36">
        <v>0</v>
      </c>
      <c r="FS47" s="36">
        <v>0</v>
      </c>
      <c r="FT47" s="36">
        <v>0</v>
      </c>
      <c r="FU47" s="36">
        <v>0</v>
      </c>
      <c r="FV47" s="36">
        <v>0</v>
      </c>
      <c r="FW47" s="36">
        <v>0</v>
      </c>
      <c r="FX47" s="36">
        <v>0</v>
      </c>
      <c r="FY47" s="36">
        <v>0</v>
      </c>
      <c r="FZ47" s="36">
        <v>0</v>
      </c>
      <c r="GA47" s="36">
        <v>0</v>
      </c>
      <c r="GB47" s="36">
        <v>0</v>
      </c>
      <c r="GC47" s="36">
        <v>0</v>
      </c>
      <c r="GD47" s="36">
        <v>0</v>
      </c>
      <c r="GE47" s="36">
        <v>0</v>
      </c>
      <c r="GF47" s="36">
        <v>0</v>
      </c>
      <c r="GG47" s="36"/>
      <c r="GH47" s="36"/>
      <c r="GI47" s="36"/>
      <c r="GJ47" s="36"/>
      <c r="GK47" s="36"/>
      <c r="GL47" s="36"/>
      <c r="GM47" s="36"/>
      <c r="GN47" s="36"/>
      <c r="GO47" s="36"/>
      <c r="GP47" s="36"/>
      <c r="GQ47" s="36"/>
      <c r="GR47" s="36"/>
      <c r="GS47" s="36"/>
      <c r="GT47" s="36"/>
      <c r="GU47" s="36">
        <v>0</v>
      </c>
      <c r="GV47" s="36">
        <v>0</v>
      </c>
      <c r="GW47" s="36">
        <v>0</v>
      </c>
      <c r="GX47" s="36">
        <v>0</v>
      </c>
      <c r="GY47" s="36">
        <v>0</v>
      </c>
      <c r="GZ47" s="36">
        <v>0</v>
      </c>
      <c r="HA47" s="36">
        <v>0</v>
      </c>
      <c r="HB47" s="36">
        <v>0</v>
      </c>
      <c r="HC47" s="36">
        <f t="shared" si="0"/>
        <v>79623.062274342563</v>
      </c>
      <c r="HD47" s="36">
        <f>SUM(AR$5:AR$213)</f>
        <v>79623.062274342563</v>
      </c>
      <c r="HE47" s="41">
        <v>0</v>
      </c>
    </row>
    <row r="48" spans="1:213" hidden="1" outlineLevel="1" x14ac:dyDescent="0.2">
      <c r="A48" s="9" t="s">
        <v>360</v>
      </c>
      <c r="B48" s="36">
        <v>0</v>
      </c>
      <c r="C48" s="36">
        <v>0</v>
      </c>
      <c r="D48" s="36">
        <v>0</v>
      </c>
      <c r="E48" s="36">
        <v>0</v>
      </c>
      <c r="F48" s="36">
        <v>0</v>
      </c>
      <c r="G48" s="36">
        <v>0</v>
      </c>
      <c r="H48" s="36">
        <v>0</v>
      </c>
      <c r="I48" s="36">
        <v>0</v>
      </c>
      <c r="J48" s="36">
        <v>0</v>
      </c>
      <c r="K48" s="36">
        <v>0</v>
      </c>
      <c r="L48" s="36">
        <v>0</v>
      </c>
      <c r="M48" s="36">
        <v>0</v>
      </c>
      <c r="N48" s="36">
        <v>0</v>
      </c>
      <c r="O48" s="36">
        <v>0</v>
      </c>
      <c r="P48" s="36">
        <v>0</v>
      </c>
      <c r="Q48" s="36">
        <v>0</v>
      </c>
      <c r="R48" s="36">
        <v>0</v>
      </c>
      <c r="S48" s="36">
        <v>0</v>
      </c>
      <c r="T48" s="36">
        <v>0</v>
      </c>
      <c r="U48" s="36">
        <v>0</v>
      </c>
      <c r="V48" s="36">
        <v>0</v>
      </c>
      <c r="W48" s="36">
        <v>0</v>
      </c>
      <c r="X48" s="36">
        <v>0</v>
      </c>
      <c r="Y48" s="36">
        <v>0</v>
      </c>
      <c r="Z48" s="36">
        <v>0</v>
      </c>
      <c r="AA48" s="36">
        <v>0</v>
      </c>
      <c r="AB48" s="36">
        <v>0</v>
      </c>
      <c r="AC48" s="36">
        <v>0</v>
      </c>
      <c r="AD48" s="36">
        <v>0</v>
      </c>
      <c r="AE48" s="36">
        <v>0</v>
      </c>
      <c r="AF48" s="36">
        <v>0</v>
      </c>
      <c r="AG48" s="36">
        <v>0</v>
      </c>
      <c r="AH48" s="36">
        <v>0</v>
      </c>
      <c r="AI48" s="36">
        <v>0</v>
      </c>
      <c r="AJ48" s="36">
        <v>0</v>
      </c>
      <c r="AK48" s="36">
        <v>0</v>
      </c>
      <c r="AL48" s="36">
        <v>0</v>
      </c>
      <c r="AM48" s="36">
        <v>0</v>
      </c>
      <c r="AN48" s="36">
        <v>0</v>
      </c>
      <c r="AO48" s="36">
        <v>0</v>
      </c>
      <c r="AP48" s="36">
        <v>0</v>
      </c>
      <c r="AQ48" s="36">
        <v>0</v>
      </c>
      <c r="AR48" s="36">
        <v>0</v>
      </c>
      <c r="AS48" s="36">
        <v>0</v>
      </c>
      <c r="AT48" s="36">
        <v>0</v>
      </c>
      <c r="AU48" s="36">
        <v>0</v>
      </c>
      <c r="AV48" s="36">
        <v>0</v>
      </c>
      <c r="AW48" s="36">
        <v>0</v>
      </c>
      <c r="AX48" s="36">
        <v>0</v>
      </c>
      <c r="AY48" s="36">
        <v>0</v>
      </c>
      <c r="AZ48" s="36">
        <v>0</v>
      </c>
      <c r="BA48" s="36">
        <v>0</v>
      </c>
      <c r="BB48" s="36">
        <v>0</v>
      </c>
      <c r="BC48" s="36">
        <v>0</v>
      </c>
      <c r="BD48" s="36">
        <v>0</v>
      </c>
      <c r="BE48" s="36">
        <v>0</v>
      </c>
      <c r="BF48" s="36">
        <v>0</v>
      </c>
      <c r="BG48" s="36">
        <v>0</v>
      </c>
      <c r="BH48" s="36">
        <v>0</v>
      </c>
      <c r="BI48" s="36">
        <v>0</v>
      </c>
      <c r="BJ48" s="36">
        <v>0</v>
      </c>
      <c r="BK48" s="40">
        <v>0</v>
      </c>
      <c r="BL48" s="40">
        <v>0</v>
      </c>
      <c r="BM48" s="40">
        <v>0</v>
      </c>
      <c r="BN48" s="40">
        <v>0</v>
      </c>
      <c r="BO48" s="40">
        <v>0</v>
      </c>
      <c r="BP48" s="40">
        <v>0</v>
      </c>
      <c r="BQ48" s="40">
        <v>0</v>
      </c>
      <c r="BR48" s="40">
        <v>0</v>
      </c>
      <c r="BS48" s="40">
        <v>0</v>
      </c>
      <c r="BT48" s="40">
        <v>0</v>
      </c>
      <c r="BU48" s="40">
        <v>0</v>
      </c>
      <c r="BV48" s="40">
        <v>0</v>
      </c>
      <c r="BW48" s="40">
        <v>0</v>
      </c>
      <c r="BX48" s="40">
        <v>0</v>
      </c>
      <c r="BY48" s="40">
        <v>0</v>
      </c>
      <c r="BZ48" s="40">
        <v>0</v>
      </c>
      <c r="CA48" s="40">
        <v>0</v>
      </c>
      <c r="CB48" s="40">
        <v>0</v>
      </c>
      <c r="CC48" s="40">
        <v>0</v>
      </c>
      <c r="CD48" s="40">
        <v>0</v>
      </c>
      <c r="CE48" s="40">
        <v>0</v>
      </c>
      <c r="CF48" s="40">
        <v>0</v>
      </c>
      <c r="CG48" s="40">
        <v>0</v>
      </c>
      <c r="CH48" s="40">
        <v>0</v>
      </c>
      <c r="CI48" s="40">
        <v>0</v>
      </c>
      <c r="CJ48" s="40">
        <v>0</v>
      </c>
      <c r="CK48" s="40">
        <v>0</v>
      </c>
      <c r="CL48" s="40">
        <v>0</v>
      </c>
      <c r="CM48" s="40">
        <v>0</v>
      </c>
      <c r="CN48" s="40">
        <v>0</v>
      </c>
      <c r="CO48" s="40">
        <v>0</v>
      </c>
      <c r="CP48" s="40">
        <v>0</v>
      </c>
      <c r="CQ48" s="40">
        <v>0</v>
      </c>
      <c r="CR48" s="40">
        <v>0</v>
      </c>
      <c r="CS48" s="40">
        <v>0</v>
      </c>
      <c r="CT48" s="40">
        <v>0</v>
      </c>
      <c r="CU48" s="40">
        <v>0</v>
      </c>
      <c r="CV48" s="40">
        <v>0</v>
      </c>
      <c r="CW48" s="40">
        <v>0</v>
      </c>
      <c r="CX48" s="40">
        <v>0</v>
      </c>
      <c r="CY48" s="40">
        <v>0</v>
      </c>
      <c r="CZ48" s="40">
        <v>0</v>
      </c>
      <c r="DA48" s="40">
        <v>0</v>
      </c>
      <c r="DB48" s="40">
        <v>0</v>
      </c>
      <c r="DC48" s="40">
        <v>0</v>
      </c>
      <c r="DD48" s="40">
        <v>0</v>
      </c>
      <c r="DE48" s="40">
        <v>0</v>
      </c>
      <c r="DF48" s="40">
        <v>0</v>
      </c>
      <c r="DG48" s="40">
        <v>0</v>
      </c>
      <c r="DH48" s="40">
        <v>0</v>
      </c>
      <c r="DI48" s="40">
        <v>0</v>
      </c>
      <c r="DJ48" s="40">
        <v>0</v>
      </c>
      <c r="DK48" s="40">
        <v>0</v>
      </c>
      <c r="DL48" s="40">
        <v>0</v>
      </c>
      <c r="DM48" s="40">
        <v>0</v>
      </c>
      <c r="DN48" s="40">
        <v>0</v>
      </c>
      <c r="DO48" s="40">
        <v>0</v>
      </c>
      <c r="DP48" s="40">
        <v>0</v>
      </c>
      <c r="DQ48" s="40">
        <v>0</v>
      </c>
      <c r="DR48" s="40">
        <v>0</v>
      </c>
      <c r="DS48" s="40">
        <v>0</v>
      </c>
      <c r="DT48" s="40">
        <v>0</v>
      </c>
      <c r="DU48" s="40">
        <v>0</v>
      </c>
      <c r="DV48" s="40">
        <v>0</v>
      </c>
      <c r="DW48" s="40">
        <v>0</v>
      </c>
      <c r="DX48" s="40">
        <v>0</v>
      </c>
      <c r="DY48" s="40">
        <v>0</v>
      </c>
      <c r="DZ48" s="40">
        <v>0</v>
      </c>
      <c r="EA48" s="40">
        <v>0</v>
      </c>
      <c r="EB48" s="40">
        <v>0</v>
      </c>
      <c r="EC48" s="40">
        <v>0</v>
      </c>
      <c r="ED48" s="40">
        <v>0</v>
      </c>
      <c r="EE48" s="40">
        <v>0</v>
      </c>
      <c r="EF48" s="40">
        <v>0</v>
      </c>
      <c r="EG48" s="40">
        <v>0</v>
      </c>
      <c r="EH48" s="40">
        <v>0</v>
      </c>
      <c r="EI48" s="40">
        <v>0</v>
      </c>
      <c r="EJ48" s="40">
        <v>0</v>
      </c>
      <c r="EK48" s="40">
        <v>0</v>
      </c>
      <c r="EL48" s="40">
        <v>0</v>
      </c>
      <c r="EM48" s="40">
        <v>0</v>
      </c>
      <c r="EN48" s="40">
        <v>0</v>
      </c>
      <c r="EO48" s="40">
        <v>0</v>
      </c>
      <c r="EP48" s="40">
        <v>0</v>
      </c>
      <c r="EQ48" s="40">
        <v>196715.28271942021</v>
      </c>
      <c r="ER48" s="40">
        <v>0</v>
      </c>
      <c r="ES48" s="40">
        <v>0</v>
      </c>
      <c r="ET48" s="40">
        <v>0</v>
      </c>
      <c r="EU48" s="40">
        <v>0</v>
      </c>
      <c r="EV48" s="40">
        <v>0</v>
      </c>
      <c r="EW48" s="40">
        <v>0</v>
      </c>
      <c r="EX48" s="40">
        <v>0</v>
      </c>
      <c r="EY48" s="40">
        <v>0</v>
      </c>
      <c r="EZ48" s="40">
        <v>0</v>
      </c>
      <c r="FA48" s="40">
        <v>0</v>
      </c>
      <c r="FB48" s="40">
        <v>0</v>
      </c>
      <c r="FC48" s="40">
        <v>0</v>
      </c>
      <c r="FD48" s="40">
        <v>0</v>
      </c>
      <c r="FE48" s="40">
        <v>0</v>
      </c>
      <c r="FF48" s="40">
        <v>0</v>
      </c>
      <c r="FG48" s="40">
        <v>0</v>
      </c>
      <c r="FH48" s="40">
        <v>0</v>
      </c>
      <c r="FI48" s="40">
        <v>0</v>
      </c>
      <c r="FJ48" s="40">
        <v>0</v>
      </c>
      <c r="FK48" s="40">
        <v>0</v>
      </c>
      <c r="FL48" s="40">
        <v>0</v>
      </c>
      <c r="FM48" s="40">
        <v>0</v>
      </c>
      <c r="FN48" s="40">
        <v>0</v>
      </c>
      <c r="FO48" s="36">
        <v>0</v>
      </c>
      <c r="FP48" s="36">
        <v>0</v>
      </c>
      <c r="FQ48" s="36">
        <v>0</v>
      </c>
      <c r="FR48" s="36">
        <v>0</v>
      </c>
      <c r="FS48" s="36">
        <v>0</v>
      </c>
      <c r="FT48" s="36">
        <v>0</v>
      </c>
      <c r="FU48" s="36">
        <v>0</v>
      </c>
      <c r="FV48" s="36">
        <v>0</v>
      </c>
      <c r="FW48" s="36">
        <v>0</v>
      </c>
      <c r="FX48" s="36">
        <v>0</v>
      </c>
      <c r="FY48" s="36">
        <v>0</v>
      </c>
      <c r="FZ48" s="36">
        <v>0</v>
      </c>
      <c r="GA48" s="36">
        <v>0</v>
      </c>
      <c r="GB48" s="36">
        <v>0</v>
      </c>
      <c r="GC48" s="36">
        <v>0</v>
      </c>
      <c r="GD48" s="36">
        <v>0</v>
      </c>
      <c r="GE48" s="36">
        <v>0</v>
      </c>
      <c r="GF48" s="36">
        <v>0</v>
      </c>
      <c r="GG48" s="36"/>
      <c r="GH48" s="36"/>
      <c r="GI48" s="36"/>
      <c r="GJ48" s="36"/>
      <c r="GK48" s="36"/>
      <c r="GL48" s="36"/>
      <c r="GM48" s="36"/>
      <c r="GN48" s="36"/>
      <c r="GO48" s="36"/>
      <c r="GP48" s="36"/>
      <c r="GQ48" s="36"/>
      <c r="GR48" s="36"/>
      <c r="GS48" s="36"/>
      <c r="GT48" s="36"/>
      <c r="GU48" s="36">
        <v>0</v>
      </c>
      <c r="GV48" s="36">
        <v>0</v>
      </c>
      <c r="GW48" s="36">
        <v>0</v>
      </c>
      <c r="GX48" s="36">
        <v>0</v>
      </c>
      <c r="GY48" s="36">
        <v>0</v>
      </c>
      <c r="GZ48" s="36">
        <v>0</v>
      </c>
      <c r="HA48" s="36">
        <v>0</v>
      </c>
      <c r="HB48" s="36">
        <v>0</v>
      </c>
      <c r="HC48" s="36">
        <f t="shared" si="0"/>
        <v>196715.28271942021</v>
      </c>
      <c r="HD48" s="36">
        <f>SUM(AS$5:AS$213)</f>
        <v>196715.28271942024</v>
      </c>
      <c r="HE48" s="41">
        <v>0</v>
      </c>
    </row>
    <row r="49" spans="1:213" hidden="1" outlineLevel="1" x14ac:dyDescent="0.2">
      <c r="A49" s="9" t="s">
        <v>366</v>
      </c>
      <c r="B49" s="36">
        <v>0</v>
      </c>
      <c r="C49" s="36">
        <v>0</v>
      </c>
      <c r="D49" s="36">
        <v>0</v>
      </c>
      <c r="E49" s="36">
        <v>0</v>
      </c>
      <c r="F49" s="36">
        <v>0</v>
      </c>
      <c r="G49" s="36">
        <v>0</v>
      </c>
      <c r="H49" s="36">
        <v>0</v>
      </c>
      <c r="I49" s="36">
        <v>0</v>
      </c>
      <c r="J49" s="36">
        <v>0</v>
      </c>
      <c r="K49" s="36">
        <v>0</v>
      </c>
      <c r="L49" s="36">
        <v>0</v>
      </c>
      <c r="M49" s="36">
        <v>0</v>
      </c>
      <c r="N49" s="36">
        <v>0</v>
      </c>
      <c r="O49" s="36">
        <v>0</v>
      </c>
      <c r="P49" s="36">
        <v>0</v>
      </c>
      <c r="Q49" s="36">
        <v>0</v>
      </c>
      <c r="R49" s="36">
        <v>0</v>
      </c>
      <c r="S49" s="36">
        <v>0</v>
      </c>
      <c r="T49" s="36">
        <v>0</v>
      </c>
      <c r="U49" s="36">
        <v>0</v>
      </c>
      <c r="V49" s="36">
        <v>0</v>
      </c>
      <c r="W49" s="36">
        <v>0</v>
      </c>
      <c r="X49" s="36">
        <v>0</v>
      </c>
      <c r="Y49" s="36">
        <v>0</v>
      </c>
      <c r="Z49" s="36">
        <v>0</v>
      </c>
      <c r="AA49" s="36">
        <v>0</v>
      </c>
      <c r="AB49" s="36">
        <v>0</v>
      </c>
      <c r="AC49" s="36">
        <v>0</v>
      </c>
      <c r="AD49" s="36">
        <v>0</v>
      </c>
      <c r="AE49" s="36">
        <v>0</v>
      </c>
      <c r="AF49" s="36">
        <v>0</v>
      </c>
      <c r="AG49" s="36">
        <v>0</v>
      </c>
      <c r="AH49" s="36">
        <v>0</v>
      </c>
      <c r="AI49" s="36">
        <v>0</v>
      </c>
      <c r="AJ49" s="36">
        <v>0</v>
      </c>
      <c r="AK49" s="36">
        <v>0</v>
      </c>
      <c r="AL49" s="36">
        <v>0</v>
      </c>
      <c r="AM49" s="36">
        <v>0</v>
      </c>
      <c r="AN49" s="36">
        <v>0</v>
      </c>
      <c r="AO49" s="36">
        <v>0</v>
      </c>
      <c r="AP49" s="36">
        <v>0</v>
      </c>
      <c r="AQ49" s="36">
        <v>0</v>
      </c>
      <c r="AR49" s="36">
        <v>0</v>
      </c>
      <c r="AS49" s="36">
        <v>0</v>
      </c>
      <c r="AT49" s="36">
        <v>0</v>
      </c>
      <c r="AU49" s="36">
        <v>0</v>
      </c>
      <c r="AV49" s="36">
        <v>0</v>
      </c>
      <c r="AW49" s="36">
        <v>0</v>
      </c>
      <c r="AX49" s="36">
        <v>0</v>
      </c>
      <c r="AY49" s="36">
        <v>0</v>
      </c>
      <c r="AZ49" s="36">
        <v>0</v>
      </c>
      <c r="BA49" s="36">
        <v>0</v>
      </c>
      <c r="BB49" s="36">
        <v>0</v>
      </c>
      <c r="BC49" s="36">
        <v>0</v>
      </c>
      <c r="BD49" s="36">
        <v>0</v>
      </c>
      <c r="BE49" s="36">
        <v>0</v>
      </c>
      <c r="BF49" s="36">
        <v>0</v>
      </c>
      <c r="BG49" s="36">
        <v>0</v>
      </c>
      <c r="BH49" s="36">
        <v>0</v>
      </c>
      <c r="BI49" s="36">
        <v>0</v>
      </c>
      <c r="BJ49" s="36">
        <v>0</v>
      </c>
      <c r="BK49" s="40">
        <v>0</v>
      </c>
      <c r="BL49" s="40">
        <v>0</v>
      </c>
      <c r="BM49" s="40">
        <v>0</v>
      </c>
      <c r="BN49" s="40">
        <v>0</v>
      </c>
      <c r="BO49" s="40">
        <v>0</v>
      </c>
      <c r="BP49" s="40">
        <v>0</v>
      </c>
      <c r="BQ49" s="40">
        <v>0</v>
      </c>
      <c r="BR49" s="40">
        <v>0</v>
      </c>
      <c r="BS49" s="40">
        <v>0</v>
      </c>
      <c r="BT49" s="40">
        <v>0</v>
      </c>
      <c r="BU49" s="40">
        <v>0</v>
      </c>
      <c r="BV49" s="40">
        <v>0</v>
      </c>
      <c r="BW49" s="40">
        <v>0</v>
      </c>
      <c r="BX49" s="40">
        <v>0</v>
      </c>
      <c r="BY49" s="40">
        <v>0</v>
      </c>
      <c r="BZ49" s="40">
        <v>0</v>
      </c>
      <c r="CA49" s="40">
        <v>0</v>
      </c>
      <c r="CB49" s="40">
        <v>0</v>
      </c>
      <c r="CC49" s="40">
        <v>0</v>
      </c>
      <c r="CD49" s="40">
        <v>0</v>
      </c>
      <c r="CE49" s="40">
        <v>0</v>
      </c>
      <c r="CF49" s="40">
        <v>0</v>
      </c>
      <c r="CG49" s="40">
        <v>0</v>
      </c>
      <c r="CH49" s="40">
        <v>0</v>
      </c>
      <c r="CI49" s="40">
        <v>0</v>
      </c>
      <c r="CJ49" s="40">
        <v>0</v>
      </c>
      <c r="CK49" s="40">
        <v>0</v>
      </c>
      <c r="CL49" s="40">
        <v>0</v>
      </c>
      <c r="CM49" s="40">
        <v>0</v>
      </c>
      <c r="CN49" s="40">
        <v>0</v>
      </c>
      <c r="CO49" s="40">
        <v>0</v>
      </c>
      <c r="CP49" s="40">
        <v>0</v>
      </c>
      <c r="CQ49" s="40">
        <v>0</v>
      </c>
      <c r="CR49" s="40">
        <v>0</v>
      </c>
      <c r="CS49" s="40">
        <v>0</v>
      </c>
      <c r="CT49" s="40">
        <v>0</v>
      </c>
      <c r="CU49" s="40">
        <v>0</v>
      </c>
      <c r="CV49" s="40">
        <v>0</v>
      </c>
      <c r="CW49" s="40">
        <v>0</v>
      </c>
      <c r="CX49" s="40">
        <v>0</v>
      </c>
      <c r="CY49" s="40">
        <v>0</v>
      </c>
      <c r="CZ49" s="40">
        <v>0</v>
      </c>
      <c r="DA49" s="40">
        <v>0</v>
      </c>
      <c r="DB49" s="40">
        <v>0</v>
      </c>
      <c r="DC49" s="40">
        <v>0</v>
      </c>
      <c r="DD49" s="40">
        <v>0</v>
      </c>
      <c r="DE49" s="40">
        <v>0</v>
      </c>
      <c r="DF49" s="40">
        <v>0</v>
      </c>
      <c r="DG49" s="40">
        <v>0</v>
      </c>
      <c r="DH49" s="40">
        <v>0</v>
      </c>
      <c r="DI49" s="40">
        <v>0</v>
      </c>
      <c r="DJ49" s="40">
        <v>0</v>
      </c>
      <c r="DK49" s="40">
        <v>0</v>
      </c>
      <c r="DL49" s="40">
        <v>0</v>
      </c>
      <c r="DM49" s="40">
        <v>0</v>
      </c>
      <c r="DN49" s="40">
        <v>0</v>
      </c>
      <c r="DO49" s="40">
        <v>0</v>
      </c>
      <c r="DP49" s="40">
        <v>0</v>
      </c>
      <c r="DQ49" s="40">
        <v>0</v>
      </c>
      <c r="DR49" s="40">
        <v>0</v>
      </c>
      <c r="DS49" s="40">
        <v>0</v>
      </c>
      <c r="DT49" s="40">
        <v>0</v>
      </c>
      <c r="DU49" s="40">
        <v>0</v>
      </c>
      <c r="DV49" s="40">
        <v>0</v>
      </c>
      <c r="DW49" s="40">
        <v>0</v>
      </c>
      <c r="DX49" s="40">
        <v>0</v>
      </c>
      <c r="DY49" s="40">
        <v>0</v>
      </c>
      <c r="DZ49" s="40">
        <v>0</v>
      </c>
      <c r="EA49" s="40">
        <v>0</v>
      </c>
      <c r="EB49" s="40">
        <v>107996.67826077109</v>
      </c>
      <c r="EC49" s="40">
        <v>0</v>
      </c>
      <c r="ED49" s="40">
        <v>0</v>
      </c>
      <c r="EE49" s="40">
        <v>0</v>
      </c>
      <c r="EF49" s="40">
        <v>0</v>
      </c>
      <c r="EG49" s="40">
        <v>0</v>
      </c>
      <c r="EH49" s="40">
        <v>0</v>
      </c>
      <c r="EI49" s="40">
        <v>0</v>
      </c>
      <c r="EJ49" s="40">
        <v>0</v>
      </c>
      <c r="EK49" s="40">
        <v>0</v>
      </c>
      <c r="EL49" s="40">
        <v>0</v>
      </c>
      <c r="EM49" s="40">
        <v>0</v>
      </c>
      <c r="EN49" s="40">
        <v>0</v>
      </c>
      <c r="EO49" s="40">
        <v>0</v>
      </c>
      <c r="EP49" s="40">
        <v>0</v>
      </c>
      <c r="EQ49" s="40">
        <v>0</v>
      </c>
      <c r="ER49" s="40">
        <v>24245.916294107872</v>
      </c>
      <c r="ES49" s="40">
        <v>0</v>
      </c>
      <c r="ET49" s="40">
        <v>0</v>
      </c>
      <c r="EU49" s="40">
        <v>0</v>
      </c>
      <c r="EV49" s="40">
        <v>0</v>
      </c>
      <c r="EW49" s="40">
        <v>0</v>
      </c>
      <c r="EX49" s="40">
        <v>0</v>
      </c>
      <c r="EY49" s="40">
        <v>0</v>
      </c>
      <c r="EZ49" s="40">
        <v>0</v>
      </c>
      <c r="FA49" s="40">
        <v>1100.9587243918745</v>
      </c>
      <c r="FB49" s="40">
        <v>0</v>
      </c>
      <c r="FC49" s="40">
        <v>0</v>
      </c>
      <c r="FD49" s="40">
        <v>12169.586592629352</v>
      </c>
      <c r="FE49" s="40">
        <v>235970.29047134603</v>
      </c>
      <c r="FF49" s="40">
        <v>1963.3742174436279</v>
      </c>
      <c r="FG49" s="40">
        <v>0</v>
      </c>
      <c r="FH49" s="40">
        <v>0</v>
      </c>
      <c r="FI49" s="40">
        <v>0</v>
      </c>
      <c r="FJ49" s="40">
        <v>0</v>
      </c>
      <c r="FK49" s="40">
        <v>0</v>
      </c>
      <c r="FL49" s="40">
        <v>0</v>
      </c>
      <c r="FM49" s="40">
        <v>0</v>
      </c>
      <c r="FN49" s="40">
        <v>0</v>
      </c>
      <c r="FO49" s="36">
        <v>0</v>
      </c>
      <c r="FP49" s="36">
        <v>0</v>
      </c>
      <c r="FQ49" s="36">
        <v>0</v>
      </c>
      <c r="FR49" s="36">
        <v>0</v>
      </c>
      <c r="FS49" s="36">
        <v>0</v>
      </c>
      <c r="FT49" s="36">
        <v>0</v>
      </c>
      <c r="FU49" s="36">
        <v>0</v>
      </c>
      <c r="FV49" s="36">
        <v>0</v>
      </c>
      <c r="FW49" s="36">
        <v>0</v>
      </c>
      <c r="FX49" s="36">
        <v>0</v>
      </c>
      <c r="FY49" s="36">
        <v>0</v>
      </c>
      <c r="FZ49" s="36">
        <v>0</v>
      </c>
      <c r="GA49" s="36">
        <v>0</v>
      </c>
      <c r="GB49" s="36">
        <v>0</v>
      </c>
      <c r="GC49" s="36">
        <v>0</v>
      </c>
      <c r="GD49" s="36">
        <v>0</v>
      </c>
      <c r="GE49" s="36">
        <v>0</v>
      </c>
      <c r="GF49" s="36">
        <v>0</v>
      </c>
      <c r="GG49" s="36"/>
      <c r="GH49" s="36"/>
      <c r="GI49" s="36"/>
      <c r="GJ49" s="36"/>
      <c r="GK49" s="36"/>
      <c r="GL49" s="36"/>
      <c r="GM49" s="36"/>
      <c r="GN49" s="36"/>
      <c r="GO49" s="36"/>
      <c r="GP49" s="36"/>
      <c r="GQ49" s="36"/>
      <c r="GR49" s="36"/>
      <c r="GS49" s="36"/>
      <c r="GT49" s="36"/>
      <c r="GU49" s="36">
        <v>0</v>
      </c>
      <c r="GV49" s="36">
        <v>0</v>
      </c>
      <c r="GW49" s="36">
        <v>0</v>
      </c>
      <c r="GX49" s="36">
        <v>0</v>
      </c>
      <c r="GY49" s="36">
        <v>0</v>
      </c>
      <c r="GZ49" s="36">
        <v>0</v>
      </c>
      <c r="HA49" s="36">
        <v>0</v>
      </c>
      <c r="HB49" s="36">
        <v>0</v>
      </c>
      <c r="HC49" s="36">
        <f t="shared" si="0"/>
        <v>383446.80456068984</v>
      </c>
      <c r="HD49" s="36">
        <f>SUM(AT$5:AT$213)</f>
        <v>383446.80456068995</v>
      </c>
      <c r="HE49" s="41">
        <v>0</v>
      </c>
    </row>
    <row r="50" spans="1:213" hidden="1" outlineLevel="1" x14ac:dyDescent="0.2">
      <c r="A50" s="9" t="s">
        <v>370</v>
      </c>
      <c r="B50" s="36">
        <v>0</v>
      </c>
      <c r="C50" s="36">
        <v>0</v>
      </c>
      <c r="D50" s="36">
        <v>0</v>
      </c>
      <c r="E50" s="36">
        <v>0</v>
      </c>
      <c r="F50" s="36">
        <v>0</v>
      </c>
      <c r="G50" s="36">
        <v>0</v>
      </c>
      <c r="H50" s="36">
        <v>0</v>
      </c>
      <c r="I50" s="36">
        <v>0</v>
      </c>
      <c r="J50" s="36">
        <v>0</v>
      </c>
      <c r="K50" s="36">
        <v>0</v>
      </c>
      <c r="L50" s="36">
        <v>0</v>
      </c>
      <c r="M50" s="36">
        <v>0</v>
      </c>
      <c r="N50" s="36">
        <v>0</v>
      </c>
      <c r="O50" s="36">
        <v>0</v>
      </c>
      <c r="P50" s="36">
        <v>0</v>
      </c>
      <c r="Q50" s="36">
        <v>0</v>
      </c>
      <c r="R50" s="36">
        <v>0</v>
      </c>
      <c r="S50" s="36">
        <v>0</v>
      </c>
      <c r="T50" s="36">
        <v>0</v>
      </c>
      <c r="U50" s="36">
        <v>0</v>
      </c>
      <c r="V50" s="36">
        <v>0</v>
      </c>
      <c r="W50" s="36">
        <v>0</v>
      </c>
      <c r="X50" s="36">
        <v>0</v>
      </c>
      <c r="Y50" s="36">
        <v>0</v>
      </c>
      <c r="Z50" s="36">
        <v>0</v>
      </c>
      <c r="AA50" s="36">
        <v>0</v>
      </c>
      <c r="AB50" s="36">
        <v>0</v>
      </c>
      <c r="AC50" s="36">
        <v>0</v>
      </c>
      <c r="AD50" s="36">
        <v>0</v>
      </c>
      <c r="AE50" s="36">
        <v>0</v>
      </c>
      <c r="AF50" s="36">
        <v>0</v>
      </c>
      <c r="AG50" s="36">
        <v>0</v>
      </c>
      <c r="AH50" s="36">
        <v>0</v>
      </c>
      <c r="AI50" s="36">
        <v>0</v>
      </c>
      <c r="AJ50" s="36">
        <v>0</v>
      </c>
      <c r="AK50" s="36">
        <v>0</v>
      </c>
      <c r="AL50" s="36">
        <v>0</v>
      </c>
      <c r="AM50" s="36">
        <v>0</v>
      </c>
      <c r="AN50" s="36">
        <v>0</v>
      </c>
      <c r="AO50" s="36">
        <v>0</v>
      </c>
      <c r="AP50" s="36">
        <v>0</v>
      </c>
      <c r="AQ50" s="36">
        <v>0</v>
      </c>
      <c r="AR50" s="36">
        <v>0</v>
      </c>
      <c r="AS50" s="36">
        <v>0</v>
      </c>
      <c r="AT50" s="36">
        <v>0</v>
      </c>
      <c r="AU50" s="36">
        <v>0</v>
      </c>
      <c r="AV50" s="36">
        <v>0</v>
      </c>
      <c r="AW50" s="36">
        <v>0</v>
      </c>
      <c r="AX50" s="36">
        <v>0</v>
      </c>
      <c r="AY50" s="36">
        <v>0</v>
      </c>
      <c r="AZ50" s="36">
        <v>0</v>
      </c>
      <c r="BA50" s="36">
        <v>0</v>
      </c>
      <c r="BB50" s="36">
        <v>0</v>
      </c>
      <c r="BC50" s="36">
        <v>0</v>
      </c>
      <c r="BD50" s="36">
        <v>0</v>
      </c>
      <c r="BE50" s="36">
        <v>0</v>
      </c>
      <c r="BF50" s="36">
        <v>0</v>
      </c>
      <c r="BG50" s="36">
        <v>0</v>
      </c>
      <c r="BH50" s="36">
        <v>0</v>
      </c>
      <c r="BI50" s="36">
        <v>0</v>
      </c>
      <c r="BJ50" s="36">
        <v>0</v>
      </c>
      <c r="BK50" s="40">
        <v>0</v>
      </c>
      <c r="BL50" s="40">
        <v>0</v>
      </c>
      <c r="BM50" s="40">
        <v>0</v>
      </c>
      <c r="BN50" s="40">
        <v>0</v>
      </c>
      <c r="BO50" s="40">
        <v>0</v>
      </c>
      <c r="BP50" s="40">
        <v>0</v>
      </c>
      <c r="BQ50" s="40">
        <v>0</v>
      </c>
      <c r="BR50" s="40">
        <v>0</v>
      </c>
      <c r="BS50" s="40">
        <v>0</v>
      </c>
      <c r="BT50" s="40">
        <v>0</v>
      </c>
      <c r="BU50" s="40">
        <v>0</v>
      </c>
      <c r="BV50" s="40">
        <v>0</v>
      </c>
      <c r="BW50" s="40">
        <v>0</v>
      </c>
      <c r="BX50" s="40">
        <v>0</v>
      </c>
      <c r="BY50" s="40">
        <v>0</v>
      </c>
      <c r="BZ50" s="40">
        <v>0</v>
      </c>
      <c r="CA50" s="40">
        <v>0</v>
      </c>
      <c r="CB50" s="40">
        <v>0</v>
      </c>
      <c r="CC50" s="40">
        <v>0</v>
      </c>
      <c r="CD50" s="40">
        <v>0</v>
      </c>
      <c r="CE50" s="40">
        <v>0</v>
      </c>
      <c r="CF50" s="40">
        <v>0</v>
      </c>
      <c r="CG50" s="40">
        <v>0</v>
      </c>
      <c r="CH50" s="40">
        <v>0</v>
      </c>
      <c r="CI50" s="40">
        <v>0</v>
      </c>
      <c r="CJ50" s="40">
        <v>0</v>
      </c>
      <c r="CK50" s="40">
        <v>0</v>
      </c>
      <c r="CL50" s="40">
        <v>0</v>
      </c>
      <c r="CM50" s="40">
        <v>0</v>
      </c>
      <c r="CN50" s="40">
        <v>0</v>
      </c>
      <c r="CO50" s="40">
        <v>0</v>
      </c>
      <c r="CP50" s="40">
        <v>0</v>
      </c>
      <c r="CQ50" s="40">
        <v>0</v>
      </c>
      <c r="CR50" s="40">
        <v>0</v>
      </c>
      <c r="CS50" s="40">
        <v>0</v>
      </c>
      <c r="CT50" s="40">
        <v>0</v>
      </c>
      <c r="CU50" s="40">
        <v>0</v>
      </c>
      <c r="CV50" s="40">
        <v>0</v>
      </c>
      <c r="CW50" s="40">
        <v>0</v>
      </c>
      <c r="CX50" s="40">
        <v>0</v>
      </c>
      <c r="CY50" s="40">
        <v>0</v>
      </c>
      <c r="CZ50" s="40">
        <v>0</v>
      </c>
      <c r="DA50" s="40">
        <v>0</v>
      </c>
      <c r="DB50" s="40">
        <v>0</v>
      </c>
      <c r="DC50" s="40">
        <v>0</v>
      </c>
      <c r="DD50" s="40">
        <v>0</v>
      </c>
      <c r="DE50" s="40">
        <v>0</v>
      </c>
      <c r="DF50" s="40">
        <v>0</v>
      </c>
      <c r="DG50" s="40">
        <v>0</v>
      </c>
      <c r="DH50" s="40">
        <v>0</v>
      </c>
      <c r="DI50" s="40">
        <v>0</v>
      </c>
      <c r="DJ50" s="40">
        <v>0</v>
      </c>
      <c r="DK50" s="40">
        <v>0</v>
      </c>
      <c r="DL50" s="40">
        <v>0</v>
      </c>
      <c r="DM50" s="40">
        <v>0</v>
      </c>
      <c r="DN50" s="40">
        <v>0</v>
      </c>
      <c r="DO50" s="40">
        <v>0</v>
      </c>
      <c r="DP50" s="40">
        <v>0</v>
      </c>
      <c r="DQ50" s="40">
        <v>0</v>
      </c>
      <c r="DR50" s="40">
        <v>0</v>
      </c>
      <c r="DS50" s="40">
        <v>0</v>
      </c>
      <c r="DT50" s="40">
        <v>0</v>
      </c>
      <c r="DU50" s="40">
        <v>0</v>
      </c>
      <c r="DV50" s="40">
        <v>0</v>
      </c>
      <c r="DW50" s="40">
        <v>0</v>
      </c>
      <c r="DX50" s="40">
        <v>0</v>
      </c>
      <c r="DY50" s="40">
        <v>0</v>
      </c>
      <c r="DZ50" s="40">
        <v>0</v>
      </c>
      <c r="EA50" s="40">
        <v>0</v>
      </c>
      <c r="EB50" s="40">
        <v>0</v>
      </c>
      <c r="EC50" s="40">
        <v>0</v>
      </c>
      <c r="ED50" s="40">
        <v>0</v>
      </c>
      <c r="EE50" s="40">
        <v>0</v>
      </c>
      <c r="EF50" s="40">
        <v>0</v>
      </c>
      <c r="EG50" s="40">
        <v>0</v>
      </c>
      <c r="EH50" s="40">
        <v>0</v>
      </c>
      <c r="EI50" s="40">
        <v>0</v>
      </c>
      <c r="EJ50" s="40">
        <v>0</v>
      </c>
      <c r="EK50" s="40">
        <v>0</v>
      </c>
      <c r="EL50" s="40">
        <v>0</v>
      </c>
      <c r="EM50" s="40">
        <v>0</v>
      </c>
      <c r="EN50" s="40">
        <v>0</v>
      </c>
      <c r="EO50" s="40">
        <v>0</v>
      </c>
      <c r="EP50" s="40">
        <v>0</v>
      </c>
      <c r="EQ50" s="40">
        <v>0</v>
      </c>
      <c r="ER50" s="40">
        <v>0</v>
      </c>
      <c r="ES50" s="40">
        <v>0</v>
      </c>
      <c r="ET50" s="40">
        <v>0</v>
      </c>
      <c r="EU50" s="40">
        <v>171089.50105930478</v>
      </c>
      <c r="EV50" s="40">
        <v>132169.46239068892</v>
      </c>
      <c r="EW50" s="40">
        <v>0</v>
      </c>
      <c r="EX50" s="40">
        <v>0</v>
      </c>
      <c r="EY50" s="40">
        <v>0</v>
      </c>
      <c r="EZ50" s="40">
        <v>2469.8226290063485</v>
      </c>
      <c r="FA50" s="40">
        <v>0</v>
      </c>
      <c r="FB50" s="40">
        <v>0</v>
      </c>
      <c r="FC50" s="40">
        <v>0</v>
      </c>
      <c r="FD50" s="40">
        <v>0</v>
      </c>
      <c r="FE50" s="40">
        <v>0</v>
      </c>
      <c r="FF50" s="40">
        <v>0</v>
      </c>
      <c r="FG50" s="40">
        <v>0</v>
      </c>
      <c r="FH50" s="40">
        <v>0</v>
      </c>
      <c r="FI50" s="40">
        <v>0</v>
      </c>
      <c r="FJ50" s="40">
        <v>0</v>
      </c>
      <c r="FK50" s="40">
        <v>0</v>
      </c>
      <c r="FL50" s="40">
        <v>0</v>
      </c>
      <c r="FM50" s="40">
        <v>0</v>
      </c>
      <c r="FN50" s="40">
        <v>0</v>
      </c>
      <c r="FO50" s="36">
        <v>0</v>
      </c>
      <c r="FP50" s="36">
        <v>0</v>
      </c>
      <c r="FQ50" s="36">
        <v>0</v>
      </c>
      <c r="FR50" s="36">
        <v>0</v>
      </c>
      <c r="FS50" s="36">
        <v>0</v>
      </c>
      <c r="FT50" s="36">
        <v>0</v>
      </c>
      <c r="FU50" s="36">
        <v>0</v>
      </c>
      <c r="FV50" s="36">
        <v>0</v>
      </c>
      <c r="FW50" s="36">
        <v>0</v>
      </c>
      <c r="FX50" s="36">
        <v>0</v>
      </c>
      <c r="FY50" s="36">
        <v>0</v>
      </c>
      <c r="FZ50" s="36">
        <v>0</v>
      </c>
      <c r="GA50" s="36">
        <v>0</v>
      </c>
      <c r="GB50" s="36">
        <v>0</v>
      </c>
      <c r="GC50" s="36">
        <v>0</v>
      </c>
      <c r="GD50" s="36">
        <v>0</v>
      </c>
      <c r="GE50" s="36">
        <v>0</v>
      </c>
      <c r="GF50" s="36">
        <v>0</v>
      </c>
      <c r="GG50" s="36"/>
      <c r="GH50" s="36"/>
      <c r="GI50" s="36"/>
      <c r="GJ50" s="36"/>
      <c r="GK50" s="36"/>
      <c r="GL50" s="36"/>
      <c r="GM50" s="36"/>
      <c r="GN50" s="36"/>
      <c r="GO50" s="36"/>
      <c r="GP50" s="36"/>
      <c r="GQ50" s="36"/>
      <c r="GR50" s="36"/>
      <c r="GS50" s="36"/>
      <c r="GT50" s="36"/>
      <c r="GU50" s="36">
        <v>0</v>
      </c>
      <c r="GV50" s="36">
        <v>0</v>
      </c>
      <c r="GW50" s="36">
        <v>0</v>
      </c>
      <c r="GX50" s="36">
        <v>0</v>
      </c>
      <c r="GY50" s="36">
        <v>0</v>
      </c>
      <c r="GZ50" s="36">
        <v>0</v>
      </c>
      <c r="HA50" s="36">
        <v>0</v>
      </c>
      <c r="HB50" s="36">
        <v>0</v>
      </c>
      <c r="HC50" s="36">
        <f t="shared" si="0"/>
        <v>305728.78607900004</v>
      </c>
      <c r="HD50" s="36">
        <f>SUM(AU$5:AU$213)</f>
        <v>305728.78607900004</v>
      </c>
      <c r="HE50" s="41">
        <v>0</v>
      </c>
    </row>
    <row r="51" spans="1:213" hidden="1" outlineLevel="1" x14ac:dyDescent="0.2">
      <c r="A51" s="9" t="s">
        <v>382</v>
      </c>
      <c r="B51" s="36">
        <v>0</v>
      </c>
      <c r="C51" s="36">
        <v>0</v>
      </c>
      <c r="D51" s="36">
        <v>0</v>
      </c>
      <c r="E51" s="36">
        <v>0</v>
      </c>
      <c r="F51" s="36">
        <v>0</v>
      </c>
      <c r="G51" s="36">
        <v>0</v>
      </c>
      <c r="H51" s="36">
        <v>0</v>
      </c>
      <c r="I51" s="36">
        <v>0</v>
      </c>
      <c r="J51" s="36">
        <v>0</v>
      </c>
      <c r="K51" s="36">
        <v>0</v>
      </c>
      <c r="L51" s="36">
        <v>0</v>
      </c>
      <c r="M51" s="36">
        <v>0</v>
      </c>
      <c r="N51" s="36">
        <v>0</v>
      </c>
      <c r="O51" s="36">
        <v>0</v>
      </c>
      <c r="P51" s="36">
        <v>0</v>
      </c>
      <c r="Q51" s="36">
        <v>0</v>
      </c>
      <c r="R51" s="36">
        <v>0</v>
      </c>
      <c r="S51" s="36">
        <v>0</v>
      </c>
      <c r="T51" s="36">
        <v>0</v>
      </c>
      <c r="U51" s="36">
        <v>0</v>
      </c>
      <c r="V51" s="36">
        <v>0</v>
      </c>
      <c r="W51" s="36">
        <v>0</v>
      </c>
      <c r="X51" s="36">
        <v>0</v>
      </c>
      <c r="Y51" s="36">
        <v>0</v>
      </c>
      <c r="Z51" s="36">
        <v>0</v>
      </c>
      <c r="AA51" s="36">
        <v>0</v>
      </c>
      <c r="AB51" s="36">
        <v>0</v>
      </c>
      <c r="AC51" s="36">
        <v>0</v>
      </c>
      <c r="AD51" s="36">
        <v>0</v>
      </c>
      <c r="AE51" s="36">
        <v>0</v>
      </c>
      <c r="AF51" s="36">
        <v>0</v>
      </c>
      <c r="AG51" s="36">
        <v>0</v>
      </c>
      <c r="AH51" s="36">
        <v>0</v>
      </c>
      <c r="AI51" s="36">
        <v>0</v>
      </c>
      <c r="AJ51" s="36">
        <v>0</v>
      </c>
      <c r="AK51" s="36">
        <v>0</v>
      </c>
      <c r="AL51" s="36">
        <v>0</v>
      </c>
      <c r="AM51" s="36">
        <v>0</v>
      </c>
      <c r="AN51" s="36">
        <v>0</v>
      </c>
      <c r="AO51" s="36">
        <v>0</v>
      </c>
      <c r="AP51" s="36">
        <v>0</v>
      </c>
      <c r="AQ51" s="36">
        <v>0</v>
      </c>
      <c r="AR51" s="36">
        <v>0</v>
      </c>
      <c r="AS51" s="36">
        <v>0</v>
      </c>
      <c r="AT51" s="36">
        <v>0</v>
      </c>
      <c r="AU51" s="36">
        <v>0</v>
      </c>
      <c r="AV51" s="36">
        <v>0</v>
      </c>
      <c r="AW51" s="36">
        <v>0</v>
      </c>
      <c r="AX51" s="36">
        <v>0</v>
      </c>
      <c r="AY51" s="36">
        <v>0</v>
      </c>
      <c r="AZ51" s="36">
        <v>0</v>
      </c>
      <c r="BA51" s="36">
        <v>0</v>
      </c>
      <c r="BB51" s="36">
        <v>0</v>
      </c>
      <c r="BC51" s="36">
        <v>0</v>
      </c>
      <c r="BD51" s="36">
        <v>0</v>
      </c>
      <c r="BE51" s="36">
        <v>0</v>
      </c>
      <c r="BF51" s="36">
        <v>0</v>
      </c>
      <c r="BG51" s="36">
        <v>0</v>
      </c>
      <c r="BH51" s="36">
        <v>0</v>
      </c>
      <c r="BI51" s="36">
        <v>0</v>
      </c>
      <c r="BJ51" s="36">
        <v>0</v>
      </c>
      <c r="BK51" s="40">
        <v>0</v>
      </c>
      <c r="BL51" s="40">
        <v>0</v>
      </c>
      <c r="BM51" s="40">
        <v>0</v>
      </c>
      <c r="BN51" s="40">
        <v>0</v>
      </c>
      <c r="BO51" s="40">
        <v>0</v>
      </c>
      <c r="BP51" s="40">
        <v>0</v>
      </c>
      <c r="BQ51" s="40">
        <v>0</v>
      </c>
      <c r="BR51" s="40">
        <v>0</v>
      </c>
      <c r="BS51" s="40">
        <v>0</v>
      </c>
      <c r="BT51" s="40">
        <v>0</v>
      </c>
      <c r="BU51" s="40">
        <v>0</v>
      </c>
      <c r="BV51" s="40">
        <v>0</v>
      </c>
      <c r="BW51" s="40">
        <v>0</v>
      </c>
      <c r="BX51" s="40">
        <v>0</v>
      </c>
      <c r="BY51" s="40">
        <v>0</v>
      </c>
      <c r="BZ51" s="40">
        <v>0</v>
      </c>
      <c r="CA51" s="40">
        <v>0</v>
      </c>
      <c r="CB51" s="40">
        <v>0</v>
      </c>
      <c r="CC51" s="40">
        <v>0</v>
      </c>
      <c r="CD51" s="40">
        <v>0</v>
      </c>
      <c r="CE51" s="40">
        <v>0</v>
      </c>
      <c r="CF51" s="40">
        <v>0</v>
      </c>
      <c r="CG51" s="40">
        <v>0</v>
      </c>
      <c r="CH51" s="40">
        <v>0</v>
      </c>
      <c r="CI51" s="40">
        <v>0</v>
      </c>
      <c r="CJ51" s="40">
        <v>0</v>
      </c>
      <c r="CK51" s="40">
        <v>0</v>
      </c>
      <c r="CL51" s="40">
        <v>0</v>
      </c>
      <c r="CM51" s="40">
        <v>0</v>
      </c>
      <c r="CN51" s="40">
        <v>0</v>
      </c>
      <c r="CO51" s="40">
        <v>0</v>
      </c>
      <c r="CP51" s="40">
        <v>0</v>
      </c>
      <c r="CQ51" s="40">
        <v>0</v>
      </c>
      <c r="CR51" s="40">
        <v>0</v>
      </c>
      <c r="CS51" s="40">
        <v>0</v>
      </c>
      <c r="CT51" s="40">
        <v>0</v>
      </c>
      <c r="CU51" s="40">
        <v>0</v>
      </c>
      <c r="CV51" s="40">
        <v>0</v>
      </c>
      <c r="CW51" s="40">
        <v>0</v>
      </c>
      <c r="CX51" s="40">
        <v>0</v>
      </c>
      <c r="CY51" s="40">
        <v>0</v>
      </c>
      <c r="CZ51" s="40">
        <v>0</v>
      </c>
      <c r="DA51" s="40">
        <v>0</v>
      </c>
      <c r="DB51" s="40">
        <v>0</v>
      </c>
      <c r="DC51" s="40">
        <v>0</v>
      </c>
      <c r="DD51" s="40">
        <v>0</v>
      </c>
      <c r="DE51" s="40">
        <v>0</v>
      </c>
      <c r="DF51" s="40">
        <v>0</v>
      </c>
      <c r="DG51" s="40">
        <v>0</v>
      </c>
      <c r="DH51" s="40">
        <v>0</v>
      </c>
      <c r="DI51" s="40">
        <v>0</v>
      </c>
      <c r="DJ51" s="40">
        <v>0</v>
      </c>
      <c r="DK51" s="40">
        <v>0</v>
      </c>
      <c r="DL51" s="40">
        <v>0</v>
      </c>
      <c r="DM51" s="40">
        <v>0</v>
      </c>
      <c r="DN51" s="40">
        <v>0</v>
      </c>
      <c r="DO51" s="40">
        <v>0</v>
      </c>
      <c r="DP51" s="40">
        <v>0</v>
      </c>
      <c r="DQ51" s="40">
        <v>0</v>
      </c>
      <c r="DR51" s="40">
        <v>0</v>
      </c>
      <c r="DS51" s="40">
        <v>0</v>
      </c>
      <c r="DT51" s="40">
        <v>0</v>
      </c>
      <c r="DU51" s="40">
        <v>0</v>
      </c>
      <c r="DV51" s="40">
        <v>0</v>
      </c>
      <c r="DW51" s="40">
        <v>0</v>
      </c>
      <c r="DX51" s="40">
        <v>0</v>
      </c>
      <c r="DY51" s="40">
        <v>0</v>
      </c>
      <c r="DZ51" s="40">
        <v>0</v>
      </c>
      <c r="EA51" s="40">
        <v>0</v>
      </c>
      <c r="EB51" s="40">
        <v>0</v>
      </c>
      <c r="EC51" s="40">
        <v>0</v>
      </c>
      <c r="ED51" s="40">
        <v>0</v>
      </c>
      <c r="EE51" s="40">
        <v>0</v>
      </c>
      <c r="EF51" s="40">
        <v>0</v>
      </c>
      <c r="EG51" s="40">
        <v>0</v>
      </c>
      <c r="EH51" s="40">
        <v>0</v>
      </c>
      <c r="EI51" s="40">
        <v>0</v>
      </c>
      <c r="EJ51" s="40">
        <v>0</v>
      </c>
      <c r="EK51" s="40">
        <v>0</v>
      </c>
      <c r="EL51" s="40">
        <v>0</v>
      </c>
      <c r="EM51" s="40">
        <v>0</v>
      </c>
      <c r="EN51" s="40">
        <v>0</v>
      </c>
      <c r="EO51" s="40">
        <v>0</v>
      </c>
      <c r="EP51" s="40">
        <v>0</v>
      </c>
      <c r="EQ51" s="40">
        <v>0</v>
      </c>
      <c r="ER51" s="40">
        <v>0</v>
      </c>
      <c r="ES51" s="40">
        <v>0</v>
      </c>
      <c r="ET51" s="40">
        <v>0</v>
      </c>
      <c r="EU51" s="40">
        <v>0</v>
      </c>
      <c r="EV51" s="40">
        <v>0</v>
      </c>
      <c r="EW51" s="40">
        <v>0</v>
      </c>
      <c r="EX51" s="40">
        <v>124950</v>
      </c>
      <c r="EY51" s="40">
        <v>0</v>
      </c>
      <c r="EZ51" s="40">
        <v>0</v>
      </c>
      <c r="FA51" s="40">
        <v>0</v>
      </c>
      <c r="FB51" s="40">
        <v>0</v>
      </c>
      <c r="FC51" s="40">
        <v>0</v>
      </c>
      <c r="FD51" s="40">
        <v>0</v>
      </c>
      <c r="FE51" s="40">
        <v>0</v>
      </c>
      <c r="FF51" s="40">
        <v>0</v>
      </c>
      <c r="FG51" s="40">
        <v>0</v>
      </c>
      <c r="FH51" s="40">
        <v>0</v>
      </c>
      <c r="FI51" s="40">
        <v>0</v>
      </c>
      <c r="FJ51" s="40">
        <v>0</v>
      </c>
      <c r="FK51" s="40">
        <v>0</v>
      </c>
      <c r="FL51" s="40">
        <v>0</v>
      </c>
      <c r="FM51" s="40">
        <v>0</v>
      </c>
      <c r="FN51" s="40">
        <v>0</v>
      </c>
      <c r="FO51" s="36">
        <v>0</v>
      </c>
      <c r="FP51" s="36">
        <v>0</v>
      </c>
      <c r="FQ51" s="36">
        <v>0</v>
      </c>
      <c r="FR51" s="36">
        <v>0</v>
      </c>
      <c r="FS51" s="36">
        <v>0</v>
      </c>
      <c r="FT51" s="36">
        <v>0</v>
      </c>
      <c r="FU51" s="36">
        <v>0</v>
      </c>
      <c r="FV51" s="36">
        <v>0</v>
      </c>
      <c r="FW51" s="36">
        <v>0</v>
      </c>
      <c r="FX51" s="36">
        <v>0</v>
      </c>
      <c r="FY51" s="36">
        <v>0</v>
      </c>
      <c r="FZ51" s="36">
        <v>0</v>
      </c>
      <c r="GA51" s="36">
        <v>0</v>
      </c>
      <c r="GB51" s="36">
        <v>0</v>
      </c>
      <c r="GC51" s="36">
        <v>0</v>
      </c>
      <c r="GD51" s="36">
        <v>0</v>
      </c>
      <c r="GE51" s="36">
        <v>0</v>
      </c>
      <c r="GF51" s="36">
        <v>0</v>
      </c>
      <c r="GG51" s="36"/>
      <c r="GH51" s="36"/>
      <c r="GI51" s="36"/>
      <c r="GJ51" s="36"/>
      <c r="GK51" s="36"/>
      <c r="GL51" s="36"/>
      <c r="GM51" s="36"/>
      <c r="GN51" s="36"/>
      <c r="GO51" s="36"/>
      <c r="GP51" s="36"/>
      <c r="GQ51" s="36"/>
      <c r="GR51" s="36"/>
      <c r="GS51" s="36"/>
      <c r="GT51" s="36"/>
      <c r="GU51" s="36">
        <v>0</v>
      </c>
      <c r="GV51" s="36">
        <v>0</v>
      </c>
      <c r="GW51" s="36">
        <v>0</v>
      </c>
      <c r="GX51" s="36">
        <v>0</v>
      </c>
      <c r="GY51" s="36">
        <v>0</v>
      </c>
      <c r="GZ51" s="36">
        <v>0</v>
      </c>
      <c r="HA51" s="36">
        <v>0</v>
      </c>
      <c r="HB51" s="36">
        <v>0</v>
      </c>
      <c r="HC51" s="36">
        <f t="shared" si="0"/>
        <v>124950</v>
      </c>
      <c r="HD51" s="36">
        <f>SUM(AV$5:AV$213)</f>
        <v>124950</v>
      </c>
      <c r="HE51" s="41">
        <v>0</v>
      </c>
    </row>
    <row r="52" spans="1:213" hidden="1" outlineLevel="1" x14ac:dyDescent="0.2">
      <c r="A52" s="9" t="s">
        <v>377</v>
      </c>
      <c r="B52" s="36">
        <v>0</v>
      </c>
      <c r="C52" s="36">
        <v>0</v>
      </c>
      <c r="D52" s="36">
        <v>0</v>
      </c>
      <c r="E52" s="36">
        <v>0</v>
      </c>
      <c r="F52" s="36">
        <v>0</v>
      </c>
      <c r="G52" s="36">
        <v>0</v>
      </c>
      <c r="H52" s="36">
        <v>0</v>
      </c>
      <c r="I52" s="36">
        <v>0</v>
      </c>
      <c r="J52" s="36">
        <v>0</v>
      </c>
      <c r="K52" s="36">
        <v>0</v>
      </c>
      <c r="L52" s="36">
        <v>0</v>
      </c>
      <c r="M52" s="36">
        <v>0</v>
      </c>
      <c r="N52" s="36">
        <v>0</v>
      </c>
      <c r="O52" s="36">
        <v>0</v>
      </c>
      <c r="P52" s="36">
        <v>0</v>
      </c>
      <c r="Q52" s="36">
        <v>0</v>
      </c>
      <c r="R52" s="36">
        <v>0</v>
      </c>
      <c r="S52" s="36">
        <v>0</v>
      </c>
      <c r="T52" s="36">
        <v>0</v>
      </c>
      <c r="U52" s="36">
        <v>0</v>
      </c>
      <c r="V52" s="36">
        <v>0</v>
      </c>
      <c r="W52" s="36">
        <v>0</v>
      </c>
      <c r="X52" s="36">
        <v>0</v>
      </c>
      <c r="Y52" s="36">
        <v>0</v>
      </c>
      <c r="Z52" s="36">
        <v>0</v>
      </c>
      <c r="AA52" s="36">
        <v>0</v>
      </c>
      <c r="AB52" s="36">
        <v>0</v>
      </c>
      <c r="AC52" s="36">
        <v>0</v>
      </c>
      <c r="AD52" s="36">
        <v>0</v>
      </c>
      <c r="AE52" s="36">
        <v>0</v>
      </c>
      <c r="AF52" s="36">
        <v>0</v>
      </c>
      <c r="AG52" s="36">
        <v>0</v>
      </c>
      <c r="AH52" s="36">
        <v>0</v>
      </c>
      <c r="AI52" s="36">
        <v>0</v>
      </c>
      <c r="AJ52" s="36">
        <v>0</v>
      </c>
      <c r="AK52" s="36">
        <v>0</v>
      </c>
      <c r="AL52" s="36">
        <v>0</v>
      </c>
      <c r="AM52" s="36">
        <v>0</v>
      </c>
      <c r="AN52" s="36">
        <v>0</v>
      </c>
      <c r="AO52" s="36">
        <v>0</v>
      </c>
      <c r="AP52" s="36">
        <v>0</v>
      </c>
      <c r="AQ52" s="36">
        <v>0</v>
      </c>
      <c r="AR52" s="36">
        <v>0</v>
      </c>
      <c r="AS52" s="36">
        <v>0</v>
      </c>
      <c r="AT52" s="36">
        <v>0</v>
      </c>
      <c r="AU52" s="36">
        <v>0</v>
      </c>
      <c r="AV52" s="36">
        <v>0</v>
      </c>
      <c r="AW52" s="36">
        <v>0</v>
      </c>
      <c r="AX52" s="36">
        <v>0</v>
      </c>
      <c r="AY52" s="36">
        <v>0</v>
      </c>
      <c r="AZ52" s="36">
        <v>0</v>
      </c>
      <c r="BA52" s="36">
        <v>0</v>
      </c>
      <c r="BB52" s="36">
        <v>0</v>
      </c>
      <c r="BC52" s="36">
        <v>0</v>
      </c>
      <c r="BD52" s="36">
        <v>0</v>
      </c>
      <c r="BE52" s="36">
        <v>0</v>
      </c>
      <c r="BF52" s="36">
        <v>0</v>
      </c>
      <c r="BG52" s="36">
        <v>0</v>
      </c>
      <c r="BH52" s="36">
        <v>0</v>
      </c>
      <c r="BI52" s="36">
        <v>0</v>
      </c>
      <c r="BJ52" s="36">
        <v>0</v>
      </c>
      <c r="BK52" s="40">
        <v>0</v>
      </c>
      <c r="BL52" s="40">
        <v>0</v>
      </c>
      <c r="BM52" s="40">
        <v>0</v>
      </c>
      <c r="BN52" s="40">
        <v>0</v>
      </c>
      <c r="BO52" s="40">
        <v>0</v>
      </c>
      <c r="BP52" s="40">
        <v>0</v>
      </c>
      <c r="BQ52" s="40">
        <v>0</v>
      </c>
      <c r="BR52" s="40">
        <v>0</v>
      </c>
      <c r="BS52" s="40">
        <v>0</v>
      </c>
      <c r="BT52" s="40">
        <v>0</v>
      </c>
      <c r="BU52" s="40">
        <v>0</v>
      </c>
      <c r="BV52" s="40">
        <v>0</v>
      </c>
      <c r="BW52" s="40">
        <v>0</v>
      </c>
      <c r="BX52" s="40">
        <v>0</v>
      </c>
      <c r="BY52" s="40">
        <v>0</v>
      </c>
      <c r="BZ52" s="40">
        <v>0</v>
      </c>
      <c r="CA52" s="40">
        <v>0</v>
      </c>
      <c r="CB52" s="40">
        <v>0</v>
      </c>
      <c r="CC52" s="40">
        <v>0</v>
      </c>
      <c r="CD52" s="40">
        <v>0</v>
      </c>
      <c r="CE52" s="40">
        <v>0</v>
      </c>
      <c r="CF52" s="40">
        <v>0</v>
      </c>
      <c r="CG52" s="40">
        <v>0</v>
      </c>
      <c r="CH52" s="40">
        <v>0</v>
      </c>
      <c r="CI52" s="40">
        <v>0</v>
      </c>
      <c r="CJ52" s="40">
        <v>0</v>
      </c>
      <c r="CK52" s="40">
        <v>0</v>
      </c>
      <c r="CL52" s="40">
        <v>0</v>
      </c>
      <c r="CM52" s="40">
        <v>0</v>
      </c>
      <c r="CN52" s="40">
        <v>0</v>
      </c>
      <c r="CO52" s="40">
        <v>0</v>
      </c>
      <c r="CP52" s="40">
        <v>0</v>
      </c>
      <c r="CQ52" s="40">
        <v>0</v>
      </c>
      <c r="CR52" s="40">
        <v>0</v>
      </c>
      <c r="CS52" s="40">
        <v>0</v>
      </c>
      <c r="CT52" s="40">
        <v>0</v>
      </c>
      <c r="CU52" s="40">
        <v>0</v>
      </c>
      <c r="CV52" s="40">
        <v>0</v>
      </c>
      <c r="CW52" s="40">
        <v>0</v>
      </c>
      <c r="CX52" s="40">
        <v>0</v>
      </c>
      <c r="CY52" s="40">
        <v>0</v>
      </c>
      <c r="CZ52" s="40">
        <v>0</v>
      </c>
      <c r="DA52" s="40">
        <v>0</v>
      </c>
      <c r="DB52" s="40">
        <v>0</v>
      </c>
      <c r="DC52" s="40">
        <v>0</v>
      </c>
      <c r="DD52" s="40">
        <v>0</v>
      </c>
      <c r="DE52" s="40">
        <v>0</v>
      </c>
      <c r="DF52" s="40">
        <v>0</v>
      </c>
      <c r="DG52" s="40">
        <v>0</v>
      </c>
      <c r="DH52" s="40">
        <v>0</v>
      </c>
      <c r="DI52" s="40">
        <v>0</v>
      </c>
      <c r="DJ52" s="40">
        <v>0</v>
      </c>
      <c r="DK52" s="40">
        <v>0</v>
      </c>
      <c r="DL52" s="40">
        <v>0</v>
      </c>
      <c r="DM52" s="40">
        <v>0</v>
      </c>
      <c r="DN52" s="40">
        <v>0</v>
      </c>
      <c r="DO52" s="40">
        <v>0</v>
      </c>
      <c r="DP52" s="40">
        <v>0</v>
      </c>
      <c r="DQ52" s="40">
        <v>0</v>
      </c>
      <c r="DR52" s="40">
        <v>0</v>
      </c>
      <c r="DS52" s="40">
        <v>0</v>
      </c>
      <c r="DT52" s="40">
        <v>0</v>
      </c>
      <c r="DU52" s="40">
        <v>0</v>
      </c>
      <c r="DV52" s="40">
        <v>0</v>
      </c>
      <c r="DW52" s="40">
        <v>0</v>
      </c>
      <c r="DX52" s="40">
        <v>0</v>
      </c>
      <c r="DY52" s="40">
        <v>0</v>
      </c>
      <c r="DZ52" s="40">
        <v>0</v>
      </c>
      <c r="EA52" s="40">
        <v>0</v>
      </c>
      <c r="EB52" s="40">
        <v>0</v>
      </c>
      <c r="EC52" s="40">
        <v>0</v>
      </c>
      <c r="ED52" s="40">
        <v>0</v>
      </c>
      <c r="EE52" s="40">
        <v>0</v>
      </c>
      <c r="EF52" s="40">
        <v>0</v>
      </c>
      <c r="EG52" s="40">
        <v>0</v>
      </c>
      <c r="EH52" s="40">
        <v>0</v>
      </c>
      <c r="EI52" s="40">
        <v>0</v>
      </c>
      <c r="EJ52" s="40">
        <v>0</v>
      </c>
      <c r="EK52" s="40">
        <v>0</v>
      </c>
      <c r="EL52" s="40">
        <v>0</v>
      </c>
      <c r="EM52" s="40">
        <v>0</v>
      </c>
      <c r="EN52" s="40">
        <v>0</v>
      </c>
      <c r="EO52" s="40">
        <v>0</v>
      </c>
      <c r="EP52" s="40">
        <v>0</v>
      </c>
      <c r="EQ52" s="40">
        <v>0</v>
      </c>
      <c r="ER52" s="40">
        <v>0</v>
      </c>
      <c r="ES52" s="40">
        <v>0</v>
      </c>
      <c r="ET52" s="40">
        <v>0</v>
      </c>
      <c r="EU52" s="40">
        <v>0</v>
      </c>
      <c r="EV52" s="40">
        <v>256.04568498339358</v>
      </c>
      <c r="EW52" s="40">
        <v>216908.73799442046</v>
      </c>
      <c r="EX52" s="40">
        <v>46097.612000000001</v>
      </c>
      <c r="EY52" s="40">
        <v>0</v>
      </c>
      <c r="EZ52" s="40">
        <v>6206.4632937000551</v>
      </c>
      <c r="FA52" s="40">
        <v>0</v>
      </c>
      <c r="FB52" s="40">
        <v>0</v>
      </c>
      <c r="FC52" s="40">
        <v>0</v>
      </c>
      <c r="FD52" s="40">
        <v>0</v>
      </c>
      <c r="FE52" s="40">
        <v>0</v>
      </c>
      <c r="FF52" s="40">
        <v>0</v>
      </c>
      <c r="FG52" s="40">
        <v>0</v>
      </c>
      <c r="FH52" s="40">
        <v>0</v>
      </c>
      <c r="FI52" s="40">
        <v>0</v>
      </c>
      <c r="FJ52" s="40">
        <v>0</v>
      </c>
      <c r="FK52" s="40">
        <v>0</v>
      </c>
      <c r="FL52" s="40">
        <v>0</v>
      </c>
      <c r="FM52" s="40">
        <v>0</v>
      </c>
      <c r="FN52" s="40">
        <v>0</v>
      </c>
      <c r="FO52" s="36">
        <v>0</v>
      </c>
      <c r="FP52" s="36">
        <v>0</v>
      </c>
      <c r="FQ52" s="36">
        <v>0</v>
      </c>
      <c r="FR52" s="36">
        <v>0</v>
      </c>
      <c r="FS52" s="36">
        <v>0</v>
      </c>
      <c r="FT52" s="36">
        <v>0</v>
      </c>
      <c r="FU52" s="36">
        <v>0</v>
      </c>
      <c r="FV52" s="36">
        <v>0</v>
      </c>
      <c r="FW52" s="36">
        <v>0</v>
      </c>
      <c r="FX52" s="36">
        <v>0</v>
      </c>
      <c r="FY52" s="36">
        <v>0</v>
      </c>
      <c r="FZ52" s="36">
        <v>0</v>
      </c>
      <c r="GA52" s="36">
        <v>0</v>
      </c>
      <c r="GB52" s="36">
        <v>0</v>
      </c>
      <c r="GC52" s="36">
        <v>0</v>
      </c>
      <c r="GD52" s="36">
        <v>0</v>
      </c>
      <c r="GE52" s="36">
        <v>0</v>
      </c>
      <c r="GF52" s="36">
        <v>0</v>
      </c>
      <c r="GG52" s="36"/>
      <c r="GH52" s="36"/>
      <c r="GI52" s="36"/>
      <c r="GJ52" s="36"/>
      <c r="GK52" s="36"/>
      <c r="GL52" s="36"/>
      <c r="GM52" s="36"/>
      <c r="GN52" s="36"/>
      <c r="GO52" s="36"/>
      <c r="GP52" s="36"/>
      <c r="GQ52" s="36"/>
      <c r="GR52" s="36"/>
      <c r="GS52" s="36"/>
      <c r="GT52" s="36"/>
      <c r="GU52" s="36">
        <v>0</v>
      </c>
      <c r="GV52" s="36">
        <v>0</v>
      </c>
      <c r="GW52" s="36">
        <v>0</v>
      </c>
      <c r="GX52" s="36">
        <v>0</v>
      </c>
      <c r="GY52" s="36">
        <v>0</v>
      </c>
      <c r="GZ52" s="36">
        <v>0</v>
      </c>
      <c r="HA52" s="36">
        <v>0</v>
      </c>
      <c r="HB52" s="36">
        <v>0</v>
      </c>
      <c r="HC52" s="36">
        <f t="shared" si="0"/>
        <v>269468.85897310392</v>
      </c>
      <c r="HD52" s="36">
        <f>SUM(AW$5:AW$213)</f>
        <v>269468.85897310392</v>
      </c>
      <c r="HE52" s="41">
        <v>0</v>
      </c>
    </row>
    <row r="53" spans="1:213" hidden="1" outlineLevel="1" x14ac:dyDescent="0.2">
      <c r="A53" s="9" t="s">
        <v>387</v>
      </c>
      <c r="B53" s="36">
        <v>0</v>
      </c>
      <c r="C53" s="36">
        <v>0</v>
      </c>
      <c r="D53" s="36">
        <v>0</v>
      </c>
      <c r="E53" s="36">
        <v>0</v>
      </c>
      <c r="F53" s="36">
        <v>0</v>
      </c>
      <c r="G53" s="36">
        <v>0</v>
      </c>
      <c r="H53" s="36">
        <v>0</v>
      </c>
      <c r="I53" s="36">
        <v>0</v>
      </c>
      <c r="J53" s="36">
        <v>0</v>
      </c>
      <c r="K53" s="36">
        <v>0</v>
      </c>
      <c r="L53" s="36">
        <v>0</v>
      </c>
      <c r="M53" s="36">
        <v>0</v>
      </c>
      <c r="N53" s="36">
        <v>0</v>
      </c>
      <c r="O53" s="36">
        <v>0</v>
      </c>
      <c r="P53" s="36">
        <v>0</v>
      </c>
      <c r="Q53" s="36">
        <v>0</v>
      </c>
      <c r="R53" s="36">
        <v>0</v>
      </c>
      <c r="S53" s="36">
        <v>0</v>
      </c>
      <c r="T53" s="36">
        <v>0</v>
      </c>
      <c r="U53" s="36">
        <v>0</v>
      </c>
      <c r="V53" s="36">
        <v>0</v>
      </c>
      <c r="W53" s="36">
        <v>0</v>
      </c>
      <c r="X53" s="36">
        <v>0</v>
      </c>
      <c r="Y53" s="36">
        <v>0</v>
      </c>
      <c r="Z53" s="36">
        <v>0</v>
      </c>
      <c r="AA53" s="36">
        <v>0</v>
      </c>
      <c r="AB53" s="36">
        <v>0</v>
      </c>
      <c r="AC53" s="36">
        <v>0</v>
      </c>
      <c r="AD53" s="36">
        <v>0</v>
      </c>
      <c r="AE53" s="36">
        <v>0</v>
      </c>
      <c r="AF53" s="36">
        <v>0</v>
      </c>
      <c r="AG53" s="36">
        <v>0</v>
      </c>
      <c r="AH53" s="36">
        <v>0</v>
      </c>
      <c r="AI53" s="36">
        <v>0</v>
      </c>
      <c r="AJ53" s="36">
        <v>0</v>
      </c>
      <c r="AK53" s="36">
        <v>0</v>
      </c>
      <c r="AL53" s="36">
        <v>0</v>
      </c>
      <c r="AM53" s="36">
        <v>0</v>
      </c>
      <c r="AN53" s="36">
        <v>0</v>
      </c>
      <c r="AO53" s="36">
        <v>0</v>
      </c>
      <c r="AP53" s="36">
        <v>0</v>
      </c>
      <c r="AQ53" s="36">
        <v>0</v>
      </c>
      <c r="AR53" s="36">
        <v>0</v>
      </c>
      <c r="AS53" s="36">
        <v>0</v>
      </c>
      <c r="AT53" s="36">
        <v>0</v>
      </c>
      <c r="AU53" s="36">
        <v>0</v>
      </c>
      <c r="AV53" s="36">
        <v>0</v>
      </c>
      <c r="AW53" s="36">
        <v>0</v>
      </c>
      <c r="AX53" s="36">
        <v>0</v>
      </c>
      <c r="AY53" s="36">
        <v>0</v>
      </c>
      <c r="AZ53" s="36">
        <v>0</v>
      </c>
      <c r="BA53" s="36">
        <v>0</v>
      </c>
      <c r="BB53" s="36">
        <v>0</v>
      </c>
      <c r="BC53" s="36">
        <v>0</v>
      </c>
      <c r="BD53" s="36">
        <v>0</v>
      </c>
      <c r="BE53" s="36">
        <v>0</v>
      </c>
      <c r="BF53" s="36">
        <v>0</v>
      </c>
      <c r="BG53" s="36">
        <v>0</v>
      </c>
      <c r="BH53" s="36">
        <v>0</v>
      </c>
      <c r="BI53" s="36">
        <v>0</v>
      </c>
      <c r="BJ53" s="36">
        <v>0</v>
      </c>
      <c r="BK53" s="40">
        <v>0</v>
      </c>
      <c r="BL53" s="40">
        <v>0</v>
      </c>
      <c r="BM53" s="40">
        <v>0</v>
      </c>
      <c r="BN53" s="40">
        <v>0</v>
      </c>
      <c r="BO53" s="40">
        <v>0</v>
      </c>
      <c r="BP53" s="40">
        <v>0</v>
      </c>
      <c r="BQ53" s="40">
        <v>0</v>
      </c>
      <c r="BR53" s="40">
        <v>0</v>
      </c>
      <c r="BS53" s="40">
        <v>0</v>
      </c>
      <c r="BT53" s="40">
        <v>0</v>
      </c>
      <c r="BU53" s="40">
        <v>0</v>
      </c>
      <c r="BV53" s="40">
        <v>0</v>
      </c>
      <c r="BW53" s="40">
        <v>0</v>
      </c>
      <c r="BX53" s="40">
        <v>0</v>
      </c>
      <c r="BY53" s="40">
        <v>0</v>
      </c>
      <c r="BZ53" s="40">
        <v>0</v>
      </c>
      <c r="CA53" s="40">
        <v>0</v>
      </c>
      <c r="CB53" s="40">
        <v>0</v>
      </c>
      <c r="CC53" s="40">
        <v>0</v>
      </c>
      <c r="CD53" s="40">
        <v>0</v>
      </c>
      <c r="CE53" s="40">
        <v>0</v>
      </c>
      <c r="CF53" s="40">
        <v>0</v>
      </c>
      <c r="CG53" s="40">
        <v>0</v>
      </c>
      <c r="CH53" s="40">
        <v>0</v>
      </c>
      <c r="CI53" s="40">
        <v>0</v>
      </c>
      <c r="CJ53" s="40">
        <v>0</v>
      </c>
      <c r="CK53" s="40">
        <v>0</v>
      </c>
      <c r="CL53" s="40">
        <v>0</v>
      </c>
      <c r="CM53" s="40">
        <v>0</v>
      </c>
      <c r="CN53" s="40">
        <v>0</v>
      </c>
      <c r="CO53" s="40">
        <v>0</v>
      </c>
      <c r="CP53" s="40">
        <v>0</v>
      </c>
      <c r="CQ53" s="40">
        <v>0</v>
      </c>
      <c r="CR53" s="40">
        <v>0</v>
      </c>
      <c r="CS53" s="40">
        <v>0</v>
      </c>
      <c r="CT53" s="40">
        <v>0</v>
      </c>
      <c r="CU53" s="40">
        <v>0</v>
      </c>
      <c r="CV53" s="40">
        <v>0</v>
      </c>
      <c r="CW53" s="40">
        <v>0</v>
      </c>
      <c r="CX53" s="40">
        <v>0</v>
      </c>
      <c r="CY53" s="40">
        <v>0</v>
      </c>
      <c r="CZ53" s="40">
        <v>0</v>
      </c>
      <c r="DA53" s="40">
        <v>0</v>
      </c>
      <c r="DB53" s="40">
        <v>0</v>
      </c>
      <c r="DC53" s="40">
        <v>0</v>
      </c>
      <c r="DD53" s="40">
        <v>0</v>
      </c>
      <c r="DE53" s="40">
        <v>0</v>
      </c>
      <c r="DF53" s="40">
        <v>0</v>
      </c>
      <c r="DG53" s="40">
        <v>0</v>
      </c>
      <c r="DH53" s="40">
        <v>0</v>
      </c>
      <c r="DI53" s="40">
        <v>0</v>
      </c>
      <c r="DJ53" s="40">
        <v>0</v>
      </c>
      <c r="DK53" s="40">
        <v>0</v>
      </c>
      <c r="DL53" s="40">
        <v>0</v>
      </c>
      <c r="DM53" s="40">
        <v>0</v>
      </c>
      <c r="DN53" s="40">
        <v>0</v>
      </c>
      <c r="DO53" s="40">
        <v>0</v>
      </c>
      <c r="DP53" s="40">
        <v>0</v>
      </c>
      <c r="DQ53" s="40">
        <v>0</v>
      </c>
      <c r="DR53" s="40">
        <v>0</v>
      </c>
      <c r="DS53" s="40">
        <v>0</v>
      </c>
      <c r="DT53" s="40">
        <v>0</v>
      </c>
      <c r="DU53" s="40">
        <v>0</v>
      </c>
      <c r="DV53" s="40">
        <v>0</v>
      </c>
      <c r="DW53" s="40">
        <v>0</v>
      </c>
      <c r="DX53" s="40">
        <v>0</v>
      </c>
      <c r="DY53" s="40">
        <v>0</v>
      </c>
      <c r="DZ53" s="40">
        <v>0</v>
      </c>
      <c r="EA53" s="40">
        <v>0</v>
      </c>
      <c r="EB53" s="40">
        <v>0</v>
      </c>
      <c r="EC53" s="40">
        <v>0</v>
      </c>
      <c r="ED53" s="40">
        <v>0</v>
      </c>
      <c r="EE53" s="40">
        <v>0</v>
      </c>
      <c r="EF53" s="40">
        <v>0</v>
      </c>
      <c r="EG53" s="40">
        <v>0</v>
      </c>
      <c r="EH53" s="40">
        <v>0</v>
      </c>
      <c r="EI53" s="40">
        <v>0</v>
      </c>
      <c r="EJ53" s="40">
        <v>0</v>
      </c>
      <c r="EK53" s="40">
        <v>0</v>
      </c>
      <c r="EL53" s="40">
        <v>0</v>
      </c>
      <c r="EM53" s="40">
        <v>0</v>
      </c>
      <c r="EN53" s="40">
        <v>0</v>
      </c>
      <c r="EO53" s="40">
        <v>0</v>
      </c>
      <c r="EP53" s="40">
        <v>0</v>
      </c>
      <c r="EQ53" s="40">
        <v>0</v>
      </c>
      <c r="ER53" s="40">
        <v>0</v>
      </c>
      <c r="ES53" s="40">
        <v>0</v>
      </c>
      <c r="ET53" s="40">
        <v>0</v>
      </c>
      <c r="EU53" s="40">
        <v>0</v>
      </c>
      <c r="EV53" s="40">
        <v>0</v>
      </c>
      <c r="EW53" s="40">
        <v>0</v>
      </c>
      <c r="EX53" s="40">
        <v>0</v>
      </c>
      <c r="EY53" s="40">
        <v>288509.67988046427</v>
      </c>
      <c r="EZ53" s="40">
        <v>239746.15748672758</v>
      </c>
      <c r="FA53" s="40">
        <v>1162.0429202265918</v>
      </c>
      <c r="FB53" s="40">
        <v>0</v>
      </c>
      <c r="FC53" s="40">
        <v>0</v>
      </c>
      <c r="FD53" s="40">
        <v>0</v>
      </c>
      <c r="FE53" s="40">
        <v>0</v>
      </c>
      <c r="FF53" s="40">
        <v>0</v>
      </c>
      <c r="FG53" s="40">
        <v>0</v>
      </c>
      <c r="FH53" s="40">
        <v>0</v>
      </c>
      <c r="FI53" s="40">
        <v>0</v>
      </c>
      <c r="FJ53" s="40">
        <v>0</v>
      </c>
      <c r="FK53" s="40">
        <v>0</v>
      </c>
      <c r="FL53" s="40">
        <v>0</v>
      </c>
      <c r="FM53" s="40">
        <v>12153.969241537094</v>
      </c>
      <c r="FN53" s="40">
        <v>0</v>
      </c>
      <c r="FO53" s="36">
        <v>0</v>
      </c>
      <c r="FP53" s="36">
        <v>0</v>
      </c>
      <c r="FQ53" s="36">
        <v>0</v>
      </c>
      <c r="FR53" s="36">
        <v>0</v>
      </c>
      <c r="FS53" s="36">
        <v>0</v>
      </c>
      <c r="FT53" s="36">
        <v>0</v>
      </c>
      <c r="FU53" s="36">
        <v>0</v>
      </c>
      <c r="FV53" s="36">
        <v>0</v>
      </c>
      <c r="FW53" s="36">
        <v>0</v>
      </c>
      <c r="FX53" s="36">
        <v>0</v>
      </c>
      <c r="FY53" s="36">
        <v>0</v>
      </c>
      <c r="FZ53" s="36">
        <v>0</v>
      </c>
      <c r="GA53" s="36">
        <v>0</v>
      </c>
      <c r="GB53" s="36">
        <v>0</v>
      </c>
      <c r="GC53" s="36">
        <v>0</v>
      </c>
      <c r="GD53" s="36">
        <v>0</v>
      </c>
      <c r="GE53" s="36">
        <v>0</v>
      </c>
      <c r="GF53" s="36">
        <v>0</v>
      </c>
      <c r="GG53" s="36"/>
      <c r="GH53" s="36"/>
      <c r="GI53" s="36"/>
      <c r="GJ53" s="36"/>
      <c r="GK53" s="36"/>
      <c r="GL53" s="36"/>
      <c r="GM53" s="36"/>
      <c r="GN53" s="36"/>
      <c r="GO53" s="36"/>
      <c r="GP53" s="36"/>
      <c r="GQ53" s="36"/>
      <c r="GR53" s="36"/>
      <c r="GS53" s="36"/>
      <c r="GT53" s="36"/>
      <c r="GU53" s="36">
        <v>0</v>
      </c>
      <c r="GV53" s="36">
        <v>0</v>
      </c>
      <c r="GW53" s="36">
        <v>0</v>
      </c>
      <c r="GX53" s="36">
        <v>0</v>
      </c>
      <c r="GY53" s="36">
        <v>0</v>
      </c>
      <c r="GZ53" s="36">
        <v>0</v>
      </c>
      <c r="HA53" s="36">
        <v>0</v>
      </c>
      <c r="HB53" s="36">
        <v>0</v>
      </c>
      <c r="HC53" s="36">
        <f t="shared" si="0"/>
        <v>541571.84952895553</v>
      </c>
      <c r="HD53" s="36">
        <f>SUM(AX$5:AX$213)</f>
        <v>541571.84952895541</v>
      </c>
      <c r="HE53" s="41">
        <v>0</v>
      </c>
    </row>
    <row r="54" spans="1:213" hidden="1" outlineLevel="1" x14ac:dyDescent="0.2">
      <c r="A54" s="9" t="s">
        <v>392</v>
      </c>
      <c r="B54" s="36">
        <v>0</v>
      </c>
      <c r="C54" s="36">
        <v>0</v>
      </c>
      <c r="D54" s="36">
        <v>0</v>
      </c>
      <c r="E54" s="36">
        <v>0</v>
      </c>
      <c r="F54" s="36">
        <v>0</v>
      </c>
      <c r="G54" s="36">
        <v>0</v>
      </c>
      <c r="H54" s="36">
        <v>0</v>
      </c>
      <c r="I54" s="36">
        <v>0</v>
      </c>
      <c r="J54" s="36">
        <v>0</v>
      </c>
      <c r="K54" s="36">
        <v>0</v>
      </c>
      <c r="L54" s="36">
        <v>0</v>
      </c>
      <c r="M54" s="36">
        <v>0</v>
      </c>
      <c r="N54" s="36">
        <v>0</v>
      </c>
      <c r="O54" s="36">
        <v>0</v>
      </c>
      <c r="P54" s="36">
        <v>0</v>
      </c>
      <c r="Q54" s="36">
        <v>0</v>
      </c>
      <c r="R54" s="36">
        <v>0</v>
      </c>
      <c r="S54" s="36">
        <v>0</v>
      </c>
      <c r="T54" s="36">
        <v>0</v>
      </c>
      <c r="U54" s="36">
        <v>0</v>
      </c>
      <c r="V54" s="36">
        <v>0</v>
      </c>
      <c r="W54" s="36">
        <v>0</v>
      </c>
      <c r="X54" s="36">
        <v>0</v>
      </c>
      <c r="Y54" s="36">
        <v>0</v>
      </c>
      <c r="Z54" s="36">
        <v>0</v>
      </c>
      <c r="AA54" s="36">
        <v>0</v>
      </c>
      <c r="AB54" s="36">
        <v>0</v>
      </c>
      <c r="AC54" s="36">
        <v>0</v>
      </c>
      <c r="AD54" s="36">
        <v>0</v>
      </c>
      <c r="AE54" s="36">
        <v>0</v>
      </c>
      <c r="AF54" s="36">
        <v>0</v>
      </c>
      <c r="AG54" s="36">
        <v>0</v>
      </c>
      <c r="AH54" s="36">
        <v>0</v>
      </c>
      <c r="AI54" s="36">
        <v>0</v>
      </c>
      <c r="AJ54" s="36">
        <v>0</v>
      </c>
      <c r="AK54" s="36">
        <v>0</v>
      </c>
      <c r="AL54" s="36">
        <v>0</v>
      </c>
      <c r="AM54" s="36">
        <v>0</v>
      </c>
      <c r="AN54" s="36">
        <v>0</v>
      </c>
      <c r="AO54" s="36">
        <v>0</v>
      </c>
      <c r="AP54" s="36">
        <v>0</v>
      </c>
      <c r="AQ54" s="36">
        <v>0</v>
      </c>
      <c r="AR54" s="36">
        <v>0</v>
      </c>
      <c r="AS54" s="36">
        <v>0</v>
      </c>
      <c r="AT54" s="36">
        <v>0</v>
      </c>
      <c r="AU54" s="36">
        <v>0</v>
      </c>
      <c r="AV54" s="36">
        <v>0</v>
      </c>
      <c r="AW54" s="36">
        <v>0</v>
      </c>
      <c r="AX54" s="36">
        <v>0</v>
      </c>
      <c r="AY54" s="36">
        <v>0</v>
      </c>
      <c r="AZ54" s="36">
        <v>0</v>
      </c>
      <c r="BA54" s="36">
        <v>0</v>
      </c>
      <c r="BB54" s="36">
        <v>0</v>
      </c>
      <c r="BC54" s="36">
        <v>0</v>
      </c>
      <c r="BD54" s="36">
        <v>0</v>
      </c>
      <c r="BE54" s="36">
        <v>0</v>
      </c>
      <c r="BF54" s="36">
        <v>0</v>
      </c>
      <c r="BG54" s="36">
        <v>0</v>
      </c>
      <c r="BH54" s="36">
        <v>0</v>
      </c>
      <c r="BI54" s="36">
        <v>0</v>
      </c>
      <c r="BJ54" s="36">
        <v>0</v>
      </c>
      <c r="BK54" s="40">
        <v>0</v>
      </c>
      <c r="BL54" s="40">
        <v>0</v>
      </c>
      <c r="BM54" s="40">
        <v>0</v>
      </c>
      <c r="BN54" s="40">
        <v>0</v>
      </c>
      <c r="BO54" s="40">
        <v>0</v>
      </c>
      <c r="BP54" s="40">
        <v>0</v>
      </c>
      <c r="BQ54" s="40">
        <v>0</v>
      </c>
      <c r="BR54" s="40">
        <v>0</v>
      </c>
      <c r="BS54" s="40">
        <v>0</v>
      </c>
      <c r="BT54" s="40">
        <v>0</v>
      </c>
      <c r="BU54" s="40">
        <v>0</v>
      </c>
      <c r="BV54" s="40">
        <v>0</v>
      </c>
      <c r="BW54" s="40">
        <v>0</v>
      </c>
      <c r="BX54" s="40">
        <v>0</v>
      </c>
      <c r="BY54" s="40">
        <v>0</v>
      </c>
      <c r="BZ54" s="40">
        <v>0</v>
      </c>
      <c r="CA54" s="40">
        <v>0</v>
      </c>
      <c r="CB54" s="40">
        <v>0</v>
      </c>
      <c r="CC54" s="40">
        <v>0</v>
      </c>
      <c r="CD54" s="40">
        <v>0</v>
      </c>
      <c r="CE54" s="40">
        <v>0</v>
      </c>
      <c r="CF54" s="40">
        <v>0</v>
      </c>
      <c r="CG54" s="40">
        <v>0</v>
      </c>
      <c r="CH54" s="40">
        <v>0</v>
      </c>
      <c r="CI54" s="40">
        <v>0</v>
      </c>
      <c r="CJ54" s="40">
        <v>0</v>
      </c>
      <c r="CK54" s="40">
        <v>0</v>
      </c>
      <c r="CL54" s="40">
        <v>0</v>
      </c>
      <c r="CM54" s="40">
        <v>0</v>
      </c>
      <c r="CN54" s="40">
        <v>0</v>
      </c>
      <c r="CO54" s="40">
        <v>0</v>
      </c>
      <c r="CP54" s="40">
        <v>0</v>
      </c>
      <c r="CQ54" s="40">
        <v>0</v>
      </c>
      <c r="CR54" s="40">
        <v>0</v>
      </c>
      <c r="CS54" s="40">
        <v>0</v>
      </c>
      <c r="CT54" s="40">
        <v>0</v>
      </c>
      <c r="CU54" s="40">
        <v>0</v>
      </c>
      <c r="CV54" s="40">
        <v>0</v>
      </c>
      <c r="CW54" s="40">
        <v>0</v>
      </c>
      <c r="CX54" s="40">
        <v>0</v>
      </c>
      <c r="CY54" s="40">
        <v>0</v>
      </c>
      <c r="CZ54" s="40">
        <v>0</v>
      </c>
      <c r="DA54" s="40">
        <v>0</v>
      </c>
      <c r="DB54" s="40">
        <v>0</v>
      </c>
      <c r="DC54" s="40">
        <v>0</v>
      </c>
      <c r="DD54" s="40">
        <v>0</v>
      </c>
      <c r="DE54" s="40">
        <v>0</v>
      </c>
      <c r="DF54" s="40">
        <v>0</v>
      </c>
      <c r="DG54" s="40">
        <v>0</v>
      </c>
      <c r="DH54" s="40">
        <v>0</v>
      </c>
      <c r="DI54" s="40">
        <v>0</v>
      </c>
      <c r="DJ54" s="40">
        <v>0</v>
      </c>
      <c r="DK54" s="40">
        <v>0</v>
      </c>
      <c r="DL54" s="40">
        <v>0</v>
      </c>
      <c r="DM54" s="40">
        <v>0</v>
      </c>
      <c r="DN54" s="40">
        <v>0</v>
      </c>
      <c r="DO54" s="40">
        <v>0</v>
      </c>
      <c r="DP54" s="40">
        <v>0</v>
      </c>
      <c r="DQ54" s="40">
        <v>0</v>
      </c>
      <c r="DR54" s="40">
        <v>0</v>
      </c>
      <c r="DS54" s="40">
        <v>0</v>
      </c>
      <c r="DT54" s="40">
        <v>0</v>
      </c>
      <c r="DU54" s="40">
        <v>0</v>
      </c>
      <c r="DV54" s="40">
        <v>0</v>
      </c>
      <c r="DW54" s="40">
        <v>0</v>
      </c>
      <c r="DX54" s="40">
        <v>0</v>
      </c>
      <c r="DY54" s="40">
        <v>0</v>
      </c>
      <c r="DZ54" s="40">
        <v>0</v>
      </c>
      <c r="EA54" s="40">
        <v>0</v>
      </c>
      <c r="EB54" s="40">
        <v>0</v>
      </c>
      <c r="EC54" s="40">
        <v>0</v>
      </c>
      <c r="ED54" s="40">
        <v>0</v>
      </c>
      <c r="EE54" s="40">
        <v>0</v>
      </c>
      <c r="EF54" s="40">
        <v>0</v>
      </c>
      <c r="EG54" s="40">
        <v>0</v>
      </c>
      <c r="EH54" s="40">
        <v>0</v>
      </c>
      <c r="EI54" s="40">
        <v>0</v>
      </c>
      <c r="EJ54" s="40">
        <v>0</v>
      </c>
      <c r="EK54" s="40">
        <v>0</v>
      </c>
      <c r="EL54" s="40">
        <v>0</v>
      </c>
      <c r="EM54" s="40">
        <v>0</v>
      </c>
      <c r="EN54" s="40">
        <v>0</v>
      </c>
      <c r="EO54" s="40">
        <v>0</v>
      </c>
      <c r="EP54" s="40">
        <v>207.07473612756365</v>
      </c>
      <c r="EQ54" s="40">
        <v>0</v>
      </c>
      <c r="ER54" s="40">
        <v>0</v>
      </c>
      <c r="ES54" s="40">
        <v>0</v>
      </c>
      <c r="ET54" s="40">
        <v>0</v>
      </c>
      <c r="EU54" s="40">
        <v>0</v>
      </c>
      <c r="EV54" s="40">
        <v>0</v>
      </c>
      <c r="EW54" s="40">
        <v>0</v>
      </c>
      <c r="EX54" s="40">
        <v>0</v>
      </c>
      <c r="EY54" s="40">
        <v>0</v>
      </c>
      <c r="EZ54" s="40">
        <v>1341.6844743447937</v>
      </c>
      <c r="FA54" s="40">
        <v>50381.933516993246</v>
      </c>
      <c r="FB54" s="40">
        <v>0</v>
      </c>
      <c r="FC54" s="40">
        <v>0</v>
      </c>
      <c r="FD54" s="40">
        <v>0</v>
      </c>
      <c r="FE54" s="40">
        <v>0</v>
      </c>
      <c r="FF54" s="40">
        <v>0</v>
      </c>
      <c r="FG54" s="40">
        <v>0</v>
      </c>
      <c r="FH54" s="40">
        <v>0</v>
      </c>
      <c r="FI54" s="40">
        <v>0</v>
      </c>
      <c r="FJ54" s="40">
        <v>0</v>
      </c>
      <c r="FK54" s="40">
        <v>0</v>
      </c>
      <c r="FL54" s="40">
        <v>0</v>
      </c>
      <c r="FM54" s="40">
        <v>0</v>
      </c>
      <c r="FN54" s="40">
        <v>0</v>
      </c>
      <c r="FO54" s="36">
        <v>0</v>
      </c>
      <c r="FP54" s="36">
        <v>0</v>
      </c>
      <c r="FQ54" s="36">
        <v>0</v>
      </c>
      <c r="FR54" s="36">
        <v>0</v>
      </c>
      <c r="FS54" s="36">
        <v>0</v>
      </c>
      <c r="FT54" s="36">
        <v>0</v>
      </c>
      <c r="FU54" s="36">
        <v>0</v>
      </c>
      <c r="FV54" s="36">
        <v>0</v>
      </c>
      <c r="FW54" s="36">
        <v>0</v>
      </c>
      <c r="FX54" s="36">
        <v>0</v>
      </c>
      <c r="FY54" s="36">
        <v>0</v>
      </c>
      <c r="FZ54" s="36">
        <v>0</v>
      </c>
      <c r="GA54" s="36">
        <v>0</v>
      </c>
      <c r="GB54" s="36">
        <v>0</v>
      </c>
      <c r="GC54" s="36">
        <v>0</v>
      </c>
      <c r="GD54" s="36">
        <v>0</v>
      </c>
      <c r="GE54" s="36">
        <v>0</v>
      </c>
      <c r="GF54" s="36">
        <v>0</v>
      </c>
      <c r="GG54" s="36"/>
      <c r="GH54" s="36"/>
      <c r="GI54" s="36"/>
      <c r="GJ54" s="36"/>
      <c r="GK54" s="36"/>
      <c r="GL54" s="36"/>
      <c r="GM54" s="36"/>
      <c r="GN54" s="36"/>
      <c r="GO54" s="36"/>
      <c r="GP54" s="36"/>
      <c r="GQ54" s="36"/>
      <c r="GR54" s="36"/>
      <c r="GS54" s="36"/>
      <c r="GT54" s="36"/>
      <c r="GU54" s="36">
        <v>0</v>
      </c>
      <c r="GV54" s="36">
        <v>0</v>
      </c>
      <c r="GW54" s="36">
        <v>0</v>
      </c>
      <c r="GX54" s="36">
        <v>0</v>
      </c>
      <c r="GY54" s="36">
        <v>0</v>
      </c>
      <c r="GZ54" s="36">
        <v>0</v>
      </c>
      <c r="HA54" s="36">
        <v>0</v>
      </c>
      <c r="HB54" s="36">
        <v>0</v>
      </c>
      <c r="HC54" s="36">
        <f t="shared" si="0"/>
        <v>51930.692727465605</v>
      </c>
      <c r="HD54" s="36">
        <f>SUM(AY$5:AY$213)</f>
        <v>51930.69272746559</v>
      </c>
      <c r="HE54" s="41">
        <v>0</v>
      </c>
    </row>
    <row r="55" spans="1:213" hidden="1" outlineLevel="1" x14ac:dyDescent="0.2">
      <c r="A55" s="9" t="s">
        <v>398</v>
      </c>
      <c r="B55" s="36">
        <v>0</v>
      </c>
      <c r="C55" s="36">
        <v>0</v>
      </c>
      <c r="D55" s="36">
        <v>0</v>
      </c>
      <c r="E55" s="36">
        <v>0</v>
      </c>
      <c r="F55" s="36">
        <v>0</v>
      </c>
      <c r="G55" s="36">
        <v>0</v>
      </c>
      <c r="H55" s="36">
        <v>0</v>
      </c>
      <c r="I55" s="36">
        <v>0</v>
      </c>
      <c r="J55" s="36">
        <v>0</v>
      </c>
      <c r="K55" s="36">
        <v>0</v>
      </c>
      <c r="L55" s="36">
        <v>0</v>
      </c>
      <c r="M55" s="36">
        <v>0</v>
      </c>
      <c r="N55" s="36">
        <v>0</v>
      </c>
      <c r="O55" s="36">
        <v>0</v>
      </c>
      <c r="P55" s="36">
        <v>0</v>
      </c>
      <c r="Q55" s="36">
        <v>0</v>
      </c>
      <c r="R55" s="36">
        <v>0</v>
      </c>
      <c r="S55" s="36">
        <v>0</v>
      </c>
      <c r="T55" s="36">
        <v>0</v>
      </c>
      <c r="U55" s="36">
        <v>0</v>
      </c>
      <c r="V55" s="36">
        <v>0</v>
      </c>
      <c r="W55" s="36">
        <v>0</v>
      </c>
      <c r="X55" s="36">
        <v>0</v>
      </c>
      <c r="Y55" s="36">
        <v>0</v>
      </c>
      <c r="Z55" s="36">
        <v>0</v>
      </c>
      <c r="AA55" s="36">
        <v>0</v>
      </c>
      <c r="AB55" s="36">
        <v>0</v>
      </c>
      <c r="AC55" s="36">
        <v>0</v>
      </c>
      <c r="AD55" s="36">
        <v>0</v>
      </c>
      <c r="AE55" s="36">
        <v>0</v>
      </c>
      <c r="AF55" s="36">
        <v>0</v>
      </c>
      <c r="AG55" s="36">
        <v>0</v>
      </c>
      <c r="AH55" s="36">
        <v>0</v>
      </c>
      <c r="AI55" s="36">
        <v>0</v>
      </c>
      <c r="AJ55" s="36">
        <v>0</v>
      </c>
      <c r="AK55" s="36">
        <v>0</v>
      </c>
      <c r="AL55" s="36">
        <v>0</v>
      </c>
      <c r="AM55" s="36">
        <v>0</v>
      </c>
      <c r="AN55" s="36">
        <v>0</v>
      </c>
      <c r="AO55" s="36">
        <v>0</v>
      </c>
      <c r="AP55" s="36">
        <v>0</v>
      </c>
      <c r="AQ55" s="36">
        <v>0</v>
      </c>
      <c r="AR55" s="36">
        <v>0</v>
      </c>
      <c r="AS55" s="36">
        <v>0</v>
      </c>
      <c r="AT55" s="36">
        <v>0</v>
      </c>
      <c r="AU55" s="36">
        <v>0</v>
      </c>
      <c r="AV55" s="36">
        <v>0</v>
      </c>
      <c r="AW55" s="36">
        <v>0</v>
      </c>
      <c r="AX55" s="36">
        <v>0</v>
      </c>
      <c r="AY55" s="36">
        <v>0</v>
      </c>
      <c r="AZ55" s="36">
        <v>0</v>
      </c>
      <c r="BA55" s="36">
        <v>0</v>
      </c>
      <c r="BB55" s="36">
        <v>0</v>
      </c>
      <c r="BC55" s="36">
        <v>0</v>
      </c>
      <c r="BD55" s="36">
        <v>0</v>
      </c>
      <c r="BE55" s="36">
        <v>0</v>
      </c>
      <c r="BF55" s="36">
        <v>0</v>
      </c>
      <c r="BG55" s="36">
        <v>0</v>
      </c>
      <c r="BH55" s="36">
        <v>0</v>
      </c>
      <c r="BI55" s="36">
        <v>0</v>
      </c>
      <c r="BJ55" s="36">
        <v>0</v>
      </c>
      <c r="BK55" s="40">
        <v>0</v>
      </c>
      <c r="BL55" s="40">
        <v>0</v>
      </c>
      <c r="BM55" s="40">
        <v>0</v>
      </c>
      <c r="BN55" s="40">
        <v>0</v>
      </c>
      <c r="BO55" s="40">
        <v>0</v>
      </c>
      <c r="BP55" s="40">
        <v>0</v>
      </c>
      <c r="BQ55" s="40">
        <v>0</v>
      </c>
      <c r="BR55" s="40">
        <v>0</v>
      </c>
      <c r="BS55" s="40">
        <v>0</v>
      </c>
      <c r="BT55" s="40">
        <v>0</v>
      </c>
      <c r="BU55" s="40">
        <v>0</v>
      </c>
      <c r="BV55" s="40">
        <v>0</v>
      </c>
      <c r="BW55" s="40">
        <v>0</v>
      </c>
      <c r="BX55" s="40">
        <v>0</v>
      </c>
      <c r="BY55" s="40">
        <v>0</v>
      </c>
      <c r="BZ55" s="40">
        <v>0</v>
      </c>
      <c r="CA55" s="40">
        <v>0</v>
      </c>
      <c r="CB55" s="40">
        <v>0</v>
      </c>
      <c r="CC55" s="40">
        <v>0</v>
      </c>
      <c r="CD55" s="40">
        <v>0</v>
      </c>
      <c r="CE55" s="40">
        <v>0</v>
      </c>
      <c r="CF55" s="40">
        <v>0</v>
      </c>
      <c r="CG55" s="40">
        <v>0</v>
      </c>
      <c r="CH55" s="40">
        <v>0</v>
      </c>
      <c r="CI55" s="40">
        <v>0</v>
      </c>
      <c r="CJ55" s="40">
        <v>0</v>
      </c>
      <c r="CK55" s="40">
        <v>0</v>
      </c>
      <c r="CL55" s="40">
        <v>0</v>
      </c>
      <c r="CM55" s="40">
        <v>0</v>
      </c>
      <c r="CN55" s="40">
        <v>0</v>
      </c>
      <c r="CO55" s="40">
        <v>0</v>
      </c>
      <c r="CP55" s="40">
        <v>0</v>
      </c>
      <c r="CQ55" s="40">
        <v>0</v>
      </c>
      <c r="CR55" s="40">
        <v>0</v>
      </c>
      <c r="CS55" s="40">
        <v>0</v>
      </c>
      <c r="CT55" s="40">
        <v>0</v>
      </c>
      <c r="CU55" s="40">
        <v>0</v>
      </c>
      <c r="CV55" s="40">
        <v>0</v>
      </c>
      <c r="CW55" s="40">
        <v>0</v>
      </c>
      <c r="CX55" s="40">
        <v>0</v>
      </c>
      <c r="CY55" s="40">
        <v>0</v>
      </c>
      <c r="CZ55" s="40">
        <v>0</v>
      </c>
      <c r="DA55" s="40">
        <v>0</v>
      </c>
      <c r="DB55" s="40">
        <v>0</v>
      </c>
      <c r="DC55" s="40">
        <v>0</v>
      </c>
      <c r="DD55" s="40">
        <v>0</v>
      </c>
      <c r="DE55" s="40">
        <v>0</v>
      </c>
      <c r="DF55" s="40">
        <v>0</v>
      </c>
      <c r="DG55" s="40">
        <v>0</v>
      </c>
      <c r="DH55" s="40">
        <v>0</v>
      </c>
      <c r="DI55" s="40">
        <v>0</v>
      </c>
      <c r="DJ55" s="40">
        <v>0</v>
      </c>
      <c r="DK55" s="40">
        <v>0</v>
      </c>
      <c r="DL55" s="40">
        <v>0</v>
      </c>
      <c r="DM55" s="40">
        <v>0</v>
      </c>
      <c r="DN55" s="40">
        <v>0</v>
      </c>
      <c r="DO55" s="40">
        <v>0</v>
      </c>
      <c r="DP55" s="40">
        <v>0</v>
      </c>
      <c r="DQ55" s="40">
        <v>0</v>
      </c>
      <c r="DR55" s="40">
        <v>0</v>
      </c>
      <c r="DS55" s="40">
        <v>0</v>
      </c>
      <c r="DT55" s="40">
        <v>0</v>
      </c>
      <c r="DU55" s="40">
        <v>0</v>
      </c>
      <c r="DV55" s="40">
        <v>0</v>
      </c>
      <c r="DW55" s="40">
        <v>0</v>
      </c>
      <c r="DX55" s="40">
        <v>0</v>
      </c>
      <c r="DY55" s="40">
        <v>0</v>
      </c>
      <c r="DZ55" s="40">
        <v>45394.394992571717</v>
      </c>
      <c r="EA55" s="40">
        <v>0</v>
      </c>
      <c r="EB55" s="40">
        <v>0</v>
      </c>
      <c r="EC55" s="40">
        <v>0</v>
      </c>
      <c r="ED55" s="40">
        <v>0</v>
      </c>
      <c r="EE55" s="40">
        <v>0</v>
      </c>
      <c r="EF55" s="40">
        <v>0</v>
      </c>
      <c r="EG55" s="40">
        <v>0</v>
      </c>
      <c r="EH55" s="40">
        <v>0</v>
      </c>
      <c r="EI55" s="40">
        <v>0</v>
      </c>
      <c r="EJ55" s="40">
        <v>0</v>
      </c>
      <c r="EK55" s="40">
        <v>0</v>
      </c>
      <c r="EL55" s="40">
        <v>0</v>
      </c>
      <c r="EM55" s="40">
        <v>0</v>
      </c>
      <c r="EN55" s="40">
        <v>0</v>
      </c>
      <c r="EO55" s="40">
        <v>0</v>
      </c>
      <c r="EP55" s="40">
        <v>31.567729480230685</v>
      </c>
      <c r="EQ55" s="40">
        <v>0</v>
      </c>
      <c r="ER55" s="40">
        <v>0</v>
      </c>
      <c r="ES55" s="40">
        <v>0</v>
      </c>
      <c r="ET55" s="40">
        <v>0</v>
      </c>
      <c r="EU55" s="40">
        <v>0</v>
      </c>
      <c r="EV55" s="40">
        <v>0</v>
      </c>
      <c r="EW55" s="40">
        <v>0</v>
      </c>
      <c r="EX55" s="40">
        <v>0</v>
      </c>
      <c r="EY55" s="40">
        <v>0</v>
      </c>
      <c r="EZ55" s="40">
        <v>1723.478787712135</v>
      </c>
      <c r="FA55" s="40">
        <v>736.28176867971092</v>
      </c>
      <c r="FB55" s="40">
        <v>0</v>
      </c>
      <c r="FC55" s="40">
        <v>0</v>
      </c>
      <c r="FD55" s="40">
        <v>103016.60649608061</v>
      </c>
      <c r="FE55" s="40">
        <v>0</v>
      </c>
      <c r="FF55" s="40">
        <v>8950.6618180003861</v>
      </c>
      <c r="FG55" s="40">
        <v>0</v>
      </c>
      <c r="FH55" s="40">
        <v>0</v>
      </c>
      <c r="FI55" s="40">
        <v>0</v>
      </c>
      <c r="FJ55" s="40">
        <v>0</v>
      </c>
      <c r="FK55" s="40">
        <v>0</v>
      </c>
      <c r="FL55" s="40">
        <v>0</v>
      </c>
      <c r="FM55" s="40">
        <v>0</v>
      </c>
      <c r="FN55" s="40">
        <v>0</v>
      </c>
      <c r="FO55" s="36">
        <v>0</v>
      </c>
      <c r="FP55" s="36">
        <v>0</v>
      </c>
      <c r="FQ55" s="36">
        <v>0</v>
      </c>
      <c r="FR55" s="36">
        <v>0</v>
      </c>
      <c r="FS55" s="36">
        <v>0</v>
      </c>
      <c r="FT55" s="36">
        <v>0</v>
      </c>
      <c r="FU55" s="36">
        <v>0</v>
      </c>
      <c r="FV55" s="36">
        <v>0</v>
      </c>
      <c r="FW55" s="36">
        <v>0</v>
      </c>
      <c r="FX55" s="36">
        <v>0</v>
      </c>
      <c r="FY55" s="36">
        <v>0</v>
      </c>
      <c r="FZ55" s="36">
        <v>0</v>
      </c>
      <c r="GA55" s="36">
        <v>0</v>
      </c>
      <c r="GB55" s="36">
        <v>0</v>
      </c>
      <c r="GC55" s="36">
        <v>0</v>
      </c>
      <c r="GD55" s="36">
        <v>0</v>
      </c>
      <c r="GE55" s="36">
        <v>0</v>
      </c>
      <c r="GF55" s="36">
        <v>0</v>
      </c>
      <c r="GG55" s="36"/>
      <c r="GH55" s="36"/>
      <c r="GI55" s="36"/>
      <c r="GJ55" s="36"/>
      <c r="GK55" s="36"/>
      <c r="GL55" s="36"/>
      <c r="GM55" s="36"/>
      <c r="GN55" s="36"/>
      <c r="GO55" s="36"/>
      <c r="GP55" s="36"/>
      <c r="GQ55" s="36"/>
      <c r="GR55" s="36"/>
      <c r="GS55" s="36"/>
      <c r="GT55" s="36"/>
      <c r="GU55" s="36">
        <v>0</v>
      </c>
      <c r="GV55" s="36">
        <v>0</v>
      </c>
      <c r="GW55" s="36">
        <v>0</v>
      </c>
      <c r="GX55" s="36">
        <v>0</v>
      </c>
      <c r="GY55" s="36">
        <v>0</v>
      </c>
      <c r="GZ55" s="36">
        <v>0</v>
      </c>
      <c r="HA55" s="36">
        <v>0</v>
      </c>
      <c r="HB55" s="36">
        <v>0</v>
      </c>
      <c r="HC55" s="36">
        <f t="shared" si="0"/>
        <v>159852.99159252481</v>
      </c>
      <c r="HD55" s="36">
        <f>SUM(AZ$5:AZ$213)</f>
        <v>159852.99159252481</v>
      </c>
      <c r="HE55" s="41">
        <v>0</v>
      </c>
    </row>
    <row r="56" spans="1:213" hidden="1" outlineLevel="1" x14ac:dyDescent="0.2">
      <c r="A56" s="9" t="s">
        <v>402</v>
      </c>
      <c r="B56" s="36">
        <v>0</v>
      </c>
      <c r="C56" s="36">
        <v>0</v>
      </c>
      <c r="D56" s="36">
        <v>0</v>
      </c>
      <c r="E56" s="36">
        <v>0</v>
      </c>
      <c r="F56" s="36">
        <v>0</v>
      </c>
      <c r="G56" s="36">
        <v>0</v>
      </c>
      <c r="H56" s="36">
        <v>0</v>
      </c>
      <c r="I56" s="36">
        <v>0</v>
      </c>
      <c r="J56" s="36">
        <v>0</v>
      </c>
      <c r="K56" s="36">
        <v>0</v>
      </c>
      <c r="L56" s="36">
        <v>0</v>
      </c>
      <c r="M56" s="36">
        <v>0</v>
      </c>
      <c r="N56" s="36">
        <v>0</v>
      </c>
      <c r="O56" s="36">
        <v>0</v>
      </c>
      <c r="P56" s="36">
        <v>0</v>
      </c>
      <c r="Q56" s="36">
        <v>0</v>
      </c>
      <c r="R56" s="36">
        <v>0</v>
      </c>
      <c r="S56" s="36">
        <v>0</v>
      </c>
      <c r="T56" s="36">
        <v>0</v>
      </c>
      <c r="U56" s="36">
        <v>0</v>
      </c>
      <c r="V56" s="36">
        <v>0</v>
      </c>
      <c r="W56" s="36">
        <v>0</v>
      </c>
      <c r="X56" s="36">
        <v>0</v>
      </c>
      <c r="Y56" s="36">
        <v>0</v>
      </c>
      <c r="Z56" s="36">
        <v>0</v>
      </c>
      <c r="AA56" s="36">
        <v>0</v>
      </c>
      <c r="AB56" s="36">
        <v>0</v>
      </c>
      <c r="AC56" s="36">
        <v>0</v>
      </c>
      <c r="AD56" s="36">
        <v>0</v>
      </c>
      <c r="AE56" s="36">
        <v>0</v>
      </c>
      <c r="AF56" s="36">
        <v>0</v>
      </c>
      <c r="AG56" s="36">
        <v>0</v>
      </c>
      <c r="AH56" s="36">
        <v>0</v>
      </c>
      <c r="AI56" s="36">
        <v>0</v>
      </c>
      <c r="AJ56" s="36">
        <v>0</v>
      </c>
      <c r="AK56" s="36">
        <v>0</v>
      </c>
      <c r="AL56" s="36">
        <v>0</v>
      </c>
      <c r="AM56" s="36">
        <v>0</v>
      </c>
      <c r="AN56" s="36">
        <v>0</v>
      </c>
      <c r="AO56" s="36">
        <v>0</v>
      </c>
      <c r="AP56" s="36">
        <v>0</v>
      </c>
      <c r="AQ56" s="36">
        <v>0</v>
      </c>
      <c r="AR56" s="36">
        <v>0</v>
      </c>
      <c r="AS56" s="36">
        <v>0</v>
      </c>
      <c r="AT56" s="36">
        <v>0</v>
      </c>
      <c r="AU56" s="36">
        <v>0</v>
      </c>
      <c r="AV56" s="36">
        <v>0</v>
      </c>
      <c r="AW56" s="36">
        <v>0</v>
      </c>
      <c r="AX56" s="36">
        <v>0</v>
      </c>
      <c r="AY56" s="36">
        <v>0</v>
      </c>
      <c r="AZ56" s="36">
        <v>0</v>
      </c>
      <c r="BA56" s="36">
        <v>0</v>
      </c>
      <c r="BB56" s="36">
        <v>0</v>
      </c>
      <c r="BC56" s="36">
        <v>0</v>
      </c>
      <c r="BD56" s="36">
        <v>0</v>
      </c>
      <c r="BE56" s="36">
        <v>0</v>
      </c>
      <c r="BF56" s="36">
        <v>0</v>
      </c>
      <c r="BG56" s="36">
        <v>0</v>
      </c>
      <c r="BH56" s="36">
        <v>0</v>
      </c>
      <c r="BI56" s="36">
        <v>0</v>
      </c>
      <c r="BJ56" s="36">
        <v>0</v>
      </c>
      <c r="BK56" s="40">
        <v>0</v>
      </c>
      <c r="BL56" s="40">
        <v>0</v>
      </c>
      <c r="BM56" s="40">
        <v>0</v>
      </c>
      <c r="BN56" s="40">
        <v>0</v>
      </c>
      <c r="BO56" s="40">
        <v>0</v>
      </c>
      <c r="BP56" s="40">
        <v>0</v>
      </c>
      <c r="BQ56" s="40">
        <v>0</v>
      </c>
      <c r="BR56" s="40">
        <v>0</v>
      </c>
      <c r="BS56" s="40">
        <v>0</v>
      </c>
      <c r="BT56" s="40">
        <v>0</v>
      </c>
      <c r="BU56" s="40">
        <v>0</v>
      </c>
      <c r="BV56" s="40">
        <v>0</v>
      </c>
      <c r="BW56" s="40">
        <v>0</v>
      </c>
      <c r="BX56" s="40">
        <v>0</v>
      </c>
      <c r="BY56" s="40">
        <v>0</v>
      </c>
      <c r="BZ56" s="40">
        <v>0</v>
      </c>
      <c r="CA56" s="40">
        <v>0</v>
      </c>
      <c r="CB56" s="40">
        <v>0</v>
      </c>
      <c r="CC56" s="40">
        <v>0</v>
      </c>
      <c r="CD56" s="40">
        <v>0</v>
      </c>
      <c r="CE56" s="40">
        <v>0</v>
      </c>
      <c r="CF56" s="40">
        <v>0</v>
      </c>
      <c r="CG56" s="40">
        <v>0</v>
      </c>
      <c r="CH56" s="40">
        <v>0</v>
      </c>
      <c r="CI56" s="40">
        <v>0</v>
      </c>
      <c r="CJ56" s="40">
        <v>0</v>
      </c>
      <c r="CK56" s="40">
        <v>0</v>
      </c>
      <c r="CL56" s="40">
        <v>0</v>
      </c>
      <c r="CM56" s="40">
        <v>0</v>
      </c>
      <c r="CN56" s="40">
        <v>0</v>
      </c>
      <c r="CO56" s="40">
        <v>0</v>
      </c>
      <c r="CP56" s="40">
        <v>0</v>
      </c>
      <c r="CQ56" s="40">
        <v>0</v>
      </c>
      <c r="CR56" s="40">
        <v>0</v>
      </c>
      <c r="CS56" s="40">
        <v>0</v>
      </c>
      <c r="CT56" s="40">
        <v>0</v>
      </c>
      <c r="CU56" s="40">
        <v>0</v>
      </c>
      <c r="CV56" s="40">
        <v>0</v>
      </c>
      <c r="CW56" s="40">
        <v>0</v>
      </c>
      <c r="CX56" s="40">
        <v>0</v>
      </c>
      <c r="CY56" s="40">
        <v>0</v>
      </c>
      <c r="CZ56" s="40">
        <v>0</v>
      </c>
      <c r="DA56" s="40">
        <v>0</v>
      </c>
      <c r="DB56" s="40">
        <v>0</v>
      </c>
      <c r="DC56" s="40">
        <v>0</v>
      </c>
      <c r="DD56" s="40">
        <v>0</v>
      </c>
      <c r="DE56" s="40">
        <v>0</v>
      </c>
      <c r="DF56" s="40">
        <v>0</v>
      </c>
      <c r="DG56" s="40">
        <v>0</v>
      </c>
      <c r="DH56" s="40">
        <v>0</v>
      </c>
      <c r="DI56" s="40">
        <v>0</v>
      </c>
      <c r="DJ56" s="40">
        <v>0</v>
      </c>
      <c r="DK56" s="40">
        <v>0</v>
      </c>
      <c r="DL56" s="40">
        <v>0</v>
      </c>
      <c r="DM56" s="40">
        <v>0</v>
      </c>
      <c r="DN56" s="40">
        <v>0</v>
      </c>
      <c r="DO56" s="40">
        <v>0</v>
      </c>
      <c r="DP56" s="40">
        <v>0</v>
      </c>
      <c r="DQ56" s="40">
        <v>0</v>
      </c>
      <c r="DR56" s="40">
        <v>0</v>
      </c>
      <c r="DS56" s="40">
        <v>0</v>
      </c>
      <c r="DT56" s="40">
        <v>0</v>
      </c>
      <c r="DU56" s="40">
        <v>0</v>
      </c>
      <c r="DV56" s="40">
        <v>0</v>
      </c>
      <c r="DW56" s="40">
        <v>0</v>
      </c>
      <c r="DX56" s="40">
        <v>0</v>
      </c>
      <c r="DY56" s="40">
        <v>0</v>
      </c>
      <c r="DZ56" s="40">
        <v>0</v>
      </c>
      <c r="EA56" s="40">
        <v>0</v>
      </c>
      <c r="EB56" s="40">
        <v>0</v>
      </c>
      <c r="EC56" s="40">
        <v>0</v>
      </c>
      <c r="ED56" s="40">
        <v>0</v>
      </c>
      <c r="EE56" s="40">
        <v>0</v>
      </c>
      <c r="EF56" s="40">
        <v>0</v>
      </c>
      <c r="EG56" s="40">
        <v>0</v>
      </c>
      <c r="EH56" s="40">
        <v>0</v>
      </c>
      <c r="EI56" s="40">
        <v>0</v>
      </c>
      <c r="EJ56" s="40">
        <v>0</v>
      </c>
      <c r="EK56" s="40">
        <v>0</v>
      </c>
      <c r="EL56" s="40">
        <v>0</v>
      </c>
      <c r="EM56" s="40">
        <v>0</v>
      </c>
      <c r="EN56" s="40">
        <v>0</v>
      </c>
      <c r="EO56" s="40">
        <v>0</v>
      </c>
      <c r="EP56" s="40">
        <v>0</v>
      </c>
      <c r="EQ56" s="40">
        <v>0</v>
      </c>
      <c r="ER56" s="40">
        <v>0</v>
      </c>
      <c r="ES56" s="40">
        <v>0</v>
      </c>
      <c r="ET56" s="40">
        <v>0</v>
      </c>
      <c r="EU56" s="40">
        <v>0</v>
      </c>
      <c r="EV56" s="40">
        <v>0</v>
      </c>
      <c r="EW56" s="40">
        <v>0</v>
      </c>
      <c r="EX56" s="40">
        <v>0</v>
      </c>
      <c r="EY56" s="40">
        <v>0</v>
      </c>
      <c r="EZ56" s="40">
        <v>14.752463608982668</v>
      </c>
      <c r="FA56" s="40">
        <v>44.257390826947997</v>
      </c>
      <c r="FB56" s="40">
        <v>20800.973688665559</v>
      </c>
      <c r="FC56" s="40">
        <v>0</v>
      </c>
      <c r="FD56" s="40">
        <v>0</v>
      </c>
      <c r="FE56" s="40">
        <v>0</v>
      </c>
      <c r="FF56" s="40">
        <v>0</v>
      </c>
      <c r="FG56" s="40">
        <v>0</v>
      </c>
      <c r="FH56" s="40">
        <v>0</v>
      </c>
      <c r="FI56" s="40">
        <v>0</v>
      </c>
      <c r="FJ56" s="40">
        <v>0</v>
      </c>
      <c r="FK56" s="40">
        <v>0</v>
      </c>
      <c r="FL56" s="40">
        <v>0</v>
      </c>
      <c r="FM56" s="40">
        <v>0</v>
      </c>
      <c r="FN56" s="40">
        <v>0</v>
      </c>
      <c r="FO56" s="36">
        <v>0</v>
      </c>
      <c r="FP56" s="36">
        <v>0</v>
      </c>
      <c r="FQ56" s="36">
        <v>0</v>
      </c>
      <c r="FR56" s="36">
        <v>0</v>
      </c>
      <c r="FS56" s="36">
        <v>0</v>
      </c>
      <c r="FT56" s="36">
        <v>0</v>
      </c>
      <c r="FU56" s="36">
        <v>0</v>
      </c>
      <c r="FV56" s="36">
        <v>0</v>
      </c>
      <c r="FW56" s="36">
        <v>0</v>
      </c>
      <c r="FX56" s="36">
        <v>0</v>
      </c>
      <c r="FY56" s="36">
        <v>0</v>
      </c>
      <c r="FZ56" s="36">
        <v>0</v>
      </c>
      <c r="GA56" s="36">
        <v>0</v>
      </c>
      <c r="GB56" s="36">
        <v>0</v>
      </c>
      <c r="GC56" s="36">
        <v>0</v>
      </c>
      <c r="GD56" s="36">
        <v>0</v>
      </c>
      <c r="GE56" s="36">
        <v>0</v>
      </c>
      <c r="GF56" s="36">
        <v>0</v>
      </c>
      <c r="GG56" s="36"/>
      <c r="GH56" s="36"/>
      <c r="GI56" s="36"/>
      <c r="GJ56" s="36"/>
      <c r="GK56" s="36"/>
      <c r="GL56" s="36"/>
      <c r="GM56" s="36"/>
      <c r="GN56" s="36"/>
      <c r="GO56" s="36"/>
      <c r="GP56" s="36"/>
      <c r="GQ56" s="36"/>
      <c r="GR56" s="36"/>
      <c r="GS56" s="36"/>
      <c r="GT56" s="36"/>
      <c r="GU56" s="36">
        <v>0</v>
      </c>
      <c r="GV56" s="36">
        <v>0</v>
      </c>
      <c r="GW56" s="36">
        <v>0</v>
      </c>
      <c r="GX56" s="36">
        <v>0</v>
      </c>
      <c r="GY56" s="36">
        <v>0</v>
      </c>
      <c r="GZ56" s="36">
        <v>0</v>
      </c>
      <c r="HA56" s="36">
        <v>0</v>
      </c>
      <c r="HB56" s="36">
        <v>0</v>
      </c>
      <c r="HC56" s="36">
        <f t="shared" si="0"/>
        <v>20859.983543101491</v>
      </c>
      <c r="HD56" s="36">
        <f>SUM(BA$5:BA$213)</f>
        <v>20859.983543101491</v>
      </c>
      <c r="HE56" s="41">
        <v>0</v>
      </c>
    </row>
    <row r="57" spans="1:213" hidden="1" outlineLevel="1" x14ac:dyDescent="0.2">
      <c r="A57" s="9" t="s">
        <v>407</v>
      </c>
      <c r="B57" s="36">
        <v>0</v>
      </c>
      <c r="C57" s="36">
        <v>0</v>
      </c>
      <c r="D57" s="36">
        <v>0</v>
      </c>
      <c r="E57" s="36">
        <v>0</v>
      </c>
      <c r="F57" s="36">
        <v>0</v>
      </c>
      <c r="G57" s="36">
        <v>0</v>
      </c>
      <c r="H57" s="36">
        <v>0</v>
      </c>
      <c r="I57" s="36">
        <v>0</v>
      </c>
      <c r="J57" s="36">
        <v>0</v>
      </c>
      <c r="K57" s="36">
        <v>0</v>
      </c>
      <c r="L57" s="36">
        <v>0</v>
      </c>
      <c r="M57" s="36">
        <v>0</v>
      </c>
      <c r="N57" s="36">
        <v>0</v>
      </c>
      <c r="O57" s="36">
        <v>0</v>
      </c>
      <c r="P57" s="36">
        <v>0</v>
      </c>
      <c r="Q57" s="36">
        <v>0</v>
      </c>
      <c r="R57" s="36">
        <v>0</v>
      </c>
      <c r="S57" s="36">
        <v>0</v>
      </c>
      <c r="T57" s="36">
        <v>0</v>
      </c>
      <c r="U57" s="36">
        <v>0</v>
      </c>
      <c r="V57" s="36">
        <v>0</v>
      </c>
      <c r="W57" s="36">
        <v>0</v>
      </c>
      <c r="X57" s="36">
        <v>0</v>
      </c>
      <c r="Y57" s="36">
        <v>0</v>
      </c>
      <c r="Z57" s="36">
        <v>0</v>
      </c>
      <c r="AA57" s="36">
        <v>0</v>
      </c>
      <c r="AB57" s="36">
        <v>0</v>
      </c>
      <c r="AC57" s="36">
        <v>0</v>
      </c>
      <c r="AD57" s="36">
        <v>0</v>
      </c>
      <c r="AE57" s="36">
        <v>0</v>
      </c>
      <c r="AF57" s="36">
        <v>0</v>
      </c>
      <c r="AG57" s="36">
        <v>0</v>
      </c>
      <c r="AH57" s="36">
        <v>0</v>
      </c>
      <c r="AI57" s="36">
        <v>0</v>
      </c>
      <c r="AJ57" s="36">
        <v>0</v>
      </c>
      <c r="AK57" s="36">
        <v>0</v>
      </c>
      <c r="AL57" s="36">
        <v>0</v>
      </c>
      <c r="AM57" s="36">
        <v>0</v>
      </c>
      <c r="AN57" s="36">
        <v>0</v>
      </c>
      <c r="AO57" s="36">
        <v>0</v>
      </c>
      <c r="AP57" s="36">
        <v>0</v>
      </c>
      <c r="AQ57" s="36">
        <v>0</v>
      </c>
      <c r="AR57" s="36">
        <v>0</v>
      </c>
      <c r="AS57" s="36">
        <v>0</v>
      </c>
      <c r="AT57" s="36">
        <v>0</v>
      </c>
      <c r="AU57" s="36">
        <v>0</v>
      </c>
      <c r="AV57" s="36">
        <v>0</v>
      </c>
      <c r="AW57" s="36">
        <v>0</v>
      </c>
      <c r="AX57" s="36">
        <v>0</v>
      </c>
      <c r="AY57" s="36">
        <v>0</v>
      </c>
      <c r="AZ57" s="36">
        <v>0</v>
      </c>
      <c r="BA57" s="36">
        <v>0</v>
      </c>
      <c r="BB57" s="36">
        <v>0</v>
      </c>
      <c r="BC57" s="36">
        <v>0</v>
      </c>
      <c r="BD57" s="36">
        <v>0</v>
      </c>
      <c r="BE57" s="36">
        <v>0</v>
      </c>
      <c r="BF57" s="36">
        <v>0</v>
      </c>
      <c r="BG57" s="36">
        <v>0</v>
      </c>
      <c r="BH57" s="36">
        <v>0</v>
      </c>
      <c r="BI57" s="36">
        <v>0</v>
      </c>
      <c r="BJ57" s="36">
        <v>0</v>
      </c>
      <c r="BK57" s="40">
        <v>0</v>
      </c>
      <c r="BL57" s="40">
        <v>0</v>
      </c>
      <c r="BM57" s="40">
        <v>0</v>
      </c>
      <c r="BN57" s="40">
        <v>0</v>
      </c>
      <c r="BO57" s="40">
        <v>0</v>
      </c>
      <c r="BP57" s="40">
        <v>0</v>
      </c>
      <c r="BQ57" s="40">
        <v>0</v>
      </c>
      <c r="BR57" s="40">
        <v>0</v>
      </c>
      <c r="BS57" s="40">
        <v>0</v>
      </c>
      <c r="BT57" s="40">
        <v>0</v>
      </c>
      <c r="BU57" s="40">
        <v>0</v>
      </c>
      <c r="BV57" s="40">
        <v>0</v>
      </c>
      <c r="BW57" s="40">
        <v>0</v>
      </c>
      <c r="BX57" s="40">
        <v>0</v>
      </c>
      <c r="BY57" s="40">
        <v>0</v>
      </c>
      <c r="BZ57" s="40">
        <v>0</v>
      </c>
      <c r="CA57" s="40">
        <v>0</v>
      </c>
      <c r="CB57" s="40">
        <v>0</v>
      </c>
      <c r="CC57" s="40">
        <v>0</v>
      </c>
      <c r="CD57" s="40">
        <v>0</v>
      </c>
      <c r="CE57" s="40">
        <v>0</v>
      </c>
      <c r="CF57" s="40">
        <v>0</v>
      </c>
      <c r="CG57" s="40">
        <v>0</v>
      </c>
      <c r="CH57" s="40">
        <v>0</v>
      </c>
      <c r="CI57" s="40">
        <v>0</v>
      </c>
      <c r="CJ57" s="40">
        <v>0</v>
      </c>
      <c r="CK57" s="40">
        <v>0</v>
      </c>
      <c r="CL57" s="40">
        <v>0</v>
      </c>
      <c r="CM57" s="40">
        <v>0</v>
      </c>
      <c r="CN57" s="40">
        <v>0</v>
      </c>
      <c r="CO57" s="40">
        <v>0</v>
      </c>
      <c r="CP57" s="40">
        <v>0</v>
      </c>
      <c r="CQ57" s="40">
        <v>0</v>
      </c>
      <c r="CR57" s="40">
        <v>0</v>
      </c>
      <c r="CS57" s="40">
        <v>0</v>
      </c>
      <c r="CT57" s="40">
        <v>0</v>
      </c>
      <c r="CU57" s="40">
        <v>0</v>
      </c>
      <c r="CV57" s="40">
        <v>0</v>
      </c>
      <c r="CW57" s="40">
        <v>0</v>
      </c>
      <c r="CX57" s="40">
        <v>0</v>
      </c>
      <c r="CY57" s="40">
        <v>0</v>
      </c>
      <c r="CZ57" s="40">
        <v>0</v>
      </c>
      <c r="DA57" s="40">
        <v>0</v>
      </c>
      <c r="DB57" s="40">
        <v>0</v>
      </c>
      <c r="DC57" s="40">
        <v>0</v>
      </c>
      <c r="DD57" s="40">
        <v>0</v>
      </c>
      <c r="DE57" s="40">
        <v>0</v>
      </c>
      <c r="DF57" s="40">
        <v>0</v>
      </c>
      <c r="DG57" s="40">
        <v>0</v>
      </c>
      <c r="DH57" s="40">
        <v>0</v>
      </c>
      <c r="DI57" s="40">
        <v>0</v>
      </c>
      <c r="DJ57" s="40">
        <v>0</v>
      </c>
      <c r="DK57" s="40">
        <v>0</v>
      </c>
      <c r="DL57" s="40">
        <v>0</v>
      </c>
      <c r="DM57" s="40">
        <v>0</v>
      </c>
      <c r="DN57" s="40">
        <v>0</v>
      </c>
      <c r="DO57" s="40">
        <v>0</v>
      </c>
      <c r="DP57" s="40">
        <v>0</v>
      </c>
      <c r="DQ57" s="40">
        <v>0</v>
      </c>
      <c r="DR57" s="40">
        <v>0</v>
      </c>
      <c r="DS57" s="40">
        <v>0</v>
      </c>
      <c r="DT57" s="40">
        <v>0</v>
      </c>
      <c r="DU57" s="40">
        <v>0</v>
      </c>
      <c r="DV57" s="40">
        <v>0</v>
      </c>
      <c r="DW57" s="40">
        <v>0</v>
      </c>
      <c r="DX57" s="40">
        <v>0</v>
      </c>
      <c r="DY57" s="40">
        <v>0</v>
      </c>
      <c r="DZ57" s="40">
        <v>0</v>
      </c>
      <c r="EA57" s="40">
        <v>0</v>
      </c>
      <c r="EB57" s="40">
        <v>0</v>
      </c>
      <c r="EC57" s="40">
        <v>0</v>
      </c>
      <c r="ED57" s="40">
        <v>0</v>
      </c>
      <c r="EE57" s="40">
        <v>0</v>
      </c>
      <c r="EF57" s="40">
        <v>0</v>
      </c>
      <c r="EG57" s="40">
        <v>0</v>
      </c>
      <c r="EH57" s="40">
        <v>0</v>
      </c>
      <c r="EI57" s="40">
        <v>0</v>
      </c>
      <c r="EJ57" s="40">
        <v>0</v>
      </c>
      <c r="EK57" s="40">
        <v>0</v>
      </c>
      <c r="EL57" s="40">
        <v>0</v>
      </c>
      <c r="EM57" s="40">
        <v>0</v>
      </c>
      <c r="EN57" s="40">
        <v>0</v>
      </c>
      <c r="EO57" s="40">
        <v>0</v>
      </c>
      <c r="EP57" s="40">
        <v>0</v>
      </c>
      <c r="EQ57" s="40">
        <v>0</v>
      </c>
      <c r="ER57" s="40">
        <v>0</v>
      </c>
      <c r="ES57" s="40">
        <v>0</v>
      </c>
      <c r="ET57" s="40">
        <v>0</v>
      </c>
      <c r="EU57" s="40">
        <v>0</v>
      </c>
      <c r="EV57" s="40">
        <v>0</v>
      </c>
      <c r="EW57" s="40">
        <v>0</v>
      </c>
      <c r="EX57" s="40">
        <v>0</v>
      </c>
      <c r="EY57" s="40">
        <v>0</v>
      </c>
      <c r="EZ57" s="40">
        <v>9180.8816374596863</v>
      </c>
      <c r="FA57" s="40">
        <v>16842.158946101063</v>
      </c>
      <c r="FB57" s="40">
        <v>0</v>
      </c>
      <c r="FC57" s="40">
        <v>142332.06286809963</v>
      </c>
      <c r="FD57" s="40">
        <v>438959.30834452272</v>
      </c>
      <c r="FE57" s="40">
        <v>0</v>
      </c>
      <c r="FF57" s="40">
        <v>7484.585183409994</v>
      </c>
      <c r="FG57" s="40">
        <v>16803.194737534443</v>
      </c>
      <c r="FH57" s="40">
        <v>0</v>
      </c>
      <c r="FI57" s="40">
        <v>12558.706059822205</v>
      </c>
      <c r="FJ57" s="40">
        <v>0</v>
      </c>
      <c r="FK57" s="40">
        <v>0</v>
      </c>
      <c r="FL57" s="40">
        <v>0</v>
      </c>
      <c r="FM57" s="40">
        <v>10358.738508866372</v>
      </c>
      <c r="FN57" s="40">
        <v>0</v>
      </c>
      <c r="FO57" s="36">
        <v>0</v>
      </c>
      <c r="FP57" s="36">
        <v>0</v>
      </c>
      <c r="FQ57" s="36">
        <v>0</v>
      </c>
      <c r="FR57" s="36">
        <v>0</v>
      </c>
      <c r="FS57" s="36">
        <v>0</v>
      </c>
      <c r="FT57" s="36">
        <v>0</v>
      </c>
      <c r="FU57" s="36">
        <v>0</v>
      </c>
      <c r="FV57" s="36">
        <v>0</v>
      </c>
      <c r="FW57" s="36">
        <v>0</v>
      </c>
      <c r="FX57" s="36">
        <v>0</v>
      </c>
      <c r="FY57" s="36">
        <v>0</v>
      </c>
      <c r="FZ57" s="36">
        <v>0</v>
      </c>
      <c r="GA57" s="36">
        <v>0</v>
      </c>
      <c r="GB57" s="36">
        <v>0</v>
      </c>
      <c r="GC57" s="36">
        <v>0</v>
      </c>
      <c r="GD57" s="36">
        <v>0</v>
      </c>
      <c r="GE57" s="36">
        <v>0</v>
      </c>
      <c r="GF57" s="36">
        <v>0</v>
      </c>
      <c r="GG57" s="36"/>
      <c r="GH57" s="36"/>
      <c r="GI57" s="36"/>
      <c r="GJ57" s="36"/>
      <c r="GK57" s="36"/>
      <c r="GL57" s="36"/>
      <c r="GM57" s="36"/>
      <c r="GN57" s="36"/>
      <c r="GO57" s="36"/>
      <c r="GP57" s="36"/>
      <c r="GQ57" s="36"/>
      <c r="GR57" s="36"/>
      <c r="GS57" s="36"/>
      <c r="GT57" s="36"/>
      <c r="GU57" s="36">
        <v>0</v>
      </c>
      <c r="GV57" s="36">
        <v>0</v>
      </c>
      <c r="GW57" s="36">
        <v>0</v>
      </c>
      <c r="GX57" s="36">
        <v>0</v>
      </c>
      <c r="GY57" s="36">
        <v>0</v>
      </c>
      <c r="GZ57" s="36">
        <v>0</v>
      </c>
      <c r="HA57" s="36">
        <v>0</v>
      </c>
      <c r="HB57" s="36">
        <v>0</v>
      </c>
      <c r="HC57" s="36">
        <f t="shared" si="0"/>
        <v>654519.63628581609</v>
      </c>
      <c r="HD57" s="36">
        <f>SUM(BB$5:BB$213)</f>
        <v>654519.63628581632</v>
      </c>
      <c r="HE57" s="41">
        <v>0</v>
      </c>
    </row>
    <row r="58" spans="1:213" hidden="1" outlineLevel="1" x14ac:dyDescent="0.2">
      <c r="A58" s="9" t="s">
        <v>412</v>
      </c>
      <c r="B58" s="36">
        <v>0</v>
      </c>
      <c r="C58" s="36">
        <v>0</v>
      </c>
      <c r="D58" s="36">
        <v>0</v>
      </c>
      <c r="E58" s="36">
        <v>0</v>
      </c>
      <c r="F58" s="36">
        <v>0</v>
      </c>
      <c r="G58" s="36">
        <v>0</v>
      </c>
      <c r="H58" s="36">
        <v>0</v>
      </c>
      <c r="I58" s="36">
        <v>0</v>
      </c>
      <c r="J58" s="36">
        <v>0</v>
      </c>
      <c r="K58" s="36">
        <v>0</v>
      </c>
      <c r="L58" s="36">
        <v>0</v>
      </c>
      <c r="M58" s="36">
        <v>0</v>
      </c>
      <c r="N58" s="36">
        <v>0</v>
      </c>
      <c r="O58" s="36">
        <v>0</v>
      </c>
      <c r="P58" s="36">
        <v>0</v>
      </c>
      <c r="Q58" s="36">
        <v>0</v>
      </c>
      <c r="R58" s="36">
        <v>0</v>
      </c>
      <c r="S58" s="36">
        <v>0</v>
      </c>
      <c r="T58" s="36">
        <v>0</v>
      </c>
      <c r="U58" s="36">
        <v>0</v>
      </c>
      <c r="V58" s="36">
        <v>0</v>
      </c>
      <c r="W58" s="36">
        <v>0</v>
      </c>
      <c r="X58" s="36">
        <v>0</v>
      </c>
      <c r="Y58" s="36">
        <v>0</v>
      </c>
      <c r="Z58" s="36">
        <v>0</v>
      </c>
      <c r="AA58" s="36">
        <v>0</v>
      </c>
      <c r="AB58" s="36">
        <v>0</v>
      </c>
      <c r="AC58" s="36">
        <v>0</v>
      </c>
      <c r="AD58" s="36">
        <v>0</v>
      </c>
      <c r="AE58" s="36">
        <v>0</v>
      </c>
      <c r="AF58" s="36">
        <v>0</v>
      </c>
      <c r="AG58" s="36">
        <v>0</v>
      </c>
      <c r="AH58" s="36">
        <v>0</v>
      </c>
      <c r="AI58" s="36">
        <v>0</v>
      </c>
      <c r="AJ58" s="36">
        <v>0</v>
      </c>
      <c r="AK58" s="36">
        <v>0</v>
      </c>
      <c r="AL58" s="36">
        <v>0</v>
      </c>
      <c r="AM58" s="36">
        <v>0</v>
      </c>
      <c r="AN58" s="36">
        <v>0</v>
      </c>
      <c r="AO58" s="36">
        <v>0</v>
      </c>
      <c r="AP58" s="36">
        <v>0</v>
      </c>
      <c r="AQ58" s="36">
        <v>0</v>
      </c>
      <c r="AR58" s="36">
        <v>0</v>
      </c>
      <c r="AS58" s="36">
        <v>0</v>
      </c>
      <c r="AT58" s="36">
        <v>0</v>
      </c>
      <c r="AU58" s="36">
        <v>0</v>
      </c>
      <c r="AV58" s="36">
        <v>0</v>
      </c>
      <c r="AW58" s="36">
        <v>0</v>
      </c>
      <c r="AX58" s="36">
        <v>0</v>
      </c>
      <c r="AY58" s="36">
        <v>0</v>
      </c>
      <c r="AZ58" s="36">
        <v>0</v>
      </c>
      <c r="BA58" s="36">
        <v>0</v>
      </c>
      <c r="BB58" s="36">
        <v>0</v>
      </c>
      <c r="BC58" s="36">
        <v>0</v>
      </c>
      <c r="BD58" s="36">
        <v>0</v>
      </c>
      <c r="BE58" s="36">
        <v>0</v>
      </c>
      <c r="BF58" s="36">
        <v>0</v>
      </c>
      <c r="BG58" s="36">
        <v>0</v>
      </c>
      <c r="BH58" s="36">
        <v>0</v>
      </c>
      <c r="BI58" s="36">
        <v>0</v>
      </c>
      <c r="BJ58" s="36">
        <v>0</v>
      </c>
      <c r="BK58" s="40">
        <v>0</v>
      </c>
      <c r="BL58" s="40">
        <v>0</v>
      </c>
      <c r="BM58" s="40">
        <v>0</v>
      </c>
      <c r="BN58" s="40">
        <v>0</v>
      </c>
      <c r="BO58" s="40">
        <v>0</v>
      </c>
      <c r="BP58" s="40">
        <v>0</v>
      </c>
      <c r="BQ58" s="40">
        <v>0</v>
      </c>
      <c r="BR58" s="40">
        <v>0</v>
      </c>
      <c r="BS58" s="40">
        <v>0</v>
      </c>
      <c r="BT58" s="40">
        <v>0</v>
      </c>
      <c r="BU58" s="40">
        <v>0</v>
      </c>
      <c r="BV58" s="40">
        <v>0</v>
      </c>
      <c r="BW58" s="40">
        <v>0</v>
      </c>
      <c r="BX58" s="40">
        <v>0</v>
      </c>
      <c r="BY58" s="40">
        <v>0</v>
      </c>
      <c r="BZ58" s="40">
        <v>0</v>
      </c>
      <c r="CA58" s="40">
        <v>0</v>
      </c>
      <c r="CB58" s="40">
        <v>0</v>
      </c>
      <c r="CC58" s="40">
        <v>0</v>
      </c>
      <c r="CD58" s="40">
        <v>0</v>
      </c>
      <c r="CE58" s="40">
        <v>0</v>
      </c>
      <c r="CF58" s="40">
        <v>0</v>
      </c>
      <c r="CG58" s="40">
        <v>0</v>
      </c>
      <c r="CH58" s="40">
        <v>0</v>
      </c>
      <c r="CI58" s="40">
        <v>0</v>
      </c>
      <c r="CJ58" s="40">
        <v>0</v>
      </c>
      <c r="CK58" s="40">
        <v>0</v>
      </c>
      <c r="CL58" s="40">
        <v>0</v>
      </c>
      <c r="CM58" s="40">
        <v>0</v>
      </c>
      <c r="CN58" s="40">
        <v>0</v>
      </c>
      <c r="CO58" s="40">
        <v>0</v>
      </c>
      <c r="CP58" s="40">
        <v>0</v>
      </c>
      <c r="CQ58" s="40">
        <v>0</v>
      </c>
      <c r="CR58" s="40">
        <v>0</v>
      </c>
      <c r="CS58" s="40">
        <v>0</v>
      </c>
      <c r="CT58" s="40">
        <v>0</v>
      </c>
      <c r="CU58" s="40">
        <v>0</v>
      </c>
      <c r="CV58" s="40">
        <v>0</v>
      </c>
      <c r="CW58" s="40">
        <v>0</v>
      </c>
      <c r="CX58" s="40">
        <v>0</v>
      </c>
      <c r="CY58" s="40">
        <v>0</v>
      </c>
      <c r="CZ58" s="40">
        <v>0</v>
      </c>
      <c r="DA58" s="40">
        <v>0</v>
      </c>
      <c r="DB58" s="40">
        <v>0</v>
      </c>
      <c r="DC58" s="40">
        <v>0</v>
      </c>
      <c r="DD58" s="40">
        <v>0</v>
      </c>
      <c r="DE58" s="40">
        <v>0</v>
      </c>
      <c r="DF58" s="40">
        <v>0</v>
      </c>
      <c r="DG58" s="40">
        <v>0</v>
      </c>
      <c r="DH58" s="40">
        <v>0</v>
      </c>
      <c r="DI58" s="40">
        <v>0</v>
      </c>
      <c r="DJ58" s="40">
        <v>0</v>
      </c>
      <c r="DK58" s="40">
        <v>0</v>
      </c>
      <c r="DL58" s="40">
        <v>0</v>
      </c>
      <c r="DM58" s="40">
        <v>0</v>
      </c>
      <c r="DN58" s="40">
        <v>0</v>
      </c>
      <c r="DO58" s="40">
        <v>0</v>
      </c>
      <c r="DP58" s="40">
        <v>0</v>
      </c>
      <c r="DQ58" s="40">
        <v>0</v>
      </c>
      <c r="DR58" s="40">
        <v>0</v>
      </c>
      <c r="DS58" s="40">
        <v>0</v>
      </c>
      <c r="DT58" s="40">
        <v>0</v>
      </c>
      <c r="DU58" s="40">
        <v>0</v>
      </c>
      <c r="DV58" s="40">
        <v>0</v>
      </c>
      <c r="DW58" s="40">
        <v>0</v>
      </c>
      <c r="DX58" s="40">
        <v>0</v>
      </c>
      <c r="DY58" s="40">
        <v>0</v>
      </c>
      <c r="DZ58" s="40">
        <v>0</v>
      </c>
      <c r="EA58" s="40">
        <v>0</v>
      </c>
      <c r="EB58" s="40">
        <v>0</v>
      </c>
      <c r="EC58" s="40">
        <v>0</v>
      </c>
      <c r="ED58" s="40">
        <v>0</v>
      </c>
      <c r="EE58" s="40">
        <v>0</v>
      </c>
      <c r="EF58" s="40">
        <v>0</v>
      </c>
      <c r="EG58" s="40">
        <v>0</v>
      </c>
      <c r="EH58" s="40">
        <v>0</v>
      </c>
      <c r="EI58" s="40">
        <v>0</v>
      </c>
      <c r="EJ58" s="40">
        <v>0</v>
      </c>
      <c r="EK58" s="40">
        <v>0</v>
      </c>
      <c r="EL58" s="40">
        <v>0</v>
      </c>
      <c r="EM58" s="40">
        <v>0</v>
      </c>
      <c r="EN58" s="40">
        <v>0</v>
      </c>
      <c r="EO58" s="40">
        <v>0</v>
      </c>
      <c r="EP58" s="40">
        <v>0</v>
      </c>
      <c r="EQ58" s="40">
        <v>0</v>
      </c>
      <c r="ER58" s="40">
        <v>0</v>
      </c>
      <c r="ES58" s="40">
        <v>0</v>
      </c>
      <c r="ET58" s="40">
        <v>0</v>
      </c>
      <c r="EU58" s="40">
        <v>0</v>
      </c>
      <c r="EV58" s="40">
        <v>0</v>
      </c>
      <c r="EW58" s="40">
        <v>0</v>
      </c>
      <c r="EX58" s="40">
        <v>0</v>
      </c>
      <c r="EY58" s="40">
        <v>0</v>
      </c>
      <c r="EZ58" s="40">
        <v>0</v>
      </c>
      <c r="FA58" s="40">
        <v>0</v>
      </c>
      <c r="FB58" s="40">
        <v>9430.6490484694332</v>
      </c>
      <c r="FC58" s="40">
        <v>0</v>
      </c>
      <c r="FD58" s="40">
        <v>0</v>
      </c>
      <c r="FE58" s="40">
        <v>0</v>
      </c>
      <c r="FF58" s="40">
        <v>0</v>
      </c>
      <c r="FG58" s="40">
        <v>0</v>
      </c>
      <c r="FH58" s="40">
        <v>678305.5061064472</v>
      </c>
      <c r="FI58" s="40">
        <v>0</v>
      </c>
      <c r="FJ58" s="40">
        <v>0</v>
      </c>
      <c r="FK58" s="40">
        <v>0</v>
      </c>
      <c r="FL58" s="40">
        <v>0</v>
      </c>
      <c r="FM58" s="40">
        <v>0</v>
      </c>
      <c r="FN58" s="40">
        <v>0</v>
      </c>
      <c r="FO58" s="36">
        <v>0</v>
      </c>
      <c r="FP58" s="36">
        <v>0</v>
      </c>
      <c r="FQ58" s="36">
        <v>0</v>
      </c>
      <c r="FR58" s="36">
        <v>0</v>
      </c>
      <c r="FS58" s="36">
        <v>0</v>
      </c>
      <c r="FT58" s="36">
        <v>0</v>
      </c>
      <c r="FU58" s="36">
        <v>0</v>
      </c>
      <c r="FV58" s="36">
        <v>0</v>
      </c>
      <c r="FW58" s="36">
        <v>0</v>
      </c>
      <c r="FX58" s="36">
        <v>0</v>
      </c>
      <c r="FY58" s="36">
        <v>0</v>
      </c>
      <c r="FZ58" s="36">
        <v>0</v>
      </c>
      <c r="GA58" s="36">
        <v>0</v>
      </c>
      <c r="GB58" s="36">
        <v>0</v>
      </c>
      <c r="GC58" s="36">
        <v>0</v>
      </c>
      <c r="GD58" s="36">
        <v>0</v>
      </c>
      <c r="GE58" s="36">
        <v>0</v>
      </c>
      <c r="GF58" s="36">
        <v>0</v>
      </c>
      <c r="GG58" s="36"/>
      <c r="GH58" s="36"/>
      <c r="GI58" s="36"/>
      <c r="GJ58" s="36"/>
      <c r="GK58" s="36"/>
      <c r="GL58" s="36"/>
      <c r="GM58" s="36"/>
      <c r="GN58" s="36"/>
      <c r="GO58" s="36"/>
      <c r="GP58" s="36"/>
      <c r="GQ58" s="36"/>
      <c r="GR58" s="36"/>
      <c r="GS58" s="36"/>
      <c r="GT58" s="36"/>
      <c r="GU58" s="36">
        <v>0</v>
      </c>
      <c r="GV58" s="36">
        <v>0</v>
      </c>
      <c r="GW58" s="36">
        <v>0</v>
      </c>
      <c r="GX58" s="36">
        <v>0</v>
      </c>
      <c r="GY58" s="36">
        <v>0</v>
      </c>
      <c r="GZ58" s="36">
        <v>0</v>
      </c>
      <c r="HA58" s="36">
        <v>0</v>
      </c>
      <c r="HB58" s="36">
        <v>0</v>
      </c>
      <c r="HC58" s="36">
        <f t="shared" si="0"/>
        <v>687736.15515491657</v>
      </c>
      <c r="HD58" s="36">
        <f>SUM(BC$5:BC$213)</f>
        <v>687736.15515491646</v>
      </c>
      <c r="HE58" s="41">
        <v>0</v>
      </c>
    </row>
    <row r="59" spans="1:213" hidden="1" outlineLevel="1" x14ac:dyDescent="0.2">
      <c r="A59" s="9" t="s">
        <v>415</v>
      </c>
      <c r="B59" s="36">
        <v>0</v>
      </c>
      <c r="C59" s="36">
        <v>0</v>
      </c>
      <c r="D59" s="36">
        <v>0</v>
      </c>
      <c r="E59" s="36">
        <v>0</v>
      </c>
      <c r="F59" s="36">
        <v>0</v>
      </c>
      <c r="G59" s="36">
        <v>0</v>
      </c>
      <c r="H59" s="36">
        <v>0</v>
      </c>
      <c r="I59" s="36">
        <v>0</v>
      </c>
      <c r="J59" s="36">
        <v>0</v>
      </c>
      <c r="K59" s="36">
        <v>0</v>
      </c>
      <c r="L59" s="36">
        <v>0</v>
      </c>
      <c r="M59" s="36">
        <v>0</v>
      </c>
      <c r="N59" s="36">
        <v>0</v>
      </c>
      <c r="O59" s="36">
        <v>0</v>
      </c>
      <c r="P59" s="36">
        <v>0</v>
      </c>
      <c r="Q59" s="36">
        <v>0</v>
      </c>
      <c r="R59" s="36">
        <v>0</v>
      </c>
      <c r="S59" s="36">
        <v>0</v>
      </c>
      <c r="T59" s="36">
        <v>0</v>
      </c>
      <c r="U59" s="36">
        <v>0</v>
      </c>
      <c r="V59" s="36">
        <v>0</v>
      </c>
      <c r="W59" s="36">
        <v>0</v>
      </c>
      <c r="X59" s="36">
        <v>0</v>
      </c>
      <c r="Y59" s="36">
        <v>0</v>
      </c>
      <c r="Z59" s="36">
        <v>0</v>
      </c>
      <c r="AA59" s="36">
        <v>0</v>
      </c>
      <c r="AB59" s="36">
        <v>0</v>
      </c>
      <c r="AC59" s="36">
        <v>0</v>
      </c>
      <c r="AD59" s="36">
        <v>0</v>
      </c>
      <c r="AE59" s="36">
        <v>0</v>
      </c>
      <c r="AF59" s="36">
        <v>0</v>
      </c>
      <c r="AG59" s="36">
        <v>0</v>
      </c>
      <c r="AH59" s="36">
        <v>0</v>
      </c>
      <c r="AI59" s="36">
        <v>0</v>
      </c>
      <c r="AJ59" s="36">
        <v>0</v>
      </c>
      <c r="AK59" s="36">
        <v>0</v>
      </c>
      <c r="AL59" s="36">
        <v>0</v>
      </c>
      <c r="AM59" s="36">
        <v>0</v>
      </c>
      <c r="AN59" s="36">
        <v>0</v>
      </c>
      <c r="AO59" s="36">
        <v>0</v>
      </c>
      <c r="AP59" s="36">
        <v>0</v>
      </c>
      <c r="AQ59" s="36">
        <v>0</v>
      </c>
      <c r="AR59" s="36">
        <v>0</v>
      </c>
      <c r="AS59" s="36">
        <v>0</v>
      </c>
      <c r="AT59" s="36">
        <v>0</v>
      </c>
      <c r="AU59" s="36">
        <v>0</v>
      </c>
      <c r="AV59" s="36">
        <v>0</v>
      </c>
      <c r="AW59" s="36">
        <v>0</v>
      </c>
      <c r="AX59" s="36">
        <v>0</v>
      </c>
      <c r="AY59" s="36">
        <v>0</v>
      </c>
      <c r="AZ59" s="36">
        <v>0</v>
      </c>
      <c r="BA59" s="36">
        <v>0</v>
      </c>
      <c r="BB59" s="36">
        <v>0</v>
      </c>
      <c r="BC59" s="36">
        <v>0</v>
      </c>
      <c r="BD59" s="36">
        <v>0</v>
      </c>
      <c r="BE59" s="36">
        <v>0</v>
      </c>
      <c r="BF59" s="36">
        <v>0</v>
      </c>
      <c r="BG59" s="36">
        <v>0</v>
      </c>
      <c r="BH59" s="36">
        <v>0</v>
      </c>
      <c r="BI59" s="36">
        <v>0</v>
      </c>
      <c r="BJ59" s="36">
        <v>0</v>
      </c>
      <c r="BK59" s="40">
        <v>0</v>
      </c>
      <c r="BL59" s="40">
        <v>0</v>
      </c>
      <c r="BM59" s="40">
        <v>0</v>
      </c>
      <c r="BN59" s="40">
        <v>0</v>
      </c>
      <c r="BO59" s="40">
        <v>0</v>
      </c>
      <c r="BP59" s="40">
        <v>0</v>
      </c>
      <c r="BQ59" s="40">
        <v>0</v>
      </c>
      <c r="BR59" s="40">
        <v>0</v>
      </c>
      <c r="BS59" s="40">
        <v>0</v>
      </c>
      <c r="BT59" s="40">
        <v>0</v>
      </c>
      <c r="BU59" s="40">
        <v>0</v>
      </c>
      <c r="BV59" s="40">
        <v>0</v>
      </c>
      <c r="BW59" s="40">
        <v>0</v>
      </c>
      <c r="BX59" s="40">
        <v>0</v>
      </c>
      <c r="BY59" s="40">
        <v>0</v>
      </c>
      <c r="BZ59" s="40">
        <v>0</v>
      </c>
      <c r="CA59" s="40">
        <v>0</v>
      </c>
      <c r="CB59" s="40">
        <v>0</v>
      </c>
      <c r="CC59" s="40">
        <v>0</v>
      </c>
      <c r="CD59" s="40">
        <v>0</v>
      </c>
      <c r="CE59" s="40">
        <v>0</v>
      </c>
      <c r="CF59" s="40">
        <v>0</v>
      </c>
      <c r="CG59" s="40">
        <v>0</v>
      </c>
      <c r="CH59" s="40">
        <v>0</v>
      </c>
      <c r="CI59" s="40">
        <v>0</v>
      </c>
      <c r="CJ59" s="40">
        <v>0</v>
      </c>
      <c r="CK59" s="40">
        <v>0</v>
      </c>
      <c r="CL59" s="40">
        <v>0</v>
      </c>
      <c r="CM59" s="40">
        <v>0</v>
      </c>
      <c r="CN59" s="40">
        <v>0</v>
      </c>
      <c r="CO59" s="40">
        <v>0</v>
      </c>
      <c r="CP59" s="40">
        <v>0</v>
      </c>
      <c r="CQ59" s="40">
        <v>0</v>
      </c>
      <c r="CR59" s="40">
        <v>0</v>
      </c>
      <c r="CS59" s="40">
        <v>0</v>
      </c>
      <c r="CT59" s="40">
        <v>0</v>
      </c>
      <c r="CU59" s="40">
        <v>0</v>
      </c>
      <c r="CV59" s="40">
        <v>0</v>
      </c>
      <c r="CW59" s="40">
        <v>0</v>
      </c>
      <c r="CX59" s="40">
        <v>0</v>
      </c>
      <c r="CY59" s="40">
        <v>0</v>
      </c>
      <c r="CZ59" s="40">
        <v>0</v>
      </c>
      <c r="DA59" s="40">
        <v>0</v>
      </c>
      <c r="DB59" s="40">
        <v>0</v>
      </c>
      <c r="DC59" s="40">
        <v>0</v>
      </c>
      <c r="DD59" s="40">
        <v>0</v>
      </c>
      <c r="DE59" s="40">
        <v>0</v>
      </c>
      <c r="DF59" s="40">
        <v>0</v>
      </c>
      <c r="DG59" s="40">
        <v>0</v>
      </c>
      <c r="DH59" s="40">
        <v>0</v>
      </c>
      <c r="DI59" s="40">
        <v>0</v>
      </c>
      <c r="DJ59" s="40">
        <v>0</v>
      </c>
      <c r="DK59" s="40">
        <v>0</v>
      </c>
      <c r="DL59" s="40">
        <v>0</v>
      </c>
      <c r="DM59" s="40">
        <v>0</v>
      </c>
      <c r="DN59" s="40">
        <v>0</v>
      </c>
      <c r="DO59" s="40">
        <v>0</v>
      </c>
      <c r="DP59" s="40">
        <v>0</v>
      </c>
      <c r="DQ59" s="40">
        <v>0</v>
      </c>
      <c r="DR59" s="40">
        <v>0</v>
      </c>
      <c r="DS59" s="40">
        <v>0</v>
      </c>
      <c r="DT59" s="40">
        <v>0</v>
      </c>
      <c r="DU59" s="40">
        <v>0</v>
      </c>
      <c r="DV59" s="40">
        <v>0</v>
      </c>
      <c r="DW59" s="40">
        <v>0</v>
      </c>
      <c r="DX59" s="40">
        <v>0</v>
      </c>
      <c r="DY59" s="40">
        <v>0</v>
      </c>
      <c r="DZ59" s="40">
        <v>0</v>
      </c>
      <c r="EA59" s="40">
        <v>0</v>
      </c>
      <c r="EB59" s="40">
        <v>0</v>
      </c>
      <c r="EC59" s="40">
        <v>0</v>
      </c>
      <c r="ED59" s="40">
        <v>0</v>
      </c>
      <c r="EE59" s="40">
        <v>0</v>
      </c>
      <c r="EF59" s="40">
        <v>0</v>
      </c>
      <c r="EG59" s="40">
        <v>0</v>
      </c>
      <c r="EH59" s="40">
        <v>0</v>
      </c>
      <c r="EI59" s="40">
        <v>0</v>
      </c>
      <c r="EJ59" s="40">
        <v>0</v>
      </c>
      <c r="EK59" s="40">
        <v>0</v>
      </c>
      <c r="EL59" s="40">
        <v>0</v>
      </c>
      <c r="EM59" s="40">
        <v>31246.767789633075</v>
      </c>
      <c r="EN59" s="40">
        <v>0</v>
      </c>
      <c r="EO59" s="40">
        <v>0</v>
      </c>
      <c r="EP59" s="40">
        <v>0</v>
      </c>
      <c r="EQ59" s="40">
        <v>0</v>
      </c>
      <c r="ER59" s="40">
        <v>0</v>
      </c>
      <c r="ES59" s="40">
        <v>0</v>
      </c>
      <c r="ET59" s="40">
        <v>0</v>
      </c>
      <c r="EU59" s="40">
        <v>0</v>
      </c>
      <c r="EV59" s="40">
        <v>0</v>
      </c>
      <c r="EW59" s="40">
        <v>0</v>
      </c>
      <c r="EX59" s="40">
        <v>0</v>
      </c>
      <c r="EY59" s="40">
        <v>0</v>
      </c>
      <c r="EZ59" s="40">
        <v>177.00005785739398</v>
      </c>
      <c r="FA59" s="40">
        <v>3.5757587445938173</v>
      </c>
      <c r="FB59" s="40">
        <v>13622.040461451017</v>
      </c>
      <c r="FC59" s="40">
        <v>0</v>
      </c>
      <c r="FD59" s="40">
        <v>0</v>
      </c>
      <c r="FE59" s="40">
        <v>0</v>
      </c>
      <c r="FF59" s="40">
        <v>0</v>
      </c>
      <c r="FG59" s="40">
        <v>0</v>
      </c>
      <c r="FH59" s="40">
        <v>0</v>
      </c>
      <c r="FI59" s="40">
        <v>442834.2905621836</v>
      </c>
      <c r="FJ59" s="40">
        <v>0</v>
      </c>
      <c r="FK59" s="40">
        <v>0</v>
      </c>
      <c r="FL59" s="40">
        <v>0</v>
      </c>
      <c r="FM59" s="40">
        <v>0</v>
      </c>
      <c r="FN59" s="40">
        <v>0</v>
      </c>
      <c r="FO59" s="36">
        <v>0</v>
      </c>
      <c r="FP59" s="36">
        <v>0</v>
      </c>
      <c r="FQ59" s="36">
        <v>0</v>
      </c>
      <c r="FR59" s="36">
        <v>0</v>
      </c>
      <c r="FS59" s="36">
        <v>0</v>
      </c>
      <c r="FT59" s="36">
        <v>0</v>
      </c>
      <c r="FU59" s="36">
        <v>0</v>
      </c>
      <c r="FV59" s="36">
        <v>0</v>
      </c>
      <c r="FW59" s="36">
        <v>0</v>
      </c>
      <c r="FX59" s="36">
        <v>0</v>
      </c>
      <c r="FY59" s="36">
        <v>0</v>
      </c>
      <c r="FZ59" s="36">
        <v>0</v>
      </c>
      <c r="GA59" s="36">
        <v>0</v>
      </c>
      <c r="GB59" s="36">
        <v>0</v>
      </c>
      <c r="GC59" s="36">
        <v>0</v>
      </c>
      <c r="GD59" s="36">
        <v>0</v>
      </c>
      <c r="GE59" s="36">
        <v>0</v>
      </c>
      <c r="GF59" s="36">
        <v>0</v>
      </c>
      <c r="GG59" s="36"/>
      <c r="GH59" s="36"/>
      <c r="GI59" s="36"/>
      <c r="GJ59" s="36"/>
      <c r="GK59" s="36"/>
      <c r="GL59" s="36"/>
      <c r="GM59" s="36"/>
      <c r="GN59" s="36"/>
      <c r="GO59" s="36"/>
      <c r="GP59" s="36"/>
      <c r="GQ59" s="36"/>
      <c r="GR59" s="36"/>
      <c r="GS59" s="36"/>
      <c r="GT59" s="36"/>
      <c r="GU59" s="36">
        <v>0</v>
      </c>
      <c r="GV59" s="36">
        <v>0</v>
      </c>
      <c r="GW59" s="36">
        <v>0</v>
      </c>
      <c r="GX59" s="36">
        <v>0</v>
      </c>
      <c r="GY59" s="36">
        <v>0</v>
      </c>
      <c r="GZ59" s="36">
        <v>0</v>
      </c>
      <c r="HA59" s="36">
        <v>0</v>
      </c>
      <c r="HB59" s="36">
        <v>0</v>
      </c>
      <c r="HC59" s="36">
        <f t="shared" si="0"/>
        <v>487883.6746298697</v>
      </c>
      <c r="HD59" s="36">
        <f>SUM(BD$5:BD$213)</f>
        <v>487883.67462986964</v>
      </c>
      <c r="HE59" s="41">
        <v>0</v>
      </c>
    </row>
    <row r="60" spans="1:213" hidden="1" outlineLevel="1" x14ac:dyDescent="0.2">
      <c r="A60" s="9" t="s">
        <v>420</v>
      </c>
      <c r="B60" s="36">
        <v>0</v>
      </c>
      <c r="C60" s="36">
        <v>0</v>
      </c>
      <c r="D60" s="36">
        <v>0</v>
      </c>
      <c r="E60" s="36">
        <v>0</v>
      </c>
      <c r="F60" s="36">
        <v>0</v>
      </c>
      <c r="G60" s="36">
        <v>0</v>
      </c>
      <c r="H60" s="36">
        <v>0</v>
      </c>
      <c r="I60" s="36">
        <v>0</v>
      </c>
      <c r="J60" s="36">
        <v>0</v>
      </c>
      <c r="K60" s="36">
        <v>0</v>
      </c>
      <c r="L60" s="36">
        <v>0</v>
      </c>
      <c r="M60" s="36">
        <v>0</v>
      </c>
      <c r="N60" s="36">
        <v>0</v>
      </c>
      <c r="O60" s="36">
        <v>0</v>
      </c>
      <c r="P60" s="36">
        <v>0</v>
      </c>
      <c r="Q60" s="36">
        <v>0</v>
      </c>
      <c r="R60" s="36">
        <v>0</v>
      </c>
      <c r="S60" s="36">
        <v>0</v>
      </c>
      <c r="T60" s="36">
        <v>0</v>
      </c>
      <c r="U60" s="36">
        <v>0</v>
      </c>
      <c r="V60" s="36">
        <v>0</v>
      </c>
      <c r="W60" s="36">
        <v>0</v>
      </c>
      <c r="X60" s="36">
        <v>0</v>
      </c>
      <c r="Y60" s="36">
        <v>0</v>
      </c>
      <c r="Z60" s="36">
        <v>0</v>
      </c>
      <c r="AA60" s="36">
        <v>0</v>
      </c>
      <c r="AB60" s="36">
        <v>0</v>
      </c>
      <c r="AC60" s="36">
        <v>0</v>
      </c>
      <c r="AD60" s="36">
        <v>0</v>
      </c>
      <c r="AE60" s="36">
        <v>0</v>
      </c>
      <c r="AF60" s="36">
        <v>0</v>
      </c>
      <c r="AG60" s="36">
        <v>0</v>
      </c>
      <c r="AH60" s="36">
        <v>0</v>
      </c>
      <c r="AI60" s="36">
        <v>0</v>
      </c>
      <c r="AJ60" s="36">
        <v>0</v>
      </c>
      <c r="AK60" s="36">
        <v>0</v>
      </c>
      <c r="AL60" s="36">
        <v>0</v>
      </c>
      <c r="AM60" s="36">
        <v>0</v>
      </c>
      <c r="AN60" s="36">
        <v>0</v>
      </c>
      <c r="AO60" s="36">
        <v>0</v>
      </c>
      <c r="AP60" s="36">
        <v>0</v>
      </c>
      <c r="AQ60" s="36">
        <v>0</v>
      </c>
      <c r="AR60" s="36">
        <v>0</v>
      </c>
      <c r="AS60" s="36">
        <v>0</v>
      </c>
      <c r="AT60" s="36">
        <v>0</v>
      </c>
      <c r="AU60" s="36">
        <v>0</v>
      </c>
      <c r="AV60" s="36">
        <v>0</v>
      </c>
      <c r="AW60" s="36">
        <v>0</v>
      </c>
      <c r="AX60" s="36">
        <v>0</v>
      </c>
      <c r="AY60" s="36">
        <v>0</v>
      </c>
      <c r="AZ60" s="36">
        <v>0</v>
      </c>
      <c r="BA60" s="36">
        <v>0</v>
      </c>
      <c r="BB60" s="36">
        <v>0</v>
      </c>
      <c r="BC60" s="36">
        <v>0</v>
      </c>
      <c r="BD60" s="36">
        <v>0</v>
      </c>
      <c r="BE60" s="36">
        <v>0</v>
      </c>
      <c r="BF60" s="36">
        <v>0</v>
      </c>
      <c r="BG60" s="36">
        <v>0</v>
      </c>
      <c r="BH60" s="36">
        <v>0</v>
      </c>
      <c r="BI60" s="36">
        <v>0</v>
      </c>
      <c r="BJ60" s="36">
        <v>0</v>
      </c>
      <c r="BK60" s="40">
        <v>0</v>
      </c>
      <c r="BL60" s="40">
        <v>0</v>
      </c>
      <c r="BM60" s="40">
        <v>0</v>
      </c>
      <c r="BN60" s="40">
        <v>0</v>
      </c>
      <c r="BO60" s="40">
        <v>0</v>
      </c>
      <c r="BP60" s="40">
        <v>0</v>
      </c>
      <c r="BQ60" s="40">
        <v>0</v>
      </c>
      <c r="BR60" s="40">
        <v>0</v>
      </c>
      <c r="BS60" s="40">
        <v>0</v>
      </c>
      <c r="BT60" s="40">
        <v>0</v>
      </c>
      <c r="BU60" s="40">
        <v>0</v>
      </c>
      <c r="BV60" s="40">
        <v>0</v>
      </c>
      <c r="BW60" s="40">
        <v>0</v>
      </c>
      <c r="BX60" s="40">
        <v>0</v>
      </c>
      <c r="BY60" s="40">
        <v>0</v>
      </c>
      <c r="BZ60" s="40">
        <v>0</v>
      </c>
      <c r="CA60" s="40">
        <v>0</v>
      </c>
      <c r="CB60" s="40">
        <v>0</v>
      </c>
      <c r="CC60" s="40">
        <v>0</v>
      </c>
      <c r="CD60" s="40">
        <v>0</v>
      </c>
      <c r="CE60" s="40">
        <v>0</v>
      </c>
      <c r="CF60" s="40">
        <v>0</v>
      </c>
      <c r="CG60" s="40">
        <v>0</v>
      </c>
      <c r="CH60" s="40">
        <v>0</v>
      </c>
      <c r="CI60" s="40">
        <v>0</v>
      </c>
      <c r="CJ60" s="40">
        <v>0</v>
      </c>
      <c r="CK60" s="40">
        <v>0</v>
      </c>
      <c r="CL60" s="40">
        <v>0</v>
      </c>
      <c r="CM60" s="40">
        <v>0</v>
      </c>
      <c r="CN60" s="40">
        <v>0</v>
      </c>
      <c r="CO60" s="40">
        <v>0</v>
      </c>
      <c r="CP60" s="40">
        <v>0</v>
      </c>
      <c r="CQ60" s="40">
        <v>0</v>
      </c>
      <c r="CR60" s="40">
        <v>0</v>
      </c>
      <c r="CS60" s="40">
        <v>0</v>
      </c>
      <c r="CT60" s="40">
        <v>0</v>
      </c>
      <c r="CU60" s="40">
        <v>0</v>
      </c>
      <c r="CV60" s="40">
        <v>0</v>
      </c>
      <c r="CW60" s="40">
        <v>0</v>
      </c>
      <c r="CX60" s="40">
        <v>0</v>
      </c>
      <c r="CY60" s="40">
        <v>0</v>
      </c>
      <c r="CZ60" s="40">
        <v>0</v>
      </c>
      <c r="DA60" s="40">
        <v>0</v>
      </c>
      <c r="DB60" s="40">
        <v>0</v>
      </c>
      <c r="DC60" s="40">
        <v>0</v>
      </c>
      <c r="DD60" s="40">
        <v>0</v>
      </c>
      <c r="DE60" s="40">
        <v>0</v>
      </c>
      <c r="DF60" s="40">
        <v>0</v>
      </c>
      <c r="DG60" s="40">
        <v>0</v>
      </c>
      <c r="DH60" s="40">
        <v>0</v>
      </c>
      <c r="DI60" s="40">
        <v>0</v>
      </c>
      <c r="DJ60" s="40">
        <v>0</v>
      </c>
      <c r="DK60" s="40">
        <v>0</v>
      </c>
      <c r="DL60" s="40">
        <v>0</v>
      </c>
      <c r="DM60" s="40">
        <v>0</v>
      </c>
      <c r="DN60" s="40">
        <v>0</v>
      </c>
      <c r="DO60" s="40">
        <v>0</v>
      </c>
      <c r="DP60" s="40">
        <v>0</v>
      </c>
      <c r="DQ60" s="40">
        <v>0</v>
      </c>
      <c r="DR60" s="40">
        <v>0</v>
      </c>
      <c r="DS60" s="40">
        <v>0</v>
      </c>
      <c r="DT60" s="40">
        <v>0</v>
      </c>
      <c r="DU60" s="40">
        <v>0</v>
      </c>
      <c r="DV60" s="40">
        <v>0</v>
      </c>
      <c r="DW60" s="40">
        <v>0</v>
      </c>
      <c r="DX60" s="40">
        <v>0</v>
      </c>
      <c r="DY60" s="40">
        <v>0</v>
      </c>
      <c r="DZ60" s="40">
        <v>0</v>
      </c>
      <c r="EA60" s="40">
        <v>0</v>
      </c>
      <c r="EB60" s="40">
        <v>0</v>
      </c>
      <c r="EC60" s="40">
        <v>0</v>
      </c>
      <c r="ED60" s="40">
        <v>0</v>
      </c>
      <c r="EE60" s="40">
        <v>0</v>
      </c>
      <c r="EF60" s="40">
        <v>0</v>
      </c>
      <c r="EG60" s="40">
        <v>0</v>
      </c>
      <c r="EH60" s="40">
        <v>0</v>
      </c>
      <c r="EI60" s="40">
        <v>0</v>
      </c>
      <c r="EJ60" s="40">
        <v>0</v>
      </c>
      <c r="EK60" s="40">
        <v>0</v>
      </c>
      <c r="EL60" s="40">
        <v>0</v>
      </c>
      <c r="EM60" s="40">
        <v>0</v>
      </c>
      <c r="EN60" s="40">
        <v>0</v>
      </c>
      <c r="EO60" s="40">
        <v>0</v>
      </c>
      <c r="EP60" s="40">
        <v>0</v>
      </c>
      <c r="EQ60" s="40">
        <v>0</v>
      </c>
      <c r="ER60" s="40">
        <v>0</v>
      </c>
      <c r="ES60" s="40">
        <v>0</v>
      </c>
      <c r="ET60" s="40">
        <v>0</v>
      </c>
      <c r="EU60" s="40">
        <v>0</v>
      </c>
      <c r="EV60" s="40">
        <v>0</v>
      </c>
      <c r="EW60" s="40">
        <v>0</v>
      </c>
      <c r="EX60" s="40">
        <v>0</v>
      </c>
      <c r="EY60" s="40">
        <v>0</v>
      </c>
      <c r="EZ60" s="40">
        <v>1601.3892641036773</v>
      </c>
      <c r="FA60" s="40">
        <v>139.55636048142765</v>
      </c>
      <c r="FB60" s="40">
        <v>0</v>
      </c>
      <c r="FC60" s="40">
        <v>0</v>
      </c>
      <c r="FD60" s="40">
        <v>8235.6978309487422</v>
      </c>
      <c r="FE60" s="40">
        <v>0</v>
      </c>
      <c r="FF60" s="40">
        <v>0</v>
      </c>
      <c r="FG60" s="40">
        <v>0</v>
      </c>
      <c r="FH60" s="40">
        <v>21252.597211680932</v>
      </c>
      <c r="FI60" s="40">
        <v>0</v>
      </c>
      <c r="FJ60" s="40">
        <v>347889.87197557918</v>
      </c>
      <c r="FK60" s="40">
        <v>0</v>
      </c>
      <c r="FL60" s="40">
        <v>0</v>
      </c>
      <c r="FM60" s="40">
        <v>0</v>
      </c>
      <c r="FN60" s="40">
        <v>0</v>
      </c>
      <c r="FO60" s="36">
        <v>0</v>
      </c>
      <c r="FP60" s="36">
        <v>0</v>
      </c>
      <c r="FQ60" s="36">
        <v>0</v>
      </c>
      <c r="FR60" s="36">
        <v>0</v>
      </c>
      <c r="FS60" s="36">
        <v>0</v>
      </c>
      <c r="FT60" s="36">
        <v>0</v>
      </c>
      <c r="FU60" s="36">
        <v>0</v>
      </c>
      <c r="FV60" s="36">
        <v>0</v>
      </c>
      <c r="FW60" s="36">
        <v>0</v>
      </c>
      <c r="FX60" s="36">
        <v>0</v>
      </c>
      <c r="FY60" s="36">
        <v>0</v>
      </c>
      <c r="FZ60" s="36">
        <v>0</v>
      </c>
      <c r="GA60" s="36">
        <v>0</v>
      </c>
      <c r="GB60" s="36">
        <v>0</v>
      </c>
      <c r="GC60" s="36">
        <v>0</v>
      </c>
      <c r="GD60" s="36">
        <v>0</v>
      </c>
      <c r="GE60" s="36">
        <v>0</v>
      </c>
      <c r="GF60" s="36">
        <v>0</v>
      </c>
      <c r="GG60" s="36"/>
      <c r="GH60" s="36"/>
      <c r="GI60" s="36"/>
      <c r="GJ60" s="36"/>
      <c r="GK60" s="36"/>
      <c r="GL60" s="36"/>
      <c r="GM60" s="36"/>
      <c r="GN60" s="36"/>
      <c r="GO60" s="36"/>
      <c r="GP60" s="36"/>
      <c r="GQ60" s="36"/>
      <c r="GR60" s="36"/>
      <c r="GS60" s="36"/>
      <c r="GT60" s="36"/>
      <c r="GU60" s="36">
        <v>0</v>
      </c>
      <c r="GV60" s="36">
        <v>0</v>
      </c>
      <c r="GW60" s="36">
        <v>0</v>
      </c>
      <c r="GX60" s="36">
        <v>0</v>
      </c>
      <c r="GY60" s="36">
        <v>0</v>
      </c>
      <c r="GZ60" s="36">
        <v>0</v>
      </c>
      <c r="HA60" s="36">
        <v>0</v>
      </c>
      <c r="HB60" s="36">
        <v>0</v>
      </c>
      <c r="HC60" s="36">
        <f t="shared" si="0"/>
        <v>379119.11264279397</v>
      </c>
      <c r="HD60" s="36">
        <f>SUM(BE$5:BE$213)</f>
        <v>379119.11264279392</v>
      </c>
      <c r="HE60" s="41">
        <v>0</v>
      </c>
    </row>
    <row r="61" spans="1:213" hidden="1" outlineLevel="1" x14ac:dyDescent="0.2">
      <c r="A61" s="9" t="s">
        <v>426</v>
      </c>
      <c r="B61" s="36">
        <v>0</v>
      </c>
      <c r="C61" s="36">
        <v>0</v>
      </c>
      <c r="D61" s="36">
        <v>0</v>
      </c>
      <c r="E61" s="36">
        <v>0</v>
      </c>
      <c r="F61" s="36">
        <v>0</v>
      </c>
      <c r="G61" s="36">
        <v>0</v>
      </c>
      <c r="H61" s="36">
        <v>0</v>
      </c>
      <c r="I61" s="36">
        <v>0</v>
      </c>
      <c r="J61" s="36">
        <v>0</v>
      </c>
      <c r="K61" s="36">
        <v>0</v>
      </c>
      <c r="L61" s="36">
        <v>0</v>
      </c>
      <c r="M61" s="36">
        <v>0</v>
      </c>
      <c r="N61" s="36">
        <v>0</v>
      </c>
      <c r="O61" s="36">
        <v>0</v>
      </c>
      <c r="P61" s="36">
        <v>0</v>
      </c>
      <c r="Q61" s="36">
        <v>0</v>
      </c>
      <c r="R61" s="36">
        <v>0</v>
      </c>
      <c r="S61" s="36">
        <v>0</v>
      </c>
      <c r="T61" s="36">
        <v>0</v>
      </c>
      <c r="U61" s="36">
        <v>0</v>
      </c>
      <c r="V61" s="36">
        <v>0</v>
      </c>
      <c r="W61" s="36">
        <v>0</v>
      </c>
      <c r="X61" s="36">
        <v>0</v>
      </c>
      <c r="Y61" s="36">
        <v>0</v>
      </c>
      <c r="Z61" s="36">
        <v>0</v>
      </c>
      <c r="AA61" s="36">
        <v>0</v>
      </c>
      <c r="AB61" s="36">
        <v>0</v>
      </c>
      <c r="AC61" s="36">
        <v>0</v>
      </c>
      <c r="AD61" s="36">
        <v>0</v>
      </c>
      <c r="AE61" s="36">
        <v>0</v>
      </c>
      <c r="AF61" s="36">
        <v>0</v>
      </c>
      <c r="AG61" s="36">
        <v>0</v>
      </c>
      <c r="AH61" s="36">
        <v>0</v>
      </c>
      <c r="AI61" s="36">
        <v>0</v>
      </c>
      <c r="AJ61" s="36">
        <v>0</v>
      </c>
      <c r="AK61" s="36">
        <v>0</v>
      </c>
      <c r="AL61" s="36">
        <v>0</v>
      </c>
      <c r="AM61" s="36">
        <v>0</v>
      </c>
      <c r="AN61" s="36">
        <v>0</v>
      </c>
      <c r="AO61" s="36">
        <v>0</v>
      </c>
      <c r="AP61" s="36">
        <v>0</v>
      </c>
      <c r="AQ61" s="36">
        <v>0</v>
      </c>
      <c r="AR61" s="36">
        <v>0</v>
      </c>
      <c r="AS61" s="36">
        <v>0</v>
      </c>
      <c r="AT61" s="36">
        <v>0</v>
      </c>
      <c r="AU61" s="36">
        <v>0</v>
      </c>
      <c r="AV61" s="36">
        <v>0</v>
      </c>
      <c r="AW61" s="36">
        <v>0</v>
      </c>
      <c r="AX61" s="36">
        <v>0</v>
      </c>
      <c r="AY61" s="36">
        <v>0</v>
      </c>
      <c r="AZ61" s="36">
        <v>0</v>
      </c>
      <c r="BA61" s="36">
        <v>0</v>
      </c>
      <c r="BB61" s="36">
        <v>0</v>
      </c>
      <c r="BC61" s="36">
        <v>0</v>
      </c>
      <c r="BD61" s="36">
        <v>0</v>
      </c>
      <c r="BE61" s="36">
        <v>0</v>
      </c>
      <c r="BF61" s="36">
        <v>0</v>
      </c>
      <c r="BG61" s="36">
        <v>0</v>
      </c>
      <c r="BH61" s="36">
        <v>0</v>
      </c>
      <c r="BI61" s="36">
        <v>0</v>
      </c>
      <c r="BJ61" s="36">
        <v>0</v>
      </c>
      <c r="BK61" s="40">
        <v>0</v>
      </c>
      <c r="BL61" s="40">
        <v>0</v>
      </c>
      <c r="BM61" s="40">
        <v>0</v>
      </c>
      <c r="BN61" s="40">
        <v>0</v>
      </c>
      <c r="BO61" s="40">
        <v>0</v>
      </c>
      <c r="BP61" s="40">
        <v>0</v>
      </c>
      <c r="BQ61" s="40">
        <v>0</v>
      </c>
      <c r="BR61" s="40">
        <v>0</v>
      </c>
      <c r="BS61" s="40">
        <v>0</v>
      </c>
      <c r="BT61" s="40">
        <v>0</v>
      </c>
      <c r="BU61" s="40">
        <v>0</v>
      </c>
      <c r="BV61" s="40">
        <v>0</v>
      </c>
      <c r="BW61" s="40">
        <v>0</v>
      </c>
      <c r="BX61" s="40">
        <v>0</v>
      </c>
      <c r="BY61" s="40">
        <v>0</v>
      </c>
      <c r="BZ61" s="40">
        <v>0</v>
      </c>
      <c r="CA61" s="40">
        <v>0</v>
      </c>
      <c r="CB61" s="40">
        <v>0</v>
      </c>
      <c r="CC61" s="40">
        <v>0</v>
      </c>
      <c r="CD61" s="40">
        <v>0</v>
      </c>
      <c r="CE61" s="40">
        <v>0</v>
      </c>
      <c r="CF61" s="40">
        <v>0</v>
      </c>
      <c r="CG61" s="40">
        <v>0</v>
      </c>
      <c r="CH61" s="40">
        <v>0</v>
      </c>
      <c r="CI61" s="40">
        <v>0</v>
      </c>
      <c r="CJ61" s="40">
        <v>0</v>
      </c>
      <c r="CK61" s="40">
        <v>0</v>
      </c>
      <c r="CL61" s="40">
        <v>0</v>
      </c>
      <c r="CM61" s="40">
        <v>0</v>
      </c>
      <c r="CN61" s="40">
        <v>0</v>
      </c>
      <c r="CO61" s="40">
        <v>0</v>
      </c>
      <c r="CP61" s="40">
        <v>0</v>
      </c>
      <c r="CQ61" s="40">
        <v>0</v>
      </c>
      <c r="CR61" s="40">
        <v>0</v>
      </c>
      <c r="CS61" s="40">
        <v>0</v>
      </c>
      <c r="CT61" s="40">
        <v>0</v>
      </c>
      <c r="CU61" s="40">
        <v>0</v>
      </c>
      <c r="CV61" s="40">
        <v>0</v>
      </c>
      <c r="CW61" s="40">
        <v>0</v>
      </c>
      <c r="CX61" s="40">
        <v>0</v>
      </c>
      <c r="CY61" s="40">
        <v>0</v>
      </c>
      <c r="CZ61" s="40">
        <v>0</v>
      </c>
      <c r="DA61" s="40">
        <v>0</v>
      </c>
      <c r="DB61" s="40">
        <v>0</v>
      </c>
      <c r="DC61" s="40">
        <v>0</v>
      </c>
      <c r="DD61" s="40">
        <v>0</v>
      </c>
      <c r="DE61" s="40">
        <v>0</v>
      </c>
      <c r="DF61" s="40">
        <v>0</v>
      </c>
      <c r="DG61" s="40">
        <v>0</v>
      </c>
      <c r="DH61" s="40">
        <v>0</v>
      </c>
      <c r="DI61" s="40">
        <v>0</v>
      </c>
      <c r="DJ61" s="40">
        <v>0</v>
      </c>
      <c r="DK61" s="40">
        <v>0</v>
      </c>
      <c r="DL61" s="40">
        <v>0</v>
      </c>
      <c r="DM61" s="40">
        <v>0</v>
      </c>
      <c r="DN61" s="40">
        <v>0</v>
      </c>
      <c r="DO61" s="40">
        <v>0</v>
      </c>
      <c r="DP61" s="40">
        <v>0</v>
      </c>
      <c r="DQ61" s="40">
        <v>0</v>
      </c>
      <c r="DR61" s="40">
        <v>0</v>
      </c>
      <c r="DS61" s="40">
        <v>0</v>
      </c>
      <c r="DT61" s="40">
        <v>0</v>
      </c>
      <c r="DU61" s="40">
        <v>0</v>
      </c>
      <c r="DV61" s="40">
        <v>0</v>
      </c>
      <c r="DW61" s="40">
        <v>0</v>
      </c>
      <c r="DX61" s="40">
        <v>0</v>
      </c>
      <c r="DY61" s="40">
        <v>0</v>
      </c>
      <c r="DZ61" s="40">
        <v>0</v>
      </c>
      <c r="EA61" s="40">
        <v>0</v>
      </c>
      <c r="EB61" s="40">
        <v>0</v>
      </c>
      <c r="EC61" s="40">
        <v>0</v>
      </c>
      <c r="ED61" s="40">
        <v>0</v>
      </c>
      <c r="EE61" s="40">
        <v>0</v>
      </c>
      <c r="EF61" s="40">
        <v>0</v>
      </c>
      <c r="EG61" s="40">
        <v>0</v>
      </c>
      <c r="EH61" s="40">
        <v>0</v>
      </c>
      <c r="EI61" s="40">
        <v>0</v>
      </c>
      <c r="EJ61" s="40">
        <v>0</v>
      </c>
      <c r="EK61" s="40">
        <v>0</v>
      </c>
      <c r="EL61" s="40">
        <v>0</v>
      </c>
      <c r="EM61" s="40">
        <v>0</v>
      </c>
      <c r="EN61" s="40">
        <v>0</v>
      </c>
      <c r="EO61" s="40">
        <v>0</v>
      </c>
      <c r="EP61" s="40">
        <v>0</v>
      </c>
      <c r="EQ61" s="40">
        <v>0</v>
      </c>
      <c r="ER61" s="40">
        <v>0</v>
      </c>
      <c r="ES61" s="40">
        <v>0</v>
      </c>
      <c r="ET61" s="40">
        <v>0</v>
      </c>
      <c r="EU61" s="40">
        <v>0</v>
      </c>
      <c r="EV61" s="40">
        <v>0</v>
      </c>
      <c r="EW61" s="40">
        <v>0</v>
      </c>
      <c r="EX61" s="40">
        <v>0</v>
      </c>
      <c r="EY61" s="40">
        <v>0</v>
      </c>
      <c r="EZ61" s="40">
        <v>35.220603429302024</v>
      </c>
      <c r="FA61" s="40">
        <v>45.004104381885917</v>
      </c>
      <c r="FB61" s="40">
        <v>0</v>
      </c>
      <c r="FC61" s="40">
        <v>0</v>
      </c>
      <c r="FD61" s="40">
        <v>0</v>
      </c>
      <c r="FE61" s="40">
        <v>0</v>
      </c>
      <c r="FF61" s="40">
        <v>0</v>
      </c>
      <c r="FG61" s="40">
        <v>0</v>
      </c>
      <c r="FH61" s="40">
        <v>46982.539598118958</v>
      </c>
      <c r="FI61" s="40">
        <v>0</v>
      </c>
      <c r="FJ61" s="40">
        <v>0</v>
      </c>
      <c r="FK61" s="40">
        <v>0</v>
      </c>
      <c r="FL61" s="40">
        <v>0</v>
      </c>
      <c r="FM61" s="40">
        <v>0</v>
      </c>
      <c r="FN61" s="40">
        <v>0</v>
      </c>
      <c r="FO61" s="36">
        <v>0</v>
      </c>
      <c r="FP61" s="36">
        <v>0</v>
      </c>
      <c r="FQ61" s="36">
        <v>0</v>
      </c>
      <c r="FR61" s="36">
        <v>0</v>
      </c>
      <c r="FS61" s="36">
        <v>0</v>
      </c>
      <c r="FT61" s="36">
        <v>0</v>
      </c>
      <c r="FU61" s="36">
        <v>0</v>
      </c>
      <c r="FV61" s="36">
        <v>0</v>
      </c>
      <c r="FW61" s="36">
        <v>0</v>
      </c>
      <c r="FX61" s="36">
        <v>0</v>
      </c>
      <c r="FY61" s="36">
        <v>0</v>
      </c>
      <c r="FZ61" s="36">
        <v>0</v>
      </c>
      <c r="GA61" s="36">
        <v>0</v>
      </c>
      <c r="GB61" s="36">
        <v>0</v>
      </c>
      <c r="GC61" s="36">
        <v>0</v>
      </c>
      <c r="GD61" s="36">
        <v>0</v>
      </c>
      <c r="GE61" s="36">
        <v>0</v>
      </c>
      <c r="GF61" s="36">
        <v>0</v>
      </c>
      <c r="GG61" s="36"/>
      <c r="GH61" s="36"/>
      <c r="GI61" s="36"/>
      <c r="GJ61" s="36"/>
      <c r="GK61" s="36"/>
      <c r="GL61" s="36"/>
      <c r="GM61" s="36"/>
      <c r="GN61" s="36"/>
      <c r="GO61" s="36"/>
      <c r="GP61" s="36"/>
      <c r="GQ61" s="36"/>
      <c r="GR61" s="36"/>
      <c r="GS61" s="36"/>
      <c r="GT61" s="36"/>
      <c r="GU61" s="36">
        <v>0</v>
      </c>
      <c r="GV61" s="36">
        <v>0</v>
      </c>
      <c r="GW61" s="36">
        <v>0</v>
      </c>
      <c r="GX61" s="36">
        <v>0</v>
      </c>
      <c r="GY61" s="36">
        <v>0</v>
      </c>
      <c r="GZ61" s="36">
        <v>0</v>
      </c>
      <c r="HA61" s="36">
        <v>0</v>
      </c>
      <c r="HB61" s="36">
        <v>0</v>
      </c>
      <c r="HC61" s="36">
        <f t="shared" si="0"/>
        <v>47062.764305930148</v>
      </c>
      <c r="HD61" s="36">
        <f>SUM(BF$5:BF$213)</f>
        <v>47062.764305930163</v>
      </c>
      <c r="HE61" s="41">
        <v>0</v>
      </c>
    </row>
    <row r="62" spans="1:213" hidden="1" outlineLevel="1" x14ac:dyDescent="0.2">
      <c r="A62" s="9" t="s">
        <v>431</v>
      </c>
      <c r="B62" s="36">
        <v>0</v>
      </c>
      <c r="C62" s="36">
        <v>0</v>
      </c>
      <c r="D62" s="36">
        <v>0</v>
      </c>
      <c r="E62" s="36">
        <v>0</v>
      </c>
      <c r="F62" s="36">
        <v>0</v>
      </c>
      <c r="G62" s="36">
        <v>0</v>
      </c>
      <c r="H62" s="36">
        <v>0</v>
      </c>
      <c r="I62" s="36">
        <v>0</v>
      </c>
      <c r="J62" s="36">
        <v>0</v>
      </c>
      <c r="K62" s="36">
        <v>0</v>
      </c>
      <c r="L62" s="36">
        <v>0</v>
      </c>
      <c r="M62" s="36">
        <v>0</v>
      </c>
      <c r="N62" s="36">
        <v>0</v>
      </c>
      <c r="O62" s="36">
        <v>0</v>
      </c>
      <c r="P62" s="36">
        <v>0</v>
      </c>
      <c r="Q62" s="36">
        <v>0</v>
      </c>
      <c r="R62" s="36">
        <v>0</v>
      </c>
      <c r="S62" s="36">
        <v>0</v>
      </c>
      <c r="T62" s="36">
        <v>0</v>
      </c>
      <c r="U62" s="36">
        <v>0</v>
      </c>
      <c r="V62" s="36">
        <v>0</v>
      </c>
      <c r="W62" s="36">
        <v>0</v>
      </c>
      <c r="X62" s="36">
        <v>0</v>
      </c>
      <c r="Y62" s="36">
        <v>0</v>
      </c>
      <c r="Z62" s="36">
        <v>0</v>
      </c>
      <c r="AA62" s="36">
        <v>0</v>
      </c>
      <c r="AB62" s="36">
        <v>0</v>
      </c>
      <c r="AC62" s="36">
        <v>0</v>
      </c>
      <c r="AD62" s="36">
        <v>0</v>
      </c>
      <c r="AE62" s="36">
        <v>0</v>
      </c>
      <c r="AF62" s="36">
        <v>0</v>
      </c>
      <c r="AG62" s="36">
        <v>0</v>
      </c>
      <c r="AH62" s="36">
        <v>0</v>
      </c>
      <c r="AI62" s="36">
        <v>0</v>
      </c>
      <c r="AJ62" s="36">
        <v>0</v>
      </c>
      <c r="AK62" s="36">
        <v>0</v>
      </c>
      <c r="AL62" s="36">
        <v>0</v>
      </c>
      <c r="AM62" s="36">
        <v>0</v>
      </c>
      <c r="AN62" s="36">
        <v>0</v>
      </c>
      <c r="AO62" s="36">
        <v>0</v>
      </c>
      <c r="AP62" s="36">
        <v>0</v>
      </c>
      <c r="AQ62" s="36">
        <v>0</v>
      </c>
      <c r="AR62" s="36">
        <v>0</v>
      </c>
      <c r="AS62" s="36">
        <v>0</v>
      </c>
      <c r="AT62" s="36">
        <v>0</v>
      </c>
      <c r="AU62" s="36">
        <v>0</v>
      </c>
      <c r="AV62" s="36">
        <v>0</v>
      </c>
      <c r="AW62" s="36">
        <v>0</v>
      </c>
      <c r="AX62" s="36">
        <v>0</v>
      </c>
      <c r="AY62" s="36">
        <v>0</v>
      </c>
      <c r="AZ62" s="36">
        <v>0</v>
      </c>
      <c r="BA62" s="36">
        <v>0</v>
      </c>
      <c r="BB62" s="36">
        <v>0</v>
      </c>
      <c r="BC62" s="36">
        <v>0</v>
      </c>
      <c r="BD62" s="36">
        <v>0</v>
      </c>
      <c r="BE62" s="36">
        <v>0</v>
      </c>
      <c r="BF62" s="36">
        <v>0</v>
      </c>
      <c r="BG62" s="36">
        <v>0</v>
      </c>
      <c r="BH62" s="36">
        <v>0</v>
      </c>
      <c r="BI62" s="36">
        <v>0</v>
      </c>
      <c r="BJ62" s="36">
        <v>0</v>
      </c>
      <c r="BK62" s="40">
        <v>0</v>
      </c>
      <c r="BL62" s="40">
        <v>0</v>
      </c>
      <c r="BM62" s="40">
        <v>0</v>
      </c>
      <c r="BN62" s="40">
        <v>0</v>
      </c>
      <c r="BO62" s="40">
        <v>0</v>
      </c>
      <c r="BP62" s="40">
        <v>0</v>
      </c>
      <c r="BQ62" s="40">
        <v>0</v>
      </c>
      <c r="BR62" s="40">
        <v>0</v>
      </c>
      <c r="BS62" s="40">
        <v>0</v>
      </c>
      <c r="BT62" s="40">
        <v>0</v>
      </c>
      <c r="BU62" s="40">
        <v>0</v>
      </c>
      <c r="BV62" s="40">
        <v>0</v>
      </c>
      <c r="BW62" s="40">
        <v>0</v>
      </c>
      <c r="BX62" s="40">
        <v>0</v>
      </c>
      <c r="BY62" s="40">
        <v>0</v>
      </c>
      <c r="BZ62" s="40">
        <v>0</v>
      </c>
      <c r="CA62" s="40">
        <v>0</v>
      </c>
      <c r="CB62" s="40">
        <v>0</v>
      </c>
      <c r="CC62" s="40">
        <v>0</v>
      </c>
      <c r="CD62" s="40">
        <v>0</v>
      </c>
      <c r="CE62" s="40">
        <v>0</v>
      </c>
      <c r="CF62" s="40">
        <v>0</v>
      </c>
      <c r="CG62" s="40">
        <v>0</v>
      </c>
      <c r="CH62" s="40">
        <v>0</v>
      </c>
      <c r="CI62" s="40">
        <v>0</v>
      </c>
      <c r="CJ62" s="40">
        <v>0</v>
      </c>
      <c r="CK62" s="40">
        <v>0</v>
      </c>
      <c r="CL62" s="40">
        <v>0</v>
      </c>
      <c r="CM62" s="40">
        <v>0</v>
      </c>
      <c r="CN62" s="40">
        <v>0</v>
      </c>
      <c r="CO62" s="40">
        <v>0</v>
      </c>
      <c r="CP62" s="40">
        <v>0</v>
      </c>
      <c r="CQ62" s="40">
        <v>0</v>
      </c>
      <c r="CR62" s="40">
        <v>0</v>
      </c>
      <c r="CS62" s="40">
        <v>0</v>
      </c>
      <c r="CT62" s="40">
        <v>0</v>
      </c>
      <c r="CU62" s="40">
        <v>0</v>
      </c>
      <c r="CV62" s="40">
        <v>0</v>
      </c>
      <c r="CW62" s="40">
        <v>0</v>
      </c>
      <c r="CX62" s="40">
        <v>0</v>
      </c>
      <c r="CY62" s="40">
        <v>0</v>
      </c>
      <c r="CZ62" s="40">
        <v>0</v>
      </c>
      <c r="DA62" s="40">
        <v>0</v>
      </c>
      <c r="DB62" s="40">
        <v>0</v>
      </c>
      <c r="DC62" s="40">
        <v>0</v>
      </c>
      <c r="DD62" s="40">
        <v>0</v>
      </c>
      <c r="DE62" s="40">
        <v>0</v>
      </c>
      <c r="DF62" s="40">
        <v>0</v>
      </c>
      <c r="DG62" s="40">
        <v>0</v>
      </c>
      <c r="DH62" s="40">
        <v>0</v>
      </c>
      <c r="DI62" s="40">
        <v>0</v>
      </c>
      <c r="DJ62" s="40">
        <v>0</v>
      </c>
      <c r="DK62" s="40">
        <v>0</v>
      </c>
      <c r="DL62" s="40">
        <v>0</v>
      </c>
      <c r="DM62" s="40">
        <v>0</v>
      </c>
      <c r="DN62" s="40">
        <v>0</v>
      </c>
      <c r="DO62" s="40">
        <v>0</v>
      </c>
      <c r="DP62" s="40">
        <v>0</v>
      </c>
      <c r="DQ62" s="40">
        <v>0</v>
      </c>
      <c r="DR62" s="40">
        <v>0</v>
      </c>
      <c r="DS62" s="40">
        <v>0</v>
      </c>
      <c r="DT62" s="40">
        <v>0</v>
      </c>
      <c r="DU62" s="40">
        <v>0</v>
      </c>
      <c r="DV62" s="40">
        <v>0</v>
      </c>
      <c r="DW62" s="40">
        <v>0</v>
      </c>
      <c r="DX62" s="40">
        <v>0</v>
      </c>
      <c r="DY62" s="40">
        <v>0</v>
      </c>
      <c r="DZ62" s="40">
        <v>0</v>
      </c>
      <c r="EA62" s="40">
        <v>0</v>
      </c>
      <c r="EB62" s="40">
        <v>0</v>
      </c>
      <c r="EC62" s="40">
        <v>0</v>
      </c>
      <c r="ED62" s="40">
        <v>0</v>
      </c>
      <c r="EE62" s="40">
        <v>0</v>
      </c>
      <c r="EF62" s="40">
        <v>0</v>
      </c>
      <c r="EG62" s="40">
        <v>0</v>
      </c>
      <c r="EH62" s="40">
        <v>0</v>
      </c>
      <c r="EI62" s="40">
        <v>0</v>
      </c>
      <c r="EJ62" s="40">
        <v>0</v>
      </c>
      <c r="EK62" s="40">
        <v>0</v>
      </c>
      <c r="EL62" s="40">
        <v>0</v>
      </c>
      <c r="EM62" s="40">
        <v>0</v>
      </c>
      <c r="EN62" s="40">
        <v>0</v>
      </c>
      <c r="EO62" s="40">
        <v>0</v>
      </c>
      <c r="EP62" s="40">
        <v>0</v>
      </c>
      <c r="EQ62" s="40">
        <v>0</v>
      </c>
      <c r="ER62" s="40">
        <v>0</v>
      </c>
      <c r="ES62" s="40">
        <v>0</v>
      </c>
      <c r="ET62" s="40">
        <v>0</v>
      </c>
      <c r="EU62" s="40">
        <v>0</v>
      </c>
      <c r="EV62" s="40">
        <v>0</v>
      </c>
      <c r="EW62" s="40">
        <v>0</v>
      </c>
      <c r="EX62" s="40">
        <v>0</v>
      </c>
      <c r="EY62" s="40">
        <v>0</v>
      </c>
      <c r="EZ62" s="40">
        <v>169.68955246455999</v>
      </c>
      <c r="FA62" s="40">
        <v>0</v>
      </c>
      <c r="FB62" s="40">
        <v>0</v>
      </c>
      <c r="FC62" s="40">
        <v>0</v>
      </c>
      <c r="FD62" s="40">
        <v>0</v>
      </c>
      <c r="FE62" s="40">
        <v>0</v>
      </c>
      <c r="FF62" s="40">
        <v>0</v>
      </c>
      <c r="FG62" s="40">
        <v>0</v>
      </c>
      <c r="FH62" s="40">
        <v>0</v>
      </c>
      <c r="FI62" s="40">
        <v>0</v>
      </c>
      <c r="FJ62" s="40">
        <v>0</v>
      </c>
      <c r="FK62" s="40">
        <v>18463.567292175198</v>
      </c>
      <c r="FL62" s="40">
        <v>0</v>
      </c>
      <c r="FM62" s="40">
        <v>0</v>
      </c>
      <c r="FN62" s="40">
        <v>0</v>
      </c>
      <c r="FO62" s="36">
        <v>0</v>
      </c>
      <c r="FP62" s="36">
        <v>0</v>
      </c>
      <c r="FQ62" s="36">
        <v>0</v>
      </c>
      <c r="FR62" s="36">
        <v>0</v>
      </c>
      <c r="FS62" s="36">
        <v>0</v>
      </c>
      <c r="FT62" s="36">
        <v>0</v>
      </c>
      <c r="FU62" s="36">
        <v>0</v>
      </c>
      <c r="FV62" s="36">
        <v>0</v>
      </c>
      <c r="FW62" s="36">
        <v>0</v>
      </c>
      <c r="FX62" s="36">
        <v>0</v>
      </c>
      <c r="FY62" s="36">
        <v>0</v>
      </c>
      <c r="FZ62" s="36">
        <v>0</v>
      </c>
      <c r="GA62" s="36">
        <v>0</v>
      </c>
      <c r="GB62" s="36">
        <v>0</v>
      </c>
      <c r="GC62" s="36">
        <v>0</v>
      </c>
      <c r="GD62" s="36">
        <v>0</v>
      </c>
      <c r="GE62" s="36">
        <v>0</v>
      </c>
      <c r="GF62" s="36">
        <v>0</v>
      </c>
      <c r="GG62" s="36"/>
      <c r="GH62" s="36"/>
      <c r="GI62" s="36"/>
      <c r="GJ62" s="36"/>
      <c r="GK62" s="36"/>
      <c r="GL62" s="36"/>
      <c r="GM62" s="36"/>
      <c r="GN62" s="36"/>
      <c r="GO62" s="36"/>
      <c r="GP62" s="36"/>
      <c r="GQ62" s="36"/>
      <c r="GR62" s="36"/>
      <c r="GS62" s="36"/>
      <c r="GT62" s="36"/>
      <c r="GU62" s="36">
        <v>0</v>
      </c>
      <c r="GV62" s="36">
        <v>0</v>
      </c>
      <c r="GW62" s="36">
        <v>0</v>
      </c>
      <c r="GX62" s="36">
        <v>0</v>
      </c>
      <c r="GY62" s="36">
        <v>0</v>
      </c>
      <c r="GZ62" s="36">
        <v>0</v>
      </c>
      <c r="HA62" s="36">
        <v>0</v>
      </c>
      <c r="HB62" s="36">
        <v>0</v>
      </c>
      <c r="HC62" s="36">
        <f t="shared" si="0"/>
        <v>18633.256844639756</v>
      </c>
      <c r="HD62" s="36">
        <f>SUM(BG$5:BG$213)</f>
        <v>18633.256844639767</v>
      </c>
      <c r="HE62" s="41">
        <v>0</v>
      </c>
    </row>
    <row r="63" spans="1:213" collapsed="1" x14ac:dyDescent="0.2">
      <c r="A63" s="9" t="s">
        <v>436</v>
      </c>
      <c r="B63" s="36">
        <v>0</v>
      </c>
      <c r="C63" s="36">
        <v>0</v>
      </c>
      <c r="D63" s="36">
        <v>0</v>
      </c>
      <c r="E63" s="36">
        <v>0</v>
      </c>
      <c r="F63" s="36">
        <v>0</v>
      </c>
      <c r="G63" s="36">
        <v>0</v>
      </c>
      <c r="H63" s="36">
        <v>0</v>
      </c>
      <c r="I63" s="36">
        <v>0</v>
      </c>
      <c r="J63" s="36">
        <v>0</v>
      </c>
      <c r="K63" s="36">
        <v>0</v>
      </c>
      <c r="L63" s="36">
        <v>0</v>
      </c>
      <c r="M63" s="36">
        <v>0</v>
      </c>
      <c r="N63" s="36">
        <v>0</v>
      </c>
      <c r="O63" s="36">
        <v>0</v>
      </c>
      <c r="P63" s="36">
        <v>0</v>
      </c>
      <c r="Q63" s="36">
        <v>0</v>
      </c>
      <c r="R63" s="36">
        <v>0</v>
      </c>
      <c r="S63" s="36">
        <v>0</v>
      </c>
      <c r="T63" s="36">
        <v>0</v>
      </c>
      <c r="U63" s="36">
        <v>0</v>
      </c>
      <c r="V63" s="36">
        <v>0</v>
      </c>
      <c r="W63" s="36">
        <v>0</v>
      </c>
      <c r="X63" s="36">
        <v>0</v>
      </c>
      <c r="Y63" s="36">
        <v>0</v>
      </c>
      <c r="Z63" s="36">
        <v>0</v>
      </c>
      <c r="AA63" s="36">
        <v>0</v>
      </c>
      <c r="AB63" s="36">
        <v>0</v>
      </c>
      <c r="AC63" s="36">
        <v>0</v>
      </c>
      <c r="AD63" s="36">
        <v>0</v>
      </c>
      <c r="AE63" s="36">
        <v>0</v>
      </c>
      <c r="AF63" s="36">
        <v>0</v>
      </c>
      <c r="AG63" s="36">
        <v>0</v>
      </c>
      <c r="AH63" s="36">
        <v>0</v>
      </c>
      <c r="AI63" s="36">
        <v>0</v>
      </c>
      <c r="AJ63" s="36">
        <v>0</v>
      </c>
      <c r="AK63" s="36">
        <v>0</v>
      </c>
      <c r="AL63" s="36">
        <v>0</v>
      </c>
      <c r="AM63" s="36">
        <v>0</v>
      </c>
      <c r="AN63" s="36">
        <v>0</v>
      </c>
      <c r="AO63" s="36">
        <v>0</v>
      </c>
      <c r="AP63" s="36">
        <v>0</v>
      </c>
      <c r="AQ63" s="36">
        <v>0</v>
      </c>
      <c r="AR63" s="36">
        <v>0</v>
      </c>
      <c r="AS63" s="36">
        <v>0</v>
      </c>
      <c r="AT63" s="36">
        <v>0</v>
      </c>
      <c r="AU63" s="36">
        <v>0</v>
      </c>
      <c r="AV63" s="36">
        <v>0</v>
      </c>
      <c r="AW63" s="36">
        <v>0</v>
      </c>
      <c r="AX63" s="36">
        <v>0</v>
      </c>
      <c r="AY63" s="36">
        <v>0</v>
      </c>
      <c r="AZ63" s="36">
        <v>0</v>
      </c>
      <c r="BA63" s="36">
        <v>0</v>
      </c>
      <c r="BB63" s="36">
        <v>0</v>
      </c>
      <c r="BC63" s="36">
        <v>0</v>
      </c>
      <c r="BD63" s="36">
        <v>0</v>
      </c>
      <c r="BE63" s="36">
        <v>0</v>
      </c>
      <c r="BF63" s="36">
        <v>0</v>
      </c>
      <c r="BG63" s="36">
        <v>0</v>
      </c>
      <c r="BH63" s="36">
        <v>0</v>
      </c>
      <c r="BI63" s="36">
        <v>0</v>
      </c>
      <c r="BJ63" s="36">
        <v>0</v>
      </c>
      <c r="BK63" s="40">
        <v>0</v>
      </c>
      <c r="BL63" s="40">
        <v>0</v>
      </c>
      <c r="BM63" s="40">
        <v>0</v>
      </c>
      <c r="BN63" s="40">
        <v>0</v>
      </c>
      <c r="BO63" s="40">
        <v>0</v>
      </c>
      <c r="BP63" s="40">
        <v>0</v>
      </c>
      <c r="BQ63" s="40">
        <v>0</v>
      </c>
      <c r="BR63" s="40">
        <v>0</v>
      </c>
      <c r="BS63" s="40">
        <v>0</v>
      </c>
      <c r="BT63" s="40">
        <v>0</v>
      </c>
      <c r="BU63" s="40">
        <v>0</v>
      </c>
      <c r="BV63" s="40">
        <v>0</v>
      </c>
      <c r="BW63" s="40">
        <v>0</v>
      </c>
      <c r="BX63" s="40">
        <v>0</v>
      </c>
      <c r="BY63" s="40">
        <v>0</v>
      </c>
      <c r="BZ63" s="40">
        <v>0</v>
      </c>
      <c r="CA63" s="40">
        <v>0</v>
      </c>
      <c r="CB63" s="40">
        <v>0</v>
      </c>
      <c r="CC63" s="40">
        <v>0</v>
      </c>
      <c r="CD63" s="40">
        <v>0</v>
      </c>
      <c r="CE63" s="40">
        <v>0</v>
      </c>
      <c r="CF63" s="40">
        <v>0</v>
      </c>
      <c r="CG63" s="40">
        <v>0</v>
      </c>
      <c r="CH63" s="40">
        <v>0</v>
      </c>
      <c r="CI63" s="40">
        <v>0</v>
      </c>
      <c r="CJ63" s="40">
        <v>0</v>
      </c>
      <c r="CK63" s="40">
        <v>0</v>
      </c>
      <c r="CL63" s="40">
        <v>0</v>
      </c>
      <c r="CM63" s="40">
        <v>0</v>
      </c>
      <c r="CN63" s="40">
        <v>0</v>
      </c>
      <c r="CO63" s="40">
        <v>0</v>
      </c>
      <c r="CP63" s="40">
        <v>0</v>
      </c>
      <c r="CQ63" s="40">
        <v>0</v>
      </c>
      <c r="CR63" s="40">
        <v>0</v>
      </c>
      <c r="CS63" s="40">
        <v>0</v>
      </c>
      <c r="CT63" s="40">
        <v>0</v>
      </c>
      <c r="CU63" s="40">
        <v>0</v>
      </c>
      <c r="CV63" s="40">
        <v>0</v>
      </c>
      <c r="CW63" s="40">
        <v>0</v>
      </c>
      <c r="CX63" s="40">
        <v>0</v>
      </c>
      <c r="CY63" s="40">
        <v>0</v>
      </c>
      <c r="CZ63" s="40">
        <v>0</v>
      </c>
      <c r="DA63" s="40">
        <v>0</v>
      </c>
      <c r="DB63" s="40">
        <v>0</v>
      </c>
      <c r="DC63" s="40">
        <v>0</v>
      </c>
      <c r="DD63" s="40">
        <v>0</v>
      </c>
      <c r="DE63" s="40">
        <v>0</v>
      </c>
      <c r="DF63" s="40">
        <v>0</v>
      </c>
      <c r="DG63" s="40">
        <v>0</v>
      </c>
      <c r="DH63" s="40">
        <v>0</v>
      </c>
      <c r="DI63" s="40">
        <v>0</v>
      </c>
      <c r="DJ63" s="40">
        <v>0</v>
      </c>
      <c r="DK63" s="40">
        <v>0</v>
      </c>
      <c r="DL63" s="40">
        <v>0</v>
      </c>
      <c r="DM63" s="40">
        <v>0</v>
      </c>
      <c r="DN63" s="40">
        <v>0</v>
      </c>
      <c r="DO63" s="40">
        <v>0</v>
      </c>
      <c r="DP63" s="40">
        <v>0</v>
      </c>
      <c r="DQ63" s="40">
        <v>0</v>
      </c>
      <c r="DR63" s="40">
        <v>0</v>
      </c>
      <c r="DS63" s="40">
        <v>0</v>
      </c>
      <c r="DT63" s="40">
        <v>0</v>
      </c>
      <c r="DU63" s="40">
        <v>0</v>
      </c>
      <c r="DV63" s="40">
        <v>0</v>
      </c>
      <c r="DW63" s="40">
        <v>0</v>
      </c>
      <c r="DX63" s="40">
        <v>0</v>
      </c>
      <c r="DY63" s="40">
        <v>0</v>
      </c>
      <c r="DZ63" s="40">
        <v>0</v>
      </c>
      <c r="EA63" s="40">
        <v>0</v>
      </c>
      <c r="EB63" s="40">
        <v>0</v>
      </c>
      <c r="EC63" s="40">
        <v>0</v>
      </c>
      <c r="ED63" s="40">
        <v>0</v>
      </c>
      <c r="EE63" s="40">
        <v>0</v>
      </c>
      <c r="EF63" s="40">
        <v>0</v>
      </c>
      <c r="EG63" s="40">
        <v>0</v>
      </c>
      <c r="EH63" s="40">
        <v>0</v>
      </c>
      <c r="EI63" s="40">
        <v>0</v>
      </c>
      <c r="EJ63" s="40">
        <v>0</v>
      </c>
      <c r="EK63" s="40">
        <v>0</v>
      </c>
      <c r="EL63" s="40">
        <v>0</v>
      </c>
      <c r="EM63" s="40">
        <v>1439.5079663745241</v>
      </c>
      <c r="EN63" s="40">
        <v>193.76219102074268</v>
      </c>
      <c r="EO63" s="40">
        <v>0</v>
      </c>
      <c r="EP63" s="40">
        <v>0</v>
      </c>
      <c r="EQ63" s="40">
        <v>0</v>
      </c>
      <c r="ER63" s="40">
        <v>0</v>
      </c>
      <c r="ES63" s="40">
        <v>0</v>
      </c>
      <c r="ET63" s="40">
        <v>0</v>
      </c>
      <c r="EU63" s="40">
        <v>0</v>
      </c>
      <c r="EV63" s="40">
        <v>0</v>
      </c>
      <c r="EW63" s="40">
        <v>0</v>
      </c>
      <c r="EX63" s="40">
        <v>0</v>
      </c>
      <c r="EY63" s="40">
        <v>0</v>
      </c>
      <c r="EZ63" s="40">
        <v>800.75988899138838</v>
      </c>
      <c r="FA63" s="40">
        <v>61.077559286323556</v>
      </c>
      <c r="FB63" s="40">
        <v>0</v>
      </c>
      <c r="FC63" s="40">
        <v>0</v>
      </c>
      <c r="FD63" s="40">
        <v>459.7838678241946</v>
      </c>
      <c r="FE63" s="40">
        <v>0</v>
      </c>
      <c r="FF63" s="40">
        <v>0</v>
      </c>
      <c r="FG63" s="40">
        <v>0</v>
      </c>
      <c r="FH63" s="40">
        <v>0</v>
      </c>
      <c r="FI63" s="40">
        <v>0</v>
      </c>
      <c r="FJ63" s="40">
        <v>0</v>
      </c>
      <c r="FK63" s="40">
        <v>0</v>
      </c>
      <c r="FL63" s="40">
        <v>95441.952066968312</v>
      </c>
      <c r="FM63" s="40">
        <v>0</v>
      </c>
      <c r="FN63" s="40">
        <v>0</v>
      </c>
      <c r="FO63" s="36">
        <v>0</v>
      </c>
      <c r="FP63" s="36">
        <v>0</v>
      </c>
      <c r="FQ63" s="36">
        <v>0</v>
      </c>
      <c r="FR63" s="36">
        <v>0</v>
      </c>
      <c r="FS63" s="36">
        <v>0</v>
      </c>
      <c r="FT63" s="36">
        <v>0</v>
      </c>
      <c r="FU63" s="36">
        <v>0</v>
      </c>
      <c r="FV63" s="36">
        <v>0</v>
      </c>
      <c r="FW63" s="36">
        <v>0</v>
      </c>
      <c r="FX63" s="36">
        <v>0</v>
      </c>
      <c r="FY63" s="36">
        <v>0</v>
      </c>
      <c r="FZ63" s="36">
        <v>0</v>
      </c>
      <c r="GA63" s="36">
        <v>0</v>
      </c>
      <c r="GB63" s="36">
        <v>0</v>
      </c>
      <c r="GC63" s="36">
        <v>0</v>
      </c>
      <c r="GD63" s="36">
        <v>0</v>
      </c>
      <c r="GE63" s="36">
        <v>0</v>
      </c>
      <c r="GF63" s="36">
        <v>0</v>
      </c>
      <c r="GG63" s="36"/>
      <c r="GH63" s="36"/>
      <c r="GI63" s="36"/>
      <c r="GJ63" s="36"/>
      <c r="GK63" s="36"/>
      <c r="GL63" s="36"/>
      <c r="GM63" s="36"/>
      <c r="GN63" s="36"/>
      <c r="GO63" s="36"/>
      <c r="GP63" s="36"/>
      <c r="GQ63" s="36"/>
      <c r="GR63" s="36"/>
      <c r="GS63" s="36"/>
      <c r="GT63" s="36"/>
      <c r="GU63" s="36">
        <v>0</v>
      </c>
      <c r="GV63" s="36">
        <v>0</v>
      </c>
      <c r="GW63" s="36">
        <v>0</v>
      </c>
      <c r="GX63" s="36">
        <v>0</v>
      </c>
      <c r="GY63" s="36">
        <v>0</v>
      </c>
      <c r="GZ63" s="36">
        <v>0</v>
      </c>
      <c r="HA63" s="36">
        <v>0</v>
      </c>
      <c r="HB63" s="36">
        <v>0</v>
      </c>
      <c r="HC63" s="36">
        <f t="shared" si="0"/>
        <v>98396.843540465488</v>
      </c>
      <c r="HD63" s="36">
        <f>SUM(BH$5:BH$213)</f>
        <v>98396.843540465474</v>
      </c>
      <c r="HE63" s="41">
        <v>0</v>
      </c>
    </row>
    <row r="64" spans="1:213" x14ac:dyDescent="0.2">
      <c r="A64" s="9" t="s">
        <v>440</v>
      </c>
      <c r="B64" s="36">
        <v>0</v>
      </c>
      <c r="C64" s="36">
        <v>0</v>
      </c>
      <c r="D64" s="36">
        <v>0</v>
      </c>
      <c r="E64" s="36">
        <v>0</v>
      </c>
      <c r="F64" s="36">
        <v>0</v>
      </c>
      <c r="G64" s="36">
        <v>0</v>
      </c>
      <c r="H64" s="36">
        <v>0</v>
      </c>
      <c r="I64" s="36">
        <v>0</v>
      </c>
      <c r="J64" s="36">
        <v>0</v>
      </c>
      <c r="K64" s="36">
        <v>0</v>
      </c>
      <c r="L64" s="36">
        <v>0</v>
      </c>
      <c r="M64" s="36">
        <v>0</v>
      </c>
      <c r="N64" s="36">
        <v>0</v>
      </c>
      <c r="O64" s="36">
        <v>0</v>
      </c>
      <c r="P64" s="36">
        <v>0</v>
      </c>
      <c r="Q64" s="36">
        <v>0</v>
      </c>
      <c r="R64" s="36">
        <v>0</v>
      </c>
      <c r="S64" s="36">
        <v>0</v>
      </c>
      <c r="T64" s="36">
        <v>0</v>
      </c>
      <c r="U64" s="36">
        <v>0</v>
      </c>
      <c r="V64" s="36">
        <v>0</v>
      </c>
      <c r="W64" s="36">
        <v>0</v>
      </c>
      <c r="X64" s="36">
        <v>0</v>
      </c>
      <c r="Y64" s="36">
        <v>0</v>
      </c>
      <c r="Z64" s="36">
        <v>0</v>
      </c>
      <c r="AA64" s="36">
        <v>0</v>
      </c>
      <c r="AB64" s="36">
        <v>0</v>
      </c>
      <c r="AC64" s="36">
        <v>0</v>
      </c>
      <c r="AD64" s="36">
        <v>0</v>
      </c>
      <c r="AE64" s="36">
        <v>0</v>
      </c>
      <c r="AF64" s="36">
        <v>0</v>
      </c>
      <c r="AG64" s="36">
        <v>0</v>
      </c>
      <c r="AH64" s="36">
        <v>0</v>
      </c>
      <c r="AI64" s="36">
        <v>0</v>
      </c>
      <c r="AJ64" s="36">
        <v>0</v>
      </c>
      <c r="AK64" s="36">
        <v>0</v>
      </c>
      <c r="AL64" s="36">
        <v>0</v>
      </c>
      <c r="AM64" s="36">
        <v>0</v>
      </c>
      <c r="AN64" s="36">
        <v>0</v>
      </c>
      <c r="AO64" s="36">
        <v>0</v>
      </c>
      <c r="AP64" s="36">
        <v>0</v>
      </c>
      <c r="AQ64" s="36">
        <v>0</v>
      </c>
      <c r="AR64" s="36">
        <v>0</v>
      </c>
      <c r="AS64" s="36">
        <v>0</v>
      </c>
      <c r="AT64" s="36">
        <v>0</v>
      </c>
      <c r="AU64" s="36">
        <v>0</v>
      </c>
      <c r="AV64" s="36">
        <v>0</v>
      </c>
      <c r="AW64" s="36">
        <v>0</v>
      </c>
      <c r="AX64" s="36">
        <v>0</v>
      </c>
      <c r="AY64" s="36">
        <v>0</v>
      </c>
      <c r="AZ64" s="36">
        <v>0</v>
      </c>
      <c r="BA64" s="36">
        <v>0</v>
      </c>
      <c r="BB64" s="36">
        <v>0</v>
      </c>
      <c r="BC64" s="36">
        <v>0</v>
      </c>
      <c r="BD64" s="36">
        <v>0</v>
      </c>
      <c r="BE64" s="36">
        <v>0</v>
      </c>
      <c r="BF64" s="36">
        <v>0</v>
      </c>
      <c r="BG64" s="36">
        <v>0</v>
      </c>
      <c r="BH64" s="36">
        <v>0</v>
      </c>
      <c r="BI64" s="36">
        <v>0</v>
      </c>
      <c r="BJ64" s="36">
        <v>0</v>
      </c>
      <c r="BK64" s="40">
        <v>0</v>
      </c>
      <c r="BL64" s="40">
        <v>0</v>
      </c>
      <c r="BM64" s="40">
        <v>0</v>
      </c>
      <c r="BN64" s="40">
        <v>0</v>
      </c>
      <c r="BO64" s="40">
        <v>0</v>
      </c>
      <c r="BP64" s="40">
        <v>0</v>
      </c>
      <c r="BQ64" s="40">
        <v>0</v>
      </c>
      <c r="BR64" s="40">
        <v>0</v>
      </c>
      <c r="BS64" s="40">
        <v>0</v>
      </c>
      <c r="BT64" s="40">
        <v>0</v>
      </c>
      <c r="BU64" s="40">
        <v>0</v>
      </c>
      <c r="BV64" s="40">
        <v>0</v>
      </c>
      <c r="BW64" s="40">
        <v>0</v>
      </c>
      <c r="BX64" s="40">
        <v>0</v>
      </c>
      <c r="BY64" s="40">
        <v>0</v>
      </c>
      <c r="BZ64" s="40">
        <v>0</v>
      </c>
      <c r="CA64" s="40">
        <v>0</v>
      </c>
      <c r="CB64" s="40">
        <v>0</v>
      </c>
      <c r="CC64" s="40">
        <v>0</v>
      </c>
      <c r="CD64" s="40">
        <v>0</v>
      </c>
      <c r="CE64" s="40">
        <v>0</v>
      </c>
      <c r="CF64" s="40">
        <v>0</v>
      </c>
      <c r="CG64" s="40">
        <v>0</v>
      </c>
      <c r="CH64" s="40">
        <v>0</v>
      </c>
      <c r="CI64" s="40">
        <v>0</v>
      </c>
      <c r="CJ64" s="40">
        <v>0</v>
      </c>
      <c r="CK64" s="40">
        <v>0</v>
      </c>
      <c r="CL64" s="40">
        <v>0</v>
      </c>
      <c r="CM64" s="40">
        <v>0</v>
      </c>
      <c r="CN64" s="40">
        <v>0</v>
      </c>
      <c r="CO64" s="40">
        <v>0</v>
      </c>
      <c r="CP64" s="40">
        <v>0</v>
      </c>
      <c r="CQ64" s="40">
        <v>0</v>
      </c>
      <c r="CR64" s="40">
        <v>0</v>
      </c>
      <c r="CS64" s="40">
        <v>0</v>
      </c>
      <c r="CT64" s="40">
        <v>0</v>
      </c>
      <c r="CU64" s="40">
        <v>0</v>
      </c>
      <c r="CV64" s="40">
        <v>0</v>
      </c>
      <c r="CW64" s="40">
        <v>0</v>
      </c>
      <c r="CX64" s="40">
        <v>0</v>
      </c>
      <c r="CY64" s="40">
        <v>0</v>
      </c>
      <c r="CZ64" s="40">
        <v>0</v>
      </c>
      <c r="DA64" s="40">
        <v>0</v>
      </c>
      <c r="DB64" s="40">
        <v>0</v>
      </c>
      <c r="DC64" s="40">
        <v>0</v>
      </c>
      <c r="DD64" s="40">
        <v>0</v>
      </c>
      <c r="DE64" s="40">
        <v>0</v>
      </c>
      <c r="DF64" s="40">
        <v>0</v>
      </c>
      <c r="DG64" s="40">
        <v>0</v>
      </c>
      <c r="DH64" s="40">
        <v>0</v>
      </c>
      <c r="DI64" s="40">
        <v>0</v>
      </c>
      <c r="DJ64" s="40">
        <v>0</v>
      </c>
      <c r="DK64" s="40">
        <v>0</v>
      </c>
      <c r="DL64" s="40">
        <v>0</v>
      </c>
      <c r="DM64" s="40">
        <v>0</v>
      </c>
      <c r="DN64" s="40">
        <v>0</v>
      </c>
      <c r="DO64" s="40">
        <v>0</v>
      </c>
      <c r="DP64" s="40">
        <v>0</v>
      </c>
      <c r="DQ64" s="40">
        <v>0</v>
      </c>
      <c r="DR64" s="40">
        <v>0</v>
      </c>
      <c r="DS64" s="40">
        <v>0</v>
      </c>
      <c r="DT64" s="40">
        <v>0</v>
      </c>
      <c r="DU64" s="40">
        <v>0</v>
      </c>
      <c r="DV64" s="40">
        <v>0</v>
      </c>
      <c r="DW64" s="40">
        <v>0</v>
      </c>
      <c r="DX64" s="40">
        <v>0</v>
      </c>
      <c r="DY64" s="40">
        <v>0</v>
      </c>
      <c r="DZ64" s="40">
        <v>0</v>
      </c>
      <c r="EA64" s="40">
        <v>0</v>
      </c>
      <c r="EB64" s="40">
        <v>0</v>
      </c>
      <c r="EC64" s="40">
        <v>0</v>
      </c>
      <c r="ED64" s="40">
        <v>0</v>
      </c>
      <c r="EE64" s="40">
        <v>0</v>
      </c>
      <c r="EF64" s="40">
        <v>0</v>
      </c>
      <c r="EG64" s="40">
        <v>0</v>
      </c>
      <c r="EH64" s="40">
        <v>0</v>
      </c>
      <c r="EI64" s="40">
        <v>0</v>
      </c>
      <c r="EJ64" s="40">
        <v>0</v>
      </c>
      <c r="EK64" s="40">
        <v>0</v>
      </c>
      <c r="EL64" s="40">
        <v>0</v>
      </c>
      <c r="EM64" s="40">
        <v>0</v>
      </c>
      <c r="EN64" s="40">
        <v>0</v>
      </c>
      <c r="EO64" s="40">
        <v>0</v>
      </c>
      <c r="EP64" s="40">
        <v>0</v>
      </c>
      <c r="EQ64" s="40">
        <v>0</v>
      </c>
      <c r="ER64" s="40">
        <v>0</v>
      </c>
      <c r="ES64" s="40">
        <v>0</v>
      </c>
      <c r="ET64" s="40">
        <v>0</v>
      </c>
      <c r="EU64" s="40">
        <v>0</v>
      </c>
      <c r="EV64" s="40">
        <v>0</v>
      </c>
      <c r="EW64" s="40">
        <v>0</v>
      </c>
      <c r="EX64" s="40">
        <v>0</v>
      </c>
      <c r="EY64" s="40">
        <v>0</v>
      </c>
      <c r="EZ64" s="40">
        <v>13.351351736295399</v>
      </c>
      <c r="FA64" s="40">
        <v>3.3378379340738498</v>
      </c>
      <c r="FB64" s="40">
        <v>0</v>
      </c>
      <c r="FC64" s="40">
        <v>0</v>
      </c>
      <c r="FD64" s="40">
        <v>0</v>
      </c>
      <c r="FE64" s="40">
        <v>0</v>
      </c>
      <c r="FF64" s="40">
        <v>0</v>
      </c>
      <c r="FG64" s="40">
        <v>0</v>
      </c>
      <c r="FH64" s="40">
        <v>0</v>
      </c>
      <c r="FI64" s="40">
        <v>0</v>
      </c>
      <c r="FJ64" s="40">
        <v>0</v>
      </c>
      <c r="FK64" s="40">
        <v>0</v>
      </c>
      <c r="FL64" s="40">
        <v>0</v>
      </c>
      <c r="FM64" s="40">
        <v>8556.5475439983129</v>
      </c>
      <c r="FN64" s="40">
        <v>0</v>
      </c>
      <c r="FO64" s="36">
        <v>0</v>
      </c>
      <c r="FP64" s="36">
        <v>0</v>
      </c>
      <c r="FQ64" s="36">
        <v>0</v>
      </c>
      <c r="FR64" s="36">
        <v>0</v>
      </c>
      <c r="FS64" s="36">
        <v>0</v>
      </c>
      <c r="FT64" s="36">
        <v>0</v>
      </c>
      <c r="FU64" s="36">
        <v>0</v>
      </c>
      <c r="FV64" s="36">
        <v>0</v>
      </c>
      <c r="FW64" s="36">
        <v>0</v>
      </c>
      <c r="FX64" s="36">
        <v>0</v>
      </c>
      <c r="FY64" s="36">
        <v>0</v>
      </c>
      <c r="FZ64" s="36">
        <v>0</v>
      </c>
      <c r="GA64" s="36">
        <v>0</v>
      </c>
      <c r="GB64" s="36">
        <v>0</v>
      </c>
      <c r="GC64" s="36">
        <v>0</v>
      </c>
      <c r="GD64" s="36">
        <v>0</v>
      </c>
      <c r="GE64" s="36">
        <v>0</v>
      </c>
      <c r="GF64" s="36">
        <v>0</v>
      </c>
      <c r="GG64" s="36"/>
      <c r="GH64" s="36"/>
      <c r="GI64" s="36"/>
      <c r="GJ64" s="36"/>
      <c r="GK64" s="36"/>
      <c r="GL64" s="36"/>
      <c r="GM64" s="36"/>
      <c r="GN64" s="36"/>
      <c r="GO64" s="36"/>
      <c r="GP64" s="36"/>
      <c r="GQ64" s="36"/>
      <c r="GR64" s="36"/>
      <c r="GS64" s="36"/>
      <c r="GT64" s="36"/>
      <c r="GU64" s="36">
        <v>0</v>
      </c>
      <c r="GV64" s="36">
        <v>0</v>
      </c>
      <c r="GW64" s="36">
        <v>0</v>
      </c>
      <c r="GX64" s="36">
        <v>0</v>
      </c>
      <c r="GY64" s="36">
        <v>0</v>
      </c>
      <c r="GZ64" s="36">
        <v>0</v>
      </c>
      <c r="HA64" s="36">
        <v>0</v>
      </c>
      <c r="HB64" s="36">
        <v>0</v>
      </c>
      <c r="HC64" s="36">
        <f t="shared" si="0"/>
        <v>8573.2367336686821</v>
      </c>
      <c r="HD64" s="36">
        <f>SUM(BI$5:BI$213)</f>
        <v>8573.2367336686802</v>
      </c>
      <c r="HE64" s="41">
        <v>0</v>
      </c>
    </row>
    <row r="65" spans="1:228" x14ac:dyDescent="0.2">
      <c r="A65" s="9" t="s">
        <v>445</v>
      </c>
      <c r="B65" s="36">
        <v>0</v>
      </c>
      <c r="C65" s="36">
        <v>0</v>
      </c>
      <c r="D65" s="36">
        <v>0</v>
      </c>
      <c r="E65" s="36">
        <v>0</v>
      </c>
      <c r="F65" s="36">
        <v>0</v>
      </c>
      <c r="G65" s="36">
        <v>0</v>
      </c>
      <c r="H65" s="36">
        <v>0</v>
      </c>
      <c r="I65" s="36">
        <v>0</v>
      </c>
      <c r="J65" s="36">
        <v>0</v>
      </c>
      <c r="K65" s="36">
        <v>0</v>
      </c>
      <c r="L65" s="36">
        <v>0</v>
      </c>
      <c r="M65" s="36">
        <v>0</v>
      </c>
      <c r="N65" s="36">
        <v>0</v>
      </c>
      <c r="O65" s="36">
        <v>0</v>
      </c>
      <c r="P65" s="36">
        <v>0</v>
      </c>
      <c r="Q65" s="36">
        <v>0</v>
      </c>
      <c r="R65" s="36">
        <v>0</v>
      </c>
      <c r="S65" s="36">
        <v>0</v>
      </c>
      <c r="T65" s="36">
        <v>0</v>
      </c>
      <c r="U65" s="36">
        <v>0</v>
      </c>
      <c r="V65" s="36">
        <v>0</v>
      </c>
      <c r="W65" s="36">
        <v>0</v>
      </c>
      <c r="X65" s="36">
        <v>0</v>
      </c>
      <c r="Y65" s="36">
        <v>0</v>
      </c>
      <c r="Z65" s="36">
        <v>0</v>
      </c>
      <c r="AA65" s="36">
        <v>0</v>
      </c>
      <c r="AB65" s="36">
        <v>0</v>
      </c>
      <c r="AC65" s="36">
        <v>0</v>
      </c>
      <c r="AD65" s="36">
        <v>0</v>
      </c>
      <c r="AE65" s="36">
        <v>0</v>
      </c>
      <c r="AF65" s="36">
        <v>0</v>
      </c>
      <c r="AG65" s="36">
        <v>0</v>
      </c>
      <c r="AH65" s="36">
        <v>0</v>
      </c>
      <c r="AI65" s="36">
        <v>0</v>
      </c>
      <c r="AJ65" s="36">
        <v>0</v>
      </c>
      <c r="AK65" s="36">
        <v>0</v>
      </c>
      <c r="AL65" s="36">
        <v>0</v>
      </c>
      <c r="AM65" s="36">
        <v>0</v>
      </c>
      <c r="AN65" s="36">
        <v>0</v>
      </c>
      <c r="AO65" s="36">
        <v>0</v>
      </c>
      <c r="AP65" s="36">
        <v>0</v>
      </c>
      <c r="AQ65" s="36">
        <v>0</v>
      </c>
      <c r="AR65" s="36">
        <v>0</v>
      </c>
      <c r="AS65" s="36">
        <v>0</v>
      </c>
      <c r="AT65" s="36">
        <v>0</v>
      </c>
      <c r="AU65" s="36">
        <v>0</v>
      </c>
      <c r="AV65" s="36">
        <v>0</v>
      </c>
      <c r="AW65" s="36">
        <v>0</v>
      </c>
      <c r="AX65" s="36">
        <v>0</v>
      </c>
      <c r="AY65" s="36">
        <v>0</v>
      </c>
      <c r="AZ65" s="36">
        <v>0</v>
      </c>
      <c r="BA65" s="36">
        <v>0</v>
      </c>
      <c r="BB65" s="36">
        <v>0</v>
      </c>
      <c r="BC65" s="36">
        <v>0</v>
      </c>
      <c r="BD65" s="36">
        <v>0</v>
      </c>
      <c r="BE65" s="36">
        <v>0</v>
      </c>
      <c r="BF65" s="36">
        <v>0</v>
      </c>
      <c r="BG65" s="36">
        <v>0</v>
      </c>
      <c r="BH65" s="36">
        <v>0</v>
      </c>
      <c r="BI65" s="36">
        <v>0</v>
      </c>
      <c r="BJ65" s="36">
        <v>0</v>
      </c>
      <c r="BK65" s="40">
        <v>518.97810907585563</v>
      </c>
      <c r="BL65" s="40">
        <v>3972.0921941390166</v>
      </c>
      <c r="BM65" s="40">
        <v>11523.111348268672</v>
      </c>
      <c r="BN65" s="40">
        <v>3588.8027424339598</v>
      </c>
      <c r="BO65" s="40">
        <v>2722.9500787876068</v>
      </c>
      <c r="BP65" s="40">
        <v>0</v>
      </c>
      <c r="BQ65" s="40">
        <v>0</v>
      </c>
      <c r="BR65" s="40">
        <v>2.9699999999999998</v>
      </c>
      <c r="BS65" s="40">
        <v>725.34387567492502</v>
      </c>
      <c r="BT65" s="40">
        <v>1952.0733771258554</v>
      </c>
      <c r="BU65" s="40">
        <v>0</v>
      </c>
      <c r="BV65" s="40">
        <v>0</v>
      </c>
      <c r="BW65" s="40">
        <v>6531.369520724691</v>
      </c>
      <c r="BX65" s="40">
        <v>2237.3383236941754</v>
      </c>
      <c r="BY65" s="40">
        <v>4308.8382011582071</v>
      </c>
      <c r="BZ65" s="40">
        <v>3473.7231683564096</v>
      </c>
      <c r="CA65" s="40">
        <v>903.22725178917733</v>
      </c>
      <c r="CB65" s="40">
        <v>3629.1967116971705</v>
      </c>
      <c r="CC65" s="40">
        <v>2715.6045570186088</v>
      </c>
      <c r="CD65" s="40">
        <v>1246.7497475516186</v>
      </c>
      <c r="CE65" s="40">
        <v>528.6100473585841</v>
      </c>
      <c r="CF65" s="40">
        <v>0</v>
      </c>
      <c r="CG65" s="40">
        <v>0</v>
      </c>
      <c r="CH65" s="40">
        <v>182.51076270282141</v>
      </c>
      <c r="CI65" s="40">
        <v>13742.159603310498</v>
      </c>
      <c r="CJ65" s="40">
        <v>4101.2104243316071</v>
      </c>
      <c r="CK65" s="40">
        <v>6482.4869204562292</v>
      </c>
      <c r="CL65" s="40">
        <v>4202.7900874919615</v>
      </c>
      <c r="CM65" s="40">
        <v>1698.7058760456944</v>
      </c>
      <c r="CN65" s="40">
        <v>9247.1071398356889</v>
      </c>
      <c r="CO65" s="40">
        <v>1279.1737043947771</v>
      </c>
      <c r="CP65" s="40">
        <v>177.68404953229717</v>
      </c>
      <c r="CQ65" s="40">
        <v>19210.491506444912</v>
      </c>
      <c r="CR65" s="40">
        <v>892.86234889979335</v>
      </c>
      <c r="CS65" s="40">
        <v>1562.7462472260177</v>
      </c>
      <c r="CT65" s="40">
        <v>1725.0159808760516</v>
      </c>
      <c r="CU65" s="40">
        <v>1193.4445326919295</v>
      </c>
      <c r="CV65" s="40">
        <v>315.38918791982746</v>
      </c>
      <c r="CW65" s="40">
        <v>0</v>
      </c>
      <c r="CX65" s="40">
        <v>0</v>
      </c>
      <c r="CY65" s="40">
        <v>1277.8444562197708</v>
      </c>
      <c r="CZ65" s="40">
        <v>2697.9762012507849</v>
      </c>
      <c r="DA65" s="40">
        <v>1079.6751241639993</v>
      </c>
      <c r="DB65" s="40">
        <v>1954.5245448552691</v>
      </c>
      <c r="DC65" s="40">
        <v>4.9272157110409198</v>
      </c>
      <c r="DD65" s="40">
        <v>8381.1992682677865</v>
      </c>
      <c r="DE65" s="40">
        <v>5234.3601703775412</v>
      </c>
      <c r="DF65" s="40">
        <v>0</v>
      </c>
      <c r="DG65" s="40">
        <v>1202.3287351685444</v>
      </c>
      <c r="DH65" s="40">
        <v>1454.0478053392985</v>
      </c>
      <c r="DI65" s="40">
        <v>0</v>
      </c>
      <c r="DJ65" s="40">
        <v>0</v>
      </c>
      <c r="DK65" s="40">
        <v>0</v>
      </c>
      <c r="DL65" s="40">
        <v>14285.322164300964</v>
      </c>
      <c r="DM65" s="40">
        <v>444.21012383074293</v>
      </c>
      <c r="DN65" s="40">
        <v>22625.660187713893</v>
      </c>
      <c r="DO65" s="40">
        <v>5227.1944907309626</v>
      </c>
      <c r="DP65" s="40">
        <v>0</v>
      </c>
      <c r="DQ65" s="40">
        <v>0</v>
      </c>
      <c r="DR65" s="40">
        <v>915.53216809078447</v>
      </c>
      <c r="DS65" s="40">
        <v>282.34719446562491</v>
      </c>
      <c r="DT65" s="40">
        <v>2431.8642869367714</v>
      </c>
      <c r="DU65" s="40">
        <v>0</v>
      </c>
      <c r="DV65" s="40">
        <v>0</v>
      </c>
      <c r="DW65" s="40">
        <v>5.5141283371522896</v>
      </c>
      <c r="DX65" s="40">
        <v>0</v>
      </c>
      <c r="DY65" s="40">
        <v>0</v>
      </c>
      <c r="DZ65" s="40">
        <v>0</v>
      </c>
      <c r="EA65" s="40">
        <v>0</v>
      </c>
      <c r="EB65" s="40">
        <v>235.12418089346863</v>
      </c>
      <c r="EC65" s="40">
        <v>0.71925022550261142</v>
      </c>
      <c r="ED65" s="40">
        <v>0</v>
      </c>
      <c r="EE65" s="40">
        <v>2.2173488681217921</v>
      </c>
      <c r="EF65" s="40">
        <v>0</v>
      </c>
      <c r="EG65" s="40">
        <v>0</v>
      </c>
      <c r="EH65" s="40">
        <v>0</v>
      </c>
      <c r="EI65" s="40">
        <v>0</v>
      </c>
      <c r="EJ65" s="40">
        <v>75332.086119034386</v>
      </c>
      <c r="EK65" s="40">
        <v>0</v>
      </c>
      <c r="EL65" s="40">
        <v>59591.508357275081</v>
      </c>
      <c r="EM65" s="40">
        <v>5027.4928439639107</v>
      </c>
      <c r="EN65" s="40">
        <v>65560.848486265502</v>
      </c>
      <c r="EO65" s="40">
        <v>103399.53331985875</v>
      </c>
      <c r="EP65" s="40">
        <v>8734.8592227976696</v>
      </c>
      <c r="EQ65" s="40">
        <v>0</v>
      </c>
      <c r="ER65" s="40">
        <v>0</v>
      </c>
      <c r="ES65" s="40">
        <v>0</v>
      </c>
      <c r="ET65" s="40">
        <v>0</v>
      </c>
      <c r="EU65" s="40">
        <v>0</v>
      </c>
      <c r="EV65" s="40">
        <v>0</v>
      </c>
      <c r="EW65" s="40">
        <v>0</v>
      </c>
      <c r="EX65" s="40">
        <v>0</v>
      </c>
      <c r="EY65" s="40">
        <v>0</v>
      </c>
      <c r="EZ65" s="40">
        <v>0</v>
      </c>
      <c r="FA65" s="40">
        <v>638.43330082175953</v>
      </c>
      <c r="FB65" s="40">
        <v>0</v>
      </c>
      <c r="FC65" s="40">
        <v>0</v>
      </c>
      <c r="FD65" s="40">
        <v>0</v>
      </c>
      <c r="FE65" s="40">
        <v>0</v>
      </c>
      <c r="FF65" s="40">
        <v>30260.929191613217</v>
      </c>
      <c r="FG65" s="40">
        <v>0</v>
      </c>
      <c r="FH65" s="40">
        <v>0</v>
      </c>
      <c r="FI65" s="40">
        <v>14144.995195807249</v>
      </c>
      <c r="FJ65" s="40">
        <v>10336.498798951812</v>
      </c>
      <c r="FK65" s="40">
        <v>9792.0036031445634</v>
      </c>
      <c r="FL65" s="40">
        <v>25905.752650687045</v>
      </c>
      <c r="FM65" s="40">
        <v>60462.450363168806</v>
      </c>
      <c r="FN65" s="40">
        <v>62421.93654970808</v>
      </c>
      <c r="FO65" s="36">
        <v>0</v>
      </c>
      <c r="FP65" s="36">
        <v>0</v>
      </c>
      <c r="FQ65" s="36">
        <v>0</v>
      </c>
      <c r="FR65" s="36">
        <v>0</v>
      </c>
      <c r="FS65" s="36">
        <v>0</v>
      </c>
      <c r="FT65" s="36">
        <v>0</v>
      </c>
      <c r="FU65" s="36">
        <v>0</v>
      </c>
      <c r="FV65" s="36">
        <v>0</v>
      </c>
      <c r="FW65" s="36">
        <v>0</v>
      </c>
      <c r="FX65" s="36">
        <v>0</v>
      </c>
      <c r="FY65" s="36">
        <v>0</v>
      </c>
      <c r="FZ65" s="36">
        <v>0</v>
      </c>
      <c r="GA65" s="36">
        <v>0</v>
      </c>
      <c r="GB65" s="36">
        <v>0</v>
      </c>
      <c r="GC65" s="36">
        <v>0</v>
      </c>
      <c r="GD65" s="36">
        <v>0</v>
      </c>
      <c r="GE65" s="36">
        <v>0</v>
      </c>
      <c r="GF65" s="36">
        <v>0</v>
      </c>
      <c r="GG65" s="36"/>
      <c r="GH65" s="36"/>
      <c r="GI65" s="36"/>
      <c r="GJ65" s="36"/>
      <c r="GK65" s="36"/>
      <c r="GL65" s="36"/>
      <c r="GM65" s="36"/>
      <c r="GN65" s="36"/>
      <c r="GO65" s="36"/>
      <c r="GP65" s="36"/>
      <c r="GQ65" s="36"/>
      <c r="GR65" s="36"/>
      <c r="GS65" s="36"/>
      <c r="GT65" s="36"/>
      <c r="GU65" s="36">
        <v>0</v>
      </c>
      <c r="GV65" s="36">
        <v>0</v>
      </c>
      <c r="GW65" s="36">
        <v>0</v>
      </c>
      <c r="GX65" s="36">
        <v>0</v>
      </c>
      <c r="GY65" s="36">
        <v>0</v>
      </c>
      <c r="GZ65" s="36">
        <v>0</v>
      </c>
      <c r="HA65" s="36">
        <v>0</v>
      </c>
      <c r="HB65" s="36">
        <v>0</v>
      </c>
      <c r="HC65" s="36">
        <f t="shared" si="0"/>
        <v>717946.67467586056</v>
      </c>
      <c r="HD65" s="36">
        <f>SUM(BJ$5:BJ$213)</f>
        <v>717946.67467586044</v>
      </c>
      <c r="HE65" s="41">
        <v>0</v>
      </c>
    </row>
    <row r="66" spans="1:228" x14ac:dyDescent="0.2">
      <c r="A66" s="9" t="s">
        <v>1498</v>
      </c>
      <c r="B66" s="36">
        <v>8381.5092144682258</v>
      </c>
      <c r="C66" s="36">
        <v>4.6457621939229909</v>
      </c>
      <c r="D66" s="36">
        <v>0</v>
      </c>
      <c r="E66" s="36">
        <v>0</v>
      </c>
      <c r="F66" s="36">
        <v>0</v>
      </c>
      <c r="G66" s="36">
        <v>0</v>
      </c>
      <c r="H66" s="36">
        <v>0</v>
      </c>
      <c r="I66" s="36">
        <v>54145.52593361475</v>
      </c>
      <c r="J66" s="36">
        <v>2721.23230634732</v>
      </c>
      <c r="K66" s="36">
        <v>0</v>
      </c>
      <c r="L66" s="36">
        <v>0</v>
      </c>
      <c r="M66" s="36">
        <v>0</v>
      </c>
      <c r="N66" s="36">
        <v>0</v>
      </c>
      <c r="O66" s="36">
        <v>0</v>
      </c>
      <c r="P66" s="36">
        <v>0</v>
      </c>
      <c r="Q66" s="36">
        <v>0</v>
      </c>
      <c r="R66" s="36">
        <v>0</v>
      </c>
      <c r="S66" s="36">
        <v>0</v>
      </c>
      <c r="T66" s="36">
        <v>66.719220683542702</v>
      </c>
      <c r="U66" s="36">
        <v>0</v>
      </c>
      <c r="V66" s="36">
        <v>0</v>
      </c>
      <c r="W66" s="36">
        <v>0</v>
      </c>
      <c r="X66" s="36">
        <v>0</v>
      </c>
      <c r="Y66" s="36">
        <v>0</v>
      </c>
      <c r="Z66" s="36">
        <v>0</v>
      </c>
      <c r="AA66" s="36">
        <v>0</v>
      </c>
      <c r="AB66" s="36">
        <v>0</v>
      </c>
      <c r="AC66" s="36">
        <v>0</v>
      </c>
      <c r="AD66" s="36">
        <v>0</v>
      </c>
      <c r="AE66" s="36">
        <v>0</v>
      </c>
      <c r="AF66" s="36">
        <v>0</v>
      </c>
      <c r="AG66" s="36">
        <v>0</v>
      </c>
      <c r="AH66" s="36">
        <v>0</v>
      </c>
      <c r="AI66" s="36">
        <v>49.683190167205083</v>
      </c>
      <c r="AJ66" s="36">
        <v>57.446090870558351</v>
      </c>
      <c r="AK66" s="36">
        <v>0</v>
      </c>
      <c r="AL66" s="36">
        <v>0</v>
      </c>
      <c r="AM66" s="36">
        <v>0</v>
      </c>
      <c r="AN66" s="36">
        <v>0</v>
      </c>
      <c r="AO66" s="36">
        <v>0</v>
      </c>
      <c r="AP66" s="36">
        <v>0</v>
      </c>
      <c r="AQ66" s="36">
        <v>0</v>
      </c>
      <c r="AR66" s="36">
        <v>0</v>
      </c>
      <c r="AS66" s="36">
        <v>0</v>
      </c>
      <c r="AT66" s="36">
        <v>0</v>
      </c>
      <c r="AU66" s="36">
        <v>0</v>
      </c>
      <c r="AV66" s="36">
        <v>0</v>
      </c>
      <c r="AW66" s="36">
        <v>0</v>
      </c>
      <c r="AX66" s="36">
        <v>0</v>
      </c>
      <c r="AY66" s="36">
        <v>0</v>
      </c>
      <c r="AZ66" s="36">
        <v>0</v>
      </c>
      <c r="BA66" s="36">
        <v>0</v>
      </c>
      <c r="BB66" s="36">
        <v>0</v>
      </c>
      <c r="BC66" s="36">
        <v>137.3593347342275</v>
      </c>
      <c r="BD66" s="36">
        <v>0</v>
      </c>
      <c r="BE66" s="36">
        <v>0.43500220059641503</v>
      </c>
      <c r="BF66" s="36">
        <v>0</v>
      </c>
      <c r="BG66" s="36">
        <v>0</v>
      </c>
      <c r="BH66" s="36">
        <v>0</v>
      </c>
      <c r="BI66" s="36">
        <v>83.013048593666809</v>
      </c>
      <c r="BJ66" s="36">
        <v>3854.0204175356166</v>
      </c>
      <c r="BK66" s="36">
        <v>0</v>
      </c>
      <c r="BL66" s="36">
        <v>0</v>
      </c>
      <c r="BM66" s="36">
        <v>0</v>
      </c>
      <c r="BN66" s="36">
        <v>0</v>
      </c>
      <c r="BO66" s="36">
        <v>0</v>
      </c>
      <c r="BP66" s="36">
        <v>0</v>
      </c>
      <c r="BQ66" s="36">
        <v>0</v>
      </c>
      <c r="BR66" s="36">
        <v>0</v>
      </c>
      <c r="BS66" s="36">
        <v>0</v>
      </c>
      <c r="BT66" s="36">
        <v>0</v>
      </c>
      <c r="BU66" s="36">
        <v>0</v>
      </c>
      <c r="BV66" s="36">
        <v>0</v>
      </c>
      <c r="BW66" s="36">
        <v>0</v>
      </c>
      <c r="BX66" s="36">
        <v>0</v>
      </c>
      <c r="BY66" s="36">
        <v>0</v>
      </c>
      <c r="BZ66" s="36">
        <v>0</v>
      </c>
      <c r="CA66" s="36">
        <v>0</v>
      </c>
      <c r="CB66" s="36">
        <v>0</v>
      </c>
      <c r="CC66" s="36">
        <v>0</v>
      </c>
      <c r="CD66" s="36">
        <v>0</v>
      </c>
      <c r="CE66" s="36">
        <v>0</v>
      </c>
      <c r="CF66" s="36">
        <v>0</v>
      </c>
      <c r="CG66" s="36">
        <v>0</v>
      </c>
      <c r="CH66" s="36">
        <v>0</v>
      </c>
      <c r="CI66" s="36">
        <v>0</v>
      </c>
      <c r="CJ66" s="36">
        <v>0</v>
      </c>
      <c r="CK66" s="36">
        <v>0</v>
      </c>
      <c r="CL66" s="36">
        <v>0</v>
      </c>
      <c r="CM66" s="36">
        <v>0</v>
      </c>
      <c r="CN66" s="36">
        <v>0</v>
      </c>
      <c r="CO66" s="36">
        <v>0</v>
      </c>
      <c r="CP66" s="36">
        <v>0</v>
      </c>
      <c r="CQ66" s="36">
        <v>0</v>
      </c>
      <c r="CR66" s="36">
        <v>0</v>
      </c>
      <c r="CS66" s="36">
        <v>0</v>
      </c>
      <c r="CT66" s="36">
        <v>0</v>
      </c>
      <c r="CU66" s="36">
        <v>0</v>
      </c>
      <c r="CV66" s="36">
        <v>0</v>
      </c>
      <c r="CW66" s="36">
        <v>0</v>
      </c>
      <c r="CX66" s="36">
        <v>0</v>
      </c>
      <c r="CY66" s="36">
        <v>0</v>
      </c>
      <c r="CZ66" s="36">
        <v>0</v>
      </c>
      <c r="DA66" s="36">
        <v>0</v>
      </c>
      <c r="DB66" s="36">
        <v>0</v>
      </c>
      <c r="DC66" s="36">
        <v>0</v>
      </c>
      <c r="DD66" s="36">
        <v>0</v>
      </c>
      <c r="DE66" s="36">
        <v>0</v>
      </c>
      <c r="DF66" s="36">
        <v>0</v>
      </c>
      <c r="DG66" s="36">
        <v>0</v>
      </c>
      <c r="DH66" s="36">
        <v>0</v>
      </c>
      <c r="DI66" s="36">
        <v>0</v>
      </c>
      <c r="DJ66" s="36">
        <v>0</v>
      </c>
      <c r="DK66" s="36">
        <v>0</v>
      </c>
      <c r="DL66" s="36">
        <v>0</v>
      </c>
      <c r="DM66" s="36">
        <v>0</v>
      </c>
      <c r="DN66" s="36">
        <v>0</v>
      </c>
      <c r="DO66" s="36">
        <v>0</v>
      </c>
      <c r="DP66" s="36">
        <v>0</v>
      </c>
      <c r="DQ66" s="36">
        <v>0</v>
      </c>
      <c r="DR66" s="36">
        <v>0</v>
      </c>
      <c r="DS66" s="36">
        <v>0</v>
      </c>
      <c r="DT66" s="36">
        <v>0</v>
      </c>
      <c r="DU66" s="36">
        <v>0</v>
      </c>
      <c r="DV66" s="36">
        <v>0</v>
      </c>
      <c r="DW66" s="36">
        <v>0</v>
      </c>
      <c r="DX66" s="36">
        <v>0</v>
      </c>
      <c r="DY66" s="36">
        <v>0</v>
      </c>
      <c r="DZ66" s="36">
        <v>0</v>
      </c>
      <c r="EA66" s="36">
        <v>0</v>
      </c>
      <c r="EB66" s="36">
        <v>0</v>
      </c>
      <c r="EC66" s="36">
        <v>0</v>
      </c>
      <c r="ED66" s="36">
        <v>0</v>
      </c>
      <c r="EE66" s="36">
        <v>0</v>
      </c>
      <c r="EF66" s="36">
        <v>0</v>
      </c>
      <c r="EG66" s="36">
        <v>0</v>
      </c>
      <c r="EH66" s="36">
        <v>0</v>
      </c>
      <c r="EI66" s="36">
        <v>0</v>
      </c>
      <c r="EJ66" s="36">
        <v>0</v>
      </c>
      <c r="EK66" s="36">
        <v>0</v>
      </c>
      <c r="EL66" s="36">
        <v>0</v>
      </c>
      <c r="EM66" s="36">
        <v>0</v>
      </c>
      <c r="EN66" s="36">
        <v>0</v>
      </c>
      <c r="EO66" s="36">
        <v>0</v>
      </c>
      <c r="EP66" s="36">
        <v>0</v>
      </c>
      <c r="EQ66" s="36">
        <v>0</v>
      </c>
      <c r="ER66" s="36">
        <v>0</v>
      </c>
      <c r="ES66" s="36">
        <v>0</v>
      </c>
      <c r="ET66" s="36">
        <v>0</v>
      </c>
      <c r="EU66" s="36">
        <v>0</v>
      </c>
      <c r="EV66" s="36">
        <v>0</v>
      </c>
      <c r="EW66" s="36">
        <v>0</v>
      </c>
      <c r="EX66" s="36">
        <v>0</v>
      </c>
      <c r="EY66" s="36">
        <v>0</v>
      </c>
      <c r="EZ66" s="36">
        <v>0</v>
      </c>
      <c r="FA66" s="36">
        <v>0</v>
      </c>
      <c r="FB66" s="36">
        <v>0</v>
      </c>
      <c r="FC66" s="36">
        <v>0</v>
      </c>
      <c r="FD66" s="36">
        <v>0</v>
      </c>
      <c r="FE66" s="36">
        <v>0</v>
      </c>
      <c r="FF66" s="36">
        <v>0</v>
      </c>
      <c r="FG66" s="36">
        <v>0</v>
      </c>
      <c r="FH66" s="36">
        <v>0</v>
      </c>
      <c r="FI66" s="36">
        <v>0</v>
      </c>
      <c r="FJ66" s="36">
        <v>0</v>
      </c>
      <c r="FK66" s="36">
        <v>0</v>
      </c>
      <c r="FL66" s="36">
        <v>0</v>
      </c>
      <c r="FM66" s="36">
        <v>0</v>
      </c>
      <c r="FN66" s="36">
        <v>0</v>
      </c>
      <c r="FO66" s="36">
        <v>0</v>
      </c>
      <c r="FP66" s="36">
        <v>0</v>
      </c>
      <c r="FQ66" s="36">
        <v>0</v>
      </c>
      <c r="FR66" s="36">
        <v>0</v>
      </c>
      <c r="FS66" s="36">
        <v>0</v>
      </c>
      <c r="FT66" s="36">
        <v>0</v>
      </c>
      <c r="FU66" s="36">
        <v>0</v>
      </c>
      <c r="FV66" s="36">
        <v>0</v>
      </c>
      <c r="FW66" s="36">
        <v>0</v>
      </c>
      <c r="FX66" s="36">
        <v>0</v>
      </c>
      <c r="FY66" s="36">
        <v>0</v>
      </c>
      <c r="FZ66" s="36">
        <v>0</v>
      </c>
      <c r="GA66" s="36">
        <v>0</v>
      </c>
      <c r="GB66" s="36">
        <v>0</v>
      </c>
      <c r="GC66" s="36">
        <v>0</v>
      </c>
      <c r="GD66" s="36">
        <v>0</v>
      </c>
      <c r="GE66" s="36">
        <v>0</v>
      </c>
      <c r="GF66" s="36">
        <v>0</v>
      </c>
      <c r="GG66" s="42">
        <v>292.50010743169901</v>
      </c>
      <c r="GH66" s="42">
        <v>341.18907761767571</v>
      </c>
      <c r="GI66" s="42">
        <v>300.05216795125045</v>
      </c>
      <c r="GJ66" s="42">
        <v>283.88321596722568</v>
      </c>
      <c r="GK66" s="42">
        <v>274.44413932894633</v>
      </c>
      <c r="GL66" s="42">
        <v>254.76463019478354</v>
      </c>
      <c r="GM66" s="42">
        <v>247.30776465008273</v>
      </c>
      <c r="GN66" s="42">
        <v>268.83190217807055</v>
      </c>
      <c r="GO66" s="42">
        <v>259.26507956548073</v>
      </c>
      <c r="GP66" s="42">
        <v>72.206479290882612</v>
      </c>
      <c r="GQ66" s="42">
        <v>64.249402513290775</v>
      </c>
      <c r="GR66" s="42">
        <v>90.837913664839164</v>
      </c>
      <c r="GS66" s="42">
        <v>119.94582042564154</v>
      </c>
      <c r="GT66" s="42">
        <v>0</v>
      </c>
      <c r="GU66" s="36">
        <v>0</v>
      </c>
      <c r="GV66" s="36">
        <v>0</v>
      </c>
      <c r="GW66" s="36">
        <v>0</v>
      </c>
      <c r="GX66" s="36">
        <v>0</v>
      </c>
      <c r="GY66" s="36">
        <v>0</v>
      </c>
      <c r="GZ66" s="36">
        <v>0</v>
      </c>
      <c r="HA66" s="38">
        <v>1952.9820685462182</v>
      </c>
      <c r="HB66" s="36">
        <v>1355.7042183671442</v>
      </c>
      <c r="HC66" s="36">
        <f t="shared" si="0"/>
        <v>75679.753509102869</v>
      </c>
      <c r="HD66" s="36">
        <f>SUM(BK$5:BK$213)</f>
        <v>75679.753509102869</v>
      </c>
      <c r="HE66" s="41">
        <v>0</v>
      </c>
      <c r="HG66" s="43"/>
      <c r="HH66" s="43"/>
      <c r="HI66" s="43"/>
      <c r="HJ66" s="43"/>
      <c r="HK66" s="43"/>
      <c r="HL66" s="43"/>
      <c r="HM66" s="43"/>
      <c r="HN66" s="43"/>
      <c r="HO66" s="43"/>
      <c r="HP66" s="43"/>
      <c r="HQ66" s="43"/>
      <c r="HR66" s="43"/>
      <c r="HS66" s="43"/>
      <c r="HT66" s="43"/>
    </row>
    <row r="67" spans="1:228" x14ac:dyDescent="0.2">
      <c r="A67" s="9" t="s">
        <v>1499</v>
      </c>
      <c r="B67" s="36">
        <v>3657.489314659354</v>
      </c>
      <c r="C67" s="36">
        <v>0</v>
      </c>
      <c r="D67" s="36">
        <v>0</v>
      </c>
      <c r="E67" s="36">
        <v>0</v>
      </c>
      <c r="F67" s="36">
        <v>0</v>
      </c>
      <c r="G67" s="36">
        <v>0</v>
      </c>
      <c r="H67" s="36">
        <v>0</v>
      </c>
      <c r="I67" s="36">
        <v>13138.595852029497</v>
      </c>
      <c r="J67" s="36">
        <v>3875.51751665641</v>
      </c>
      <c r="K67" s="36">
        <v>189.43261371888232</v>
      </c>
      <c r="L67" s="36">
        <v>10.934601999145325</v>
      </c>
      <c r="M67" s="36">
        <v>0.56165517242689522</v>
      </c>
      <c r="N67" s="36">
        <v>0</v>
      </c>
      <c r="O67" s="36">
        <v>0</v>
      </c>
      <c r="P67" s="36">
        <v>0.60006312271265572</v>
      </c>
      <c r="Q67" s="36">
        <v>0</v>
      </c>
      <c r="R67" s="36">
        <v>0</v>
      </c>
      <c r="S67" s="36">
        <v>67.061313495178581</v>
      </c>
      <c r="T67" s="36">
        <v>85.078380781337941</v>
      </c>
      <c r="U67" s="36">
        <v>0</v>
      </c>
      <c r="V67" s="36">
        <v>10.965420450470663</v>
      </c>
      <c r="W67" s="36">
        <v>0</v>
      </c>
      <c r="X67" s="36">
        <v>0</v>
      </c>
      <c r="Y67" s="36">
        <v>0</v>
      </c>
      <c r="Z67" s="36">
        <v>0</v>
      </c>
      <c r="AA67" s="36">
        <v>0</v>
      </c>
      <c r="AB67" s="36">
        <v>0</v>
      </c>
      <c r="AC67" s="36">
        <v>0</v>
      </c>
      <c r="AD67" s="36">
        <v>0</v>
      </c>
      <c r="AE67" s="36">
        <v>0</v>
      </c>
      <c r="AF67" s="36">
        <v>0</v>
      </c>
      <c r="AG67" s="36">
        <v>1.2937660208430588</v>
      </c>
      <c r="AH67" s="36">
        <v>0</v>
      </c>
      <c r="AI67" s="36">
        <v>1.3700215119793584</v>
      </c>
      <c r="AJ67" s="36">
        <v>1.5692393705375696</v>
      </c>
      <c r="AK67" s="36">
        <v>0</v>
      </c>
      <c r="AL67" s="36">
        <v>0</v>
      </c>
      <c r="AM67" s="36">
        <v>0</v>
      </c>
      <c r="AN67" s="36">
        <v>0</v>
      </c>
      <c r="AO67" s="36">
        <v>128.86713180978865</v>
      </c>
      <c r="AP67" s="36">
        <v>0</v>
      </c>
      <c r="AQ67" s="36">
        <v>0</v>
      </c>
      <c r="AR67" s="36">
        <v>0</v>
      </c>
      <c r="AS67" s="36">
        <v>0</v>
      </c>
      <c r="AT67" s="36">
        <v>0</v>
      </c>
      <c r="AU67" s="36">
        <v>0</v>
      </c>
      <c r="AV67" s="36">
        <v>0</v>
      </c>
      <c r="AW67" s="36">
        <v>0</v>
      </c>
      <c r="AX67" s="36">
        <v>0</v>
      </c>
      <c r="AY67" s="36">
        <v>0</v>
      </c>
      <c r="AZ67" s="36">
        <v>0</v>
      </c>
      <c r="BA67" s="36">
        <v>0</v>
      </c>
      <c r="BB67" s="36">
        <v>0</v>
      </c>
      <c r="BC67" s="36">
        <v>89.532342587794915</v>
      </c>
      <c r="BD67" s="36">
        <v>0</v>
      </c>
      <c r="BE67" s="36">
        <v>90.522059732588588</v>
      </c>
      <c r="BF67" s="36">
        <v>0</v>
      </c>
      <c r="BG67" s="36">
        <v>13.509964764843868</v>
      </c>
      <c r="BH67" s="36">
        <v>284.06585346170493</v>
      </c>
      <c r="BI67" s="36">
        <v>0</v>
      </c>
      <c r="BJ67" s="36">
        <v>401.09256585172272</v>
      </c>
      <c r="BK67" s="36">
        <v>0</v>
      </c>
      <c r="BL67" s="36">
        <v>0</v>
      </c>
      <c r="BM67" s="36">
        <v>0</v>
      </c>
      <c r="BN67" s="36">
        <v>0</v>
      </c>
      <c r="BO67" s="36">
        <v>0</v>
      </c>
      <c r="BP67" s="36">
        <v>0</v>
      </c>
      <c r="BQ67" s="36">
        <v>0</v>
      </c>
      <c r="BR67" s="36">
        <v>0</v>
      </c>
      <c r="BS67" s="36">
        <v>0</v>
      </c>
      <c r="BT67" s="36">
        <v>0</v>
      </c>
      <c r="BU67" s="36">
        <v>0</v>
      </c>
      <c r="BV67" s="36">
        <v>0</v>
      </c>
      <c r="BW67" s="36">
        <v>0</v>
      </c>
      <c r="BX67" s="36">
        <v>0</v>
      </c>
      <c r="BY67" s="36">
        <v>0</v>
      </c>
      <c r="BZ67" s="36">
        <v>0</v>
      </c>
      <c r="CA67" s="36">
        <v>0</v>
      </c>
      <c r="CB67" s="36">
        <v>0</v>
      </c>
      <c r="CC67" s="36">
        <v>0</v>
      </c>
      <c r="CD67" s="36">
        <v>0</v>
      </c>
      <c r="CE67" s="36">
        <v>0</v>
      </c>
      <c r="CF67" s="36">
        <v>0</v>
      </c>
      <c r="CG67" s="36">
        <v>0</v>
      </c>
      <c r="CH67" s="36">
        <v>0</v>
      </c>
      <c r="CI67" s="36">
        <v>0</v>
      </c>
      <c r="CJ67" s="36">
        <v>0</v>
      </c>
      <c r="CK67" s="36">
        <v>0</v>
      </c>
      <c r="CL67" s="36">
        <v>0</v>
      </c>
      <c r="CM67" s="36">
        <v>0</v>
      </c>
      <c r="CN67" s="36">
        <v>0</v>
      </c>
      <c r="CO67" s="36">
        <v>0</v>
      </c>
      <c r="CP67" s="36">
        <v>0</v>
      </c>
      <c r="CQ67" s="36">
        <v>0</v>
      </c>
      <c r="CR67" s="36">
        <v>0</v>
      </c>
      <c r="CS67" s="36">
        <v>0</v>
      </c>
      <c r="CT67" s="36">
        <v>0</v>
      </c>
      <c r="CU67" s="36">
        <v>0</v>
      </c>
      <c r="CV67" s="36">
        <v>0</v>
      </c>
      <c r="CW67" s="36">
        <v>0</v>
      </c>
      <c r="CX67" s="36">
        <v>0</v>
      </c>
      <c r="CY67" s="36">
        <v>0</v>
      </c>
      <c r="CZ67" s="36">
        <v>0</v>
      </c>
      <c r="DA67" s="36">
        <v>0</v>
      </c>
      <c r="DB67" s="36">
        <v>0</v>
      </c>
      <c r="DC67" s="36">
        <v>0</v>
      </c>
      <c r="DD67" s="36">
        <v>0</v>
      </c>
      <c r="DE67" s="36">
        <v>0</v>
      </c>
      <c r="DF67" s="36">
        <v>0</v>
      </c>
      <c r="DG67" s="36">
        <v>0</v>
      </c>
      <c r="DH67" s="36">
        <v>0</v>
      </c>
      <c r="DI67" s="36">
        <v>0</v>
      </c>
      <c r="DJ67" s="36">
        <v>0</v>
      </c>
      <c r="DK67" s="36">
        <v>0</v>
      </c>
      <c r="DL67" s="36">
        <v>0</v>
      </c>
      <c r="DM67" s="36">
        <v>0</v>
      </c>
      <c r="DN67" s="36">
        <v>0</v>
      </c>
      <c r="DO67" s="36">
        <v>0</v>
      </c>
      <c r="DP67" s="36">
        <v>0</v>
      </c>
      <c r="DQ67" s="36">
        <v>0</v>
      </c>
      <c r="DR67" s="36">
        <v>0</v>
      </c>
      <c r="DS67" s="36">
        <v>0</v>
      </c>
      <c r="DT67" s="36">
        <v>0</v>
      </c>
      <c r="DU67" s="36">
        <v>0</v>
      </c>
      <c r="DV67" s="36">
        <v>0</v>
      </c>
      <c r="DW67" s="36">
        <v>0</v>
      </c>
      <c r="DX67" s="36">
        <v>0</v>
      </c>
      <c r="DY67" s="36">
        <v>0</v>
      </c>
      <c r="DZ67" s="36">
        <v>0</v>
      </c>
      <c r="EA67" s="36">
        <v>0</v>
      </c>
      <c r="EB67" s="36">
        <v>0</v>
      </c>
      <c r="EC67" s="36">
        <v>0</v>
      </c>
      <c r="ED67" s="36">
        <v>0</v>
      </c>
      <c r="EE67" s="36">
        <v>0</v>
      </c>
      <c r="EF67" s="36">
        <v>0</v>
      </c>
      <c r="EG67" s="36">
        <v>0</v>
      </c>
      <c r="EH67" s="36">
        <v>0</v>
      </c>
      <c r="EI67" s="36">
        <v>0</v>
      </c>
      <c r="EJ67" s="36">
        <v>0</v>
      </c>
      <c r="EK67" s="36">
        <v>0</v>
      </c>
      <c r="EL67" s="36">
        <v>0</v>
      </c>
      <c r="EM67" s="36">
        <v>0</v>
      </c>
      <c r="EN67" s="36">
        <v>0</v>
      </c>
      <c r="EO67" s="36">
        <v>0</v>
      </c>
      <c r="EP67" s="36">
        <v>0</v>
      </c>
      <c r="EQ67" s="36">
        <v>0</v>
      </c>
      <c r="ER67" s="36">
        <v>0</v>
      </c>
      <c r="ES67" s="36">
        <v>0</v>
      </c>
      <c r="ET67" s="36">
        <v>0</v>
      </c>
      <c r="EU67" s="36">
        <v>0</v>
      </c>
      <c r="EV67" s="36">
        <v>0</v>
      </c>
      <c r="EW67" s="36">
        <v>0</v>
      </c>
      <c r="EX67" s="36">
        <v>0</v>
      </c>
      <c r="EY67" s="36">
        <v>0</v>
      </c>
      <c r="EZ67" s="36">
        <v>0</v>
      </c>
      <c r="FA67" s="36">
        <v>0</v>
      </c>
      <c r="FB67" s="36">
        <v>0</v>
      </c>
      <c r="FC67" s="36">
        <v>0</v>
      </c>
      <c r="FD67" s="36">
        <v>0</v>
      </c>
      <c r="FE67" s="36">
        <v>0</v>
      </c>
      <c r="FF67" s="36">
        <v>0</v>
      </c>
      <c r="FG67" s="36">
        <v>0</v>
      </c>
      <c r="FH67" s="36">
        <v>0</v>
      </c>
      <c r="FI67" s="36">
        <v>0</v>
      </c>
      <c r="FJ67" s="36">
        <v>0</v>
      </c>
      <c r="FK67" s="36">
        <v>0</v>
      </c>
      <c r="FL67" s="36">
        <v>0</v>
      </c>
      <c r="FM67" s="36">
        <v>0</v>
      </c>
      <c r="FN67" s="36">
        <v>0</v>
      </c>
      <c r="FO67" s="36">
        <v>0</v>
      </c>
      <c r="FP67" s="36">
        <v>0</v>
      </c>
      <c r="FQ67" s="36">
        <v>0</v>
      </c>
      <c r="FR67" s="36">
        <v>0</v>
      </c>
      <c r="FS67" s="36">
        <v>0</v>
      </c>
      <c r="FT67" s="36">
        <v>0</v>
      </c>
      <c r="FU67" s="36">
        <v>0</v>
      </c>
      <c r="FV67" s="36">
        <v>0</v>
      </c>
      <c r="FW67" s="36">
        <v>0</v>
      </c>
      <c r="FX67" s="36">
        <v>0</v>
      </c>
      <c r="FY67" s="36">
        <v>0</v>
      </c>
      <c r="FZ67" s="36">
        <v>0</v>
      </c>
      <c r="GA67" s="36">
        <v>0</v>
      </c>
      <c r="GB67" s="36">
        <v>0</v>
      </c>
      <c r="GC67" s="36">
        <v>0</v>
      </c>
      <c r="GD67" s="36">
        <v>0</v>
      </c>
      <c r="GE67" s="36">
        <v>0</v>
      </c>
      <c r="GF67" s="36">
        <v>0</v>
      </c>
      <c r="GG67" s="42">
        <v>4038.6142982647602</v>
      </c>
      <c r="GH67" s="42">
        <v>4710.8737818165337</v>
      </c>
      <c r="GI67" s="42">
        <v>4142.887284225093</v>
      </c>
      <c r="GJ67" s="42">
        <v>3919.6389536723023</v>
      </c>
      <c r="GK67" s="42">
        <v>3789.3115147920498</v>
      </c>
      <c r="GL67" s="42">
        <v>3517.5921377637164</v>
      </c>
      <c r="GM67" s="42">
        <v>3414.6335300780811</v>
      </c>
      <c r="GN67" s="42">
        <v>3711.8221032434672</v>
      </c>
      <c r="GO67" s="42">
        <v>3579.7308471703741</v>
      </c>
      <c r="GP67" s="42">
        <v>996.97098319736847</v>
      </c>
      <c r="GQ67" s="42">
        <v>887.10584732258314</v>
      </c>
      <c r="GR67" s="42">
        <v>1254.2193579775819</v>
      </c>
      <c r="GS67" s="42">
        <v>1656.1187263878453</v>
      </c>
      <c r="GT67" s="42">
        <v>0</v>
      </c>
      <c r="GU67" s="36">
        <v>0</v>
      </c>
      <c r="GV67" s="36">
        <v>0</v>
      </c>
      <c r="GW67" s="36">
        <v>0</v>
      </c>
      <c r="GX67" s="36">
        <v>0</v>
      </c>
      <c r="GY67" s="36">
        <v>0</v>
      </c>
      <c r="GZ67" s="36">
        <v>1521.0383647976823</v>
      </c>
      <c r="HA67" s="38">
        <v>-3171.882507550763</v>
      </c>
      <c r="HB67" s="36">
        <v>57246.89638075402</v>
      </c>
      <c r="HC67" s="36">
        <f t="shared" si="0"/>
        <v>117263.63128110992</v>
      </c>
      <c r="HD67" s="36">
        <f>SUM(BL$5:BL$213)</f>
        <v>117263.63128110992</v>
      </c>
      <c r="HE67" s="41">
        <v>0</v>
      </c>
      <c r="HG67" s="43"/>
      <c r="HH67" s="43"/>
      <c r="HI67" s="43"/>
      <c r="HJ67" s="43"/>
      <c r="HK67" s="43"/>
      <c r="HL67" s="43"/>
      <c r="HM67" s="43"/>
      <c r="HN67" s="43"/>
      <c r="HO67" s="43"/>
      <c r="HP67" s="43"/>
      <c r="HQ67" s="43"/>
      <c r="HR67" s="43"/>
      <c r="HS67" s="43"/>
      <c r="HT67" s="43"/>
    </row>
    <row r="68" spans="1:228" x14ac:dyDescent="0.2">
      <c r="A68" s="9" t="s">
        <v>641</v>
      </c>
      <c r="B68" s="36">
        <v>30568.474390059149</v>
      </c>
      <c r="C68" s="36">
        <v>0</v>
      </c>
      <c r="D68" s="36">
        <v>0</v>
      </c>
      <c r="E68" s="36">
        <v>0</v>
      </c>
      <c r="F68" s="36">
        <v>0</v>
      </c>
      <c r="G68" s="36">
        <v>0</v>
      </c>
      <c r="H68" s="36">
        <v>0</v>
      </c>
      <c r="I68" s="36">
        <v>30234.834895416152</v>
      </c>
      <c r="J68" s="36">
        <v>0</v>
      </c>
      <c r="K68" s="36">
        <v>1496.8362127345372</v>
      </c>
      <c r="L68" s="36">
        <v>29.073025013094465</v>
      </c>
      <c r="M68" s="36">
        <v>4199.2732551404197</v>
      </c>
      <c r="N68" s="36">
        <v>387.84479115778447</v>
      </c>
      <c r="O68" s="36">
        <v>0</v>
      </c>
      <c r="P68" s="36">
        <v>0</v>
      </c>
      <c r="Q68" s="36">
        <v>0</v>
      </c>
      <c r="R68" s="36">
        <v>0</v>
      </c>
      <c r="S68" s="36">
        <v>0</v>
      </c>
      <c r="T68" s="36">
        <v>257.69534585410707</v>
      </c>
      <c r="U68" s="36">
        <v>0</v>
      </c>
      <c r="V68" s="36">
        <v>0</v>
      </c>
      <c r="W68" s="36">
        <v>0</v>
      </c>
      <c r="X68" s="36">
        <v>0</v>
      </c>
      <c r="Y68" s="36">
        <v>0</v>
      </c>
      <c r="Z68" s="36">
        <v>0</v>
      </c>
      <c r="AA68" s="36">
        <v>0</v>
      </c>
      <c r="AB68" s="36">
        <v>0</v>
      </c>
      <c r="AC68" s="36">
        <v>0</v>
      </c>
      <c r="AD68" s="36">
        <v>0</v>
      </c>
      <c r="AE68" s="36">
        <v>0</v>
      </c>
      <c r="AF68" s="36">
        <v>0</v>
      </c>
      <c r="AG68" s="36">
        <v>0</v>
      </c>
      <c r="AH68" s="36">
        <v>0</v>
      </c>
      <c r="AI68" s="36">
        <v>1.5035973087288208</v>
      </c>
      <c r="AJ68" s="36">
        <v>1.7557493797519113</v>
      </c>
      <c r="AK68" s="36">
        <v>0</v>
      </c>
      <c r="AL68" s="36">
        <v>0</v>
      </c>
      <c r="AM68" s="36">
        <v>0</v>
      </c>
      <c r="AN68" s="36">
        <v>0</v>
      </c>
      <c r="AO68" s="36">
        <v>0</v>
      </c>
      <c r="AP68" s="36">
        <v>0</v>
      </c>
      <c r="AQ68" s="36">
        <v>0</v>
      </c>
      <c r="AR68" s="36">
        <v>0</v>
      </c>
      <c r="AS68" s="36">
        <v>0</v>
      </c>
      <c r="AT68" s="36">
        <v>0</v>
      </c>
      <c r="AU68" s="36">
        <v>0</v>
      </c>
      <c r="AV68" s="36">
        <v>0</v>
      </c>
      <c r="AW68" s="36">
        <v>0</v>
      </c>
      <c r="AX68" s="36">
        <v>0</v>
      </c>
      <c r="AY68" s="36">
        <v>0</v>
      </c>
      <c r="AZ68" s="36">
        <v>0</v>
      </c>
      <c r="BA68" s="36">
        <v>0</v>
      </c>
      <c r="BB68" s="36">
        <v>0</v>
      </c>
      <c r="BC68" s="36">
        <v>25.258813523274164</v>
      </c>
      <c r="BD68" s="36">
        <v>0</v>
      </c>
      <c r="BE68" s="36">
        <v>0</v>
      </c>
      <c r="BF68" s="36">
        <v>0</v>
      </c>
      <c r="BG68" s="36">
        <v>0</v>
      </c>
      <c r="BH68" s="36">
        <v>0</v>
      </c>
      <c r="BI68" s="36">
        <v>0</v>
      </c>
      <c r="BJ68" s="36">
        <v>3378.1106050056974</v>
      </c>
      <c r="BK68" s="36">
        <v>0</v>
      </c>
      <c r="BL68" s="36">
        <v>0</v>
      </c>
      <c r="BM68" s="36">
        <v>0</v>
      </c>
      <c r="BN68" s="36">
        <v>0</v>
      </c>
      <c r="BO68" s="36">
        <v>0</v>
      </c>
      <c r="BP68" s="36">
        <v>0</v>
      </c>
      <c r="BQ68" s="36">
        <v>0</v>
      </c>
      <c r="BR68" s="36">
        <v>0</v>
      </c>
      <c r="BS68" s="36">
        <v>0</v>
      </c>
      <c r="BT68" s="36">
        <v>0</v>
      </c>
      <c r="BU68" s="36">
        <v>0</v>
      </c>
      <c r="BV68" s="36">
        <v>0</v>
      </c>
      <c r="BW68" s="36">
        <v>0</v>
      </c>
      <c r="BX68" s="36">
        <v>0</v>
      </c>
      <c r="BY68" s="36">
        <v>0</v>
      </c>
      <c r="BZ68" s="36">
        <v>0</v>
      </c>
      <c r="CA68" s="36">
        <v>0</v>
      </c>
      <c r="CB68" s="36">
        <v>0</v>
      </c>
      <c r="CC68" s="36">
        <v>0</v>
      </c>
      <c r="CD68" s="36">
        <v>0</v>
      </c>
      <c r="CE68" s="36">
        <v>0</v>
      </c>
      <c r="CF68" s="36">
        <v>0</v>
      </c>
      <c r="CG68" s="36">
        <v>0</v>
      </c>
      <c r="CH68" s="36">
        <v>0</v>
      </c>
      <c r="CI68" s="36">
        <v>0</v>
      </c>
      <c r="CJ68" s="36">
        <v>0</v>
      </c>
      <c r="CK68" s="36">
        <v>0</v>
      </c>
      <c r="CL68" s="36">
        <v>0</v>
      </c>
      <c r="CM68" s="36">
        <v>0</v>
      </c>
      <c r="CN68" s="36">
        <v>0</v>
      </c>
      <c r="CO68" s="36">
        <v>0</v>
      </c>
      <c r="CP68" s="36">
        <v>0</v>
      </c>
      <c r="CQ68" s="36">
        <v>0</v>
      </c>
      <c r="CR68" s="36">
        <v>0</v>
      </c>
      <c r="CS68" s="36">
        <v>0</v>
      </c>
      <c r="CT68" s="36">
        <v>0</v>
      </c>
      <c r="CU68" s="36">
        <v>0</v>
      </c>
      <c r="CV68" s="36">
        <v>0</v>
      </c>
      <c r="CW68" s="36">
        <v>0</v>
      </c>
      <c r="CX68" s="36">
        <v>0</v>
      </c>
      <c r="CY68" s="36">
        <v>0</v>
      </c>
      <c r="CZ68" s="36">
        <v>0</v>
      </c>
      <c r="DA68" s="36">
        <v>0</v>
      </c>
      <c r="DB68" s="36">
        <v>0</v>
      </c>
      <c r="DC68" s="36">
        <v>0</v>
      </c>
      <c r="DD68" s="36">
        <v>0</v>
      </c>
      <c r="DE68" s="36">
        <v>0</v>
      </c>
      <c r="DF68" s="36">
        <v>0</v>
      </c>
      <c r="DG68" s="36">
        <v>0</v>
      </c>
      <c r="DH68" s="36">
        <v>0</v>
      </c>
      <c r="DI68" s="36">
        <v>0</v>
      </c>
      <c r="DJ68" s="36">
        <v>0</v>
      </c>
      <c r="DK68" s="36">
        <v>0</v>
      </c>
      <c r="DL68" s="36">
        <v>0</v>
      </c>
      <c r="DM68" s="36">
        <v>0</v>
      </c>
      <c r="DN68" s="36">
        <v>0</v>
      </c>
      <c r="DO68" s="36">
        <v>0</v>
      </c>
      <c r="DP68" s="36">
        <v>0</v>
      </c>
      <c r="DQ68" s="36">
        <v>0</v>
      </c>
      <c r="DR68" s="36">
        <v>0</v>
      </c>
      <c r="DS68" s="36">
        <v>0</v>
      </c>
      <c r="DT68" s="36">
        <v>0</v>
      </c>
      <c r="DU68" s="36">
        <v>0</v>
      </c>
      <c r="DV68" s="36">
        <v>0</v>
      </c>
      <c r="DW68" s="36">
        <v>0</v>
      </c>
      <c r="DX68" s="36">
        <v>0</v>
      </c>
      <c r="DY68" s="36">
        <v>0</v>
      </c>
      <c r="DZ68" s="36">
        <v>0</v>
      </c>
      <c r="EA68" s="36">
        <v>0</v>
      </c>
      <c r="EB68" s="36">
        <v>0</v>
      </c>
      <c r="EC68" s="36">
        <v>0</v>
      </c>
      <c r="ED68" s="36">
        <v>0</v>
      </c>
      <c r="EE68" s="36">
        <v>0</v>
      </c>
      <c r="EF68" s="36">
        <v>0</v>
      </c>
      <c r="EG68" s="36">
        <v>0</v>
      </c>
      <c r="EH68" s="36">
        <v>0</v>
      </c>
      <c r="EI68" s="36">
        <v>0</v>
      </c>
      <c r="EJ68" s="36">
        <v>0</v>
      </c>
      <c r="EK68" s="36">
        <v>0</v>
      </c>
      <c r="EL68" s="36">
        <v>0</v>
      </c>
      <c r="EM68" s="36">
        <v>0</v>
      </c>
      <c r="EN68" s="36">
        <v>0</v>
      </c>
      <c r="EO68" s="36">
        <v>0</v>
      </c>
      <c r="EP68" s="36">
        <v>0</v>
      </c>
      <c r="EQ68" s="36">
        <v>0</v>
      </c>
      <c r="ER68" s="36">
        <v>0</v>
      </c>
      <c r="ES68" s="36">
        <v>0</v>
      </c>
      <c r="ET68" s="36">
        <v>0</v>
      </c>
      <c r="EU68" s="36">
        <v>0</v>
      </c>
      <c r="EV68" s="36">
        <v>0</v>
      </c>
      <c r="EW68" s="36">
        <v>0</v>
      </c>
      <c r="EX68" s="36">
        <v>0</v>
      </c>
      <c r="EY68" s="36">
        <v>0</v>
      </c>
      <c r="EZ68" s="36">
        <v>0</v>
      </c>
      <c r="FA68" s="36">
        <v>0</v>
      </c>
      <c r="FB68" s="36">
        <v>0</v>
      </c>
      <c r="FC68" s="36">
        <v>0</v>
      </c>
      <c r="FD68" s="36">
        <v>0</v>
      </c>
      <c r="FE68" s="36">
        <v>0</v>
      </c>
      <c r="FF68" s="36">
        <v>0</v>
      </c>
      <c r="FG68" s="36">
        <v>0</v>
      </c>
      <c r="FH68" s="36">
        <v>0</v>
      </c>
      <c r="FI68" s="36">
        <v>0</v>
      </c>
      <c r="FJ68" s="36">
        <v>0</v>
      </c>
      <c r="FK68" s="36">
        <v>0</v>
      </c>
      <c r="FL68" s="36">
        <v>0</v>
      </c>
      <c r="FM68" s="36">
        <v>0</v>
      </c>
      <c r="FN68" s="36">
        <v>0</v>
      </c>
      <c r="FO68" s="36">
        <v>0</v>
      </c>
      <c r="FP68" s="36">
        <v>0</v>
      </c>
      <c r="FQ68" s="36">
        <v>0</v>
      </c>
      <c r="FR68" s="36">
        <v>0</v>
      </c>
      <c r="FS68" s="36">
        <v>0</v>
      </c>
      <c r="FT68" s="36">
        <v>0</v>
      </c>
      <c r="FU68" s="36">
        <v>0</v>
      </c>
      <c r="FV68" s="36">
        <v>0</v>
      </c>
      <c r="FW68" s="36">
        <v>0</v>
      </c>
      <c r="FX68" s="36">
        <v>0</v>
      </c>
      <c r="FY68" s="36">
        <v>0</v>
      </c>
      <c r="FZ68" s="36">
        <v>0</v>
      </c>
      <c r="GA68" s="36">
        <v>0</v>
      </c>
      <c r="GB68" s="36">
        <v>0</v>
      </c>
      <c r="GC68" s="36">
        <v>0</v>
      </c>
      <c r="GD68" s="36">
        <v>0</v>
      </c>
      <c r="GE68" s="36">
        <v>0</v>
      </c>
      <c r="GF68" s="36">
        <v>0</v>
      </c>
      <c r="GG68" s="42">
        <v>489.18574941516243</v>
      </c>
      <c r="GH68" s="42">
        <v>923.25393251927073</v>
      </c>
      <c r="GI68" s="42">
        <v>974.50060212906237</v>
      </c>
      <c r="GJ68" s="42">
        <v>895.793934798289</v>
      </c>
      <c r="GK68" s="42">
        <v>779.80655270535237</v>
      </c>
      <c r="GL68" s="42">
        <v>497.13522748645278</v>
      </c>
      <c r="GM68" s="42">
        <v>572.90061229211858</v>
      </c>
      <c r="GN68" s="42">
        <v>1179.5833628453959</v>
      </c>
      <c r="GO68" s="42">
        <v>2194.2932067604493</v>
      </c>
      <c r="GP68" s="42">
        <v>1720.7190464528567</v>
      </c>
      <c r="GQ68" s="42">
        <v>764.54130779380273</v>
      </c>
      <c r="GR68" s="42">
        <v>1981.7980669053029</v>
      </c>
      <c r="GS68" s="42">
        <v>1179.3297675103395</v>
      </c>
      <c r="GT68" s="42">
        <v>3704.8462228178919</v>
      </c>
      <c r="GU68" s="36">
        <v>0</v>
      </c>
      <c r="GV68" s="36">
        <v>0</v>
      </c>
      <c r="GW68" s="36">
        <v>0</v>
      </c>
      <c r="GX68" s="36">
        <v>0</v>
      </c>
      <c r="GY68" s="36">
        <v>0</v>
      </c>
      <c r="GZ68" s="36">
        <v>6532.8842183773922</v>
      </c>
      <c r="HA68" s="38">
        <v>-1.6001840437093051</v>
      </c>
      <c r="HB68" s="36">
        <v>6243.514803430161</v>
      </c>
      <c r="HC68" s="36">
        <f t="shared" si="0"/>
        <v>101213.14711078833</v>
      </c>
      <c r="HD68" s="36">
        <f>SUM(BM$5:BM$213)</f>
        <v>101213.14711078833</v>
      </c>
      <c r="HE68" s="41">
        <v>0</v>
      </c>
      <c r="HG68" s="43"/>
      <c r="HH68" s="43"/>
      <c r="HI68" s="43"/>
      <c r="HJ68" s="43"/>
      <c r="HK68" s="43"/>
      <c r="HL68" s="43"/>
      <c r="HM68" s="43"/>
      <c r="HN68" s="43"/>
      <c r="HO68" s="43"/>
      <c r="HP68" s="43"/>
      <c r="HQ68" s="43"/>
      <c r="HR68" s="43"/>
      <c r="HS68" s="43"/>
      <c r="HT68" s="43"/>
    </row>
    <row r="69" spans="1:228" x14ac:dyDescent="0.2">
      <c r="A69" s="9" t="s">
        <v>648</v>
      </c>
      <c r="B69" s="36">
        <v>0</v>
      </c>
      <c r="C69" s="36">
        <v>2922.7739217342482</v>
      </c>
      <c r="D69" s="36">
        <v>0</v>
      </c>
      <c r="E69" s="36">
        <v>0</v>
      </c>
      <c r="F69" s="36">
        <v>0</v>
      </c>
      <c r="G69" s="36">
        <v>0</v>
      </c>
      <c r="H69" s="36">
        <v>0</v>
      </c>
      <c r="I69" s="36">
        <v>0</v>
      </c>
      <c r="J69" s="36">
        <v>0</v>
      </c>
      <c r="K69" s="36">
        <v>11.33316802579556</v>
      </c>
      <c r="L69" s="36">
        <v>4.0778564088369675</v>
      </c>
      <c r="M69" s="36">
        <v>0</v>
      </c>
      <c r="N69" s="36">
        <v>0</v>
      </c>
      <c r="O69" s="36">
        <v>9189.5485120640096</v>
      </c>
      <c r="P69" s="36">
        <v>1.0957794551153126</v>
      </c>
      <c r="Q69" s="36">
        <v>0</v>
      </c>
      <c r="R69" s="36">
        <v>54.496431698636407</v>
      </c>
      <c r="S69" s="36">
        <v>345.87298536101014</v>
      </c>
      <c r="T69" s="36">
        <v>247.49375809803763</v>
      </c>
      <c r="U69" s="36">
        <v>1642.0921716873518</v>
      </c>
      <c r="V69" s="36">
        <v>238.06044959369532</v>
      </c>
      <c r="W69" s="36">
        <v>0</v>
      </c>
      <c r="X69" s="36">
        <v>0</v>
      </c>
      <c r="Y69" s="36">
        <v>113.35735930976301</v>
      </c>
      <c r="Z69" s="36">
        <v>0.67844380989002318</v>
      </c>
      <c r="AA69" s="36">
        <v>0.14120143465738624</v>
      </c>
      <c r="AB69" s="36">
        <v>2.6889188892205413</v>
      </c>
      <c r="AC69" s="36">
        <v>0</v>
      </c>
      <c r="AD69" s="36">
        <v>199.04437169489145</v>
      </c>
      <c r="AE69" s="36">
        <v>58.287945700706622</v>
      </c>
      <c r="AF69" s="36">
        <v>0</v>
      </c>
      <c r="AG69" s="36">
        <v>368.79672139979129</v>
      </c>
      <c r="AH69" s="36">
        <v>39.88120214685199</v>
      </c>
      <c r="AI69" s="36">
        <v>1.0349793918985959</v>
      </c>
      <c r="AJ69" s="36">
        <v>1.1787577370844227</v>
      </c>
      <c r="AK69" s="36">
        <v>0</v>
      </c>
      <c r="AL69" s="36">
        <v>0</v>
      </c>
      <c r="AM69" s="36">
        <v>0</v>
      </c>
      <c r="AN69" s="36">
        <v>0</v>
      </c>
      <c r="AO69" s="36">
        <v>0</v>
      </c>
      <c r="AP69" s="36">
        <v>0</v>
      </c>
      <c r="AQ69" s="36">
        <v>0</v>
      </c>
      <c r="AR69" s="36">
        <v>0</v>
      </c>
      <c r="AS69" s="36">
        <v>0</v>
      </c>
      <c r="AT69" s="36">
        <v>0</v>
      </c>
      <c r="AU69" s="36">
        <v>0</v>
      </c>
      <c r="AV69" s="36">
        <v>0</v>
      </c>
      <c r="AW69" s="36">
        <v>0</v>
      </c>
      <c r="AX69" s="36">
        <v>0</v>
      </c>
      <c r="AY69" s="36">
        <v>0</v>
      </c>
      <c r="AZ69" s="36">
        <v>0</v>
      </c>
      <c r="BA69" s="36">
        <v>0</v>
      </c>
      <c r="BB69" s="36">
        <v>0</v>
      </c>
      <c r="BC69" s="36">
        <v>11.427027663443308</v>
      </c>
      <c r="BD69" s="36">
        <v>0.15268139186792246</v>
      </c>
      <c r="BE69" s="36">
        <v>65.079032129769274</v>
      </c>
      <c r="BF69" s="36">
        <v>0</v>
      </c>
      <c r="BG69" s="36">
        <v>0</v>
      </c>
      <c r="BH69" s="36">
        <v>0</v>
      </c>
      <c r="BI69" s="36">
        <v>0</v>
      </c>
      <c r="BJ69" s="36">
        <v>486.00211194170322</v>
      </c>
      <c r="BK69" s="36">
        <v>0</v>
      </c>
      <c r="BL69" s="36">
        <v>0</v>
      </c>
      <c r="BM69" s="36">
        <v>0</v>
      </c>
      <c r="BN69" s="36">
        <v>0</v>
      </c>
      <c r="BO69" s="36">
        <v>0</v>
      </c>
      <c r="BP69" s="36">
        <v>0</v>
      </c>
      <c r="BQ69" s="36">
        <v>0</v>
      </c>
      <c r="BR69" s="36">
        <v>0</v>
      </c>
      <c r="BS69" s="36">
        <v>0</v>
      </c>
      <c r="BT69" s="36">
        <v>0</v>
      </c>
      <c r="BU69" s="36">
        <v>0</v>
      </c>
      <c r="BV69" s="36">
        <v>0</v>
      </c>
      <c r="BW69" s="36">
        <v>0</v>
      </c>
      <c r="BX69" s="36">
        <v>0</v>
      </c>
      <c r="BY69" s="36">
        <v>0</v>
      </c>
      <c r="BZ69" s="36">
        <v>0</v>
      </c>
      <c r="CA69" s="36">
        <v>0</v>
      </c>
      <c r="CB69" s="36">
        <v>0</v>
      </c>
      <c r="CC69" s="36">
        <v>0</v>
      </c>
      <c r="CD69" s="36">
        <v>0</v>
      </c>
      <c r="CE69" s="36">
        <v>0</v>
      </c>
      <c r="CF69" s="36">
        <v>0</v>
      </c>
      <c r="CG69" s="36">
        <v>0</v>
      </c>
      <c r="CH69" s="36">
        <v>0</v>
      </c>
      <c r="CI69" s="36">
        <v>0</v>
      </c>
      <c r="CJ69" s="36">
        <v>0</v>
      </c>
      <c r="CK69" s="36">
        <v>0</v>
      </c>
      <c r="CL69" s="36">
        <v>0</v>
      </c>
      <c r="CM69" s="36">
        <v>0</v>
      </c>
      <c r="CN69" s="36">
        <v>0</v>
      </c>
      <c r="CO69" s="36">
        <v>0</v>
      </c>
      <c r="CP69" s="36">
        <v>0</v>
      </c>
      <c r="CQ69" s="36">
        <v>0</v>
      </c>
      <c r="CR69" s="36">
        <v>0</v>
      </c>
      <c r="CS69" s="36">
        <v>0</v>
      </c>
      <c r="CT69" s="36">
        <v>0</v>
      </c>
      <c r="CU69" s="36">
        <v>0</v>
      </c>
      <c r="CV69" s="36">
        <v>0</v>
      </c>
      <c r="CW69" s="36">
        <v>0</v>
      </c>
      <c r="CX69" s="36">
        <v>0</v>
      </c>
      <c r="CY69" s="36">
        <v>0</v>
      </c>
      <c r="CZ69" s="36">
        <v>0</v>
      </c>
      <c r="DA69" s="36">
        <v>0</v>
      </c>
      <c r="DB69" s="36">
        <v>0</v>
      </c>
      <c r="DC69" s="36">
        <v>0</v>
      </c>
      <c r="DD69" s="36">
        <v>0</v>
      </c>
      <c r="DE69" s="36">
        <v>0</v>
      </c>
      <c r="DF69" s="36">
        <v>0</v>
      </c>
      <c r="DG69" s="36">
        <v>0</v>
      </c>
      <c r="DH69" s="36">
        <v>0</v>
      </c>
      <c r="DI69" s="36">
        <v>0</v>
      </c>
      <c r="DJ69" s="36">
        <v>0</v>
      </c>
      <c r="DK69" s="36">
        <v>0</v>
      </c>
      <c r="DL69" s="36">
        <v>0</v>
      </c>
      <c r="DM69" s="36">
        <v>0</v>
      </c>
      <c r="DN69" s="36">
        <v>0</v>
      </c>
      <c r="DO69" s="36">
        <v>0</v>
      </c>
      <c r="DP69" s="36">
        <v>0</v>
      </c>
      <c r="DQ69" s="36">
        <v>0</v>
      </c>
      <c r="DR69" s="36">
        <v>0</v>
      </c>
      <c r="DS69" s="36">
        <v>0</v>
      </c>
      <c r="DT69" s="36">
        <v>0</v>
      </c>
      <c r="DU69" s="36">
        <v>0</v>
      </c>
      <c r="DV69" s="36">
        <v>0</v>
      </c>
      <c r="DW69" s="36">
        <v>0</v>
      </c>
      <c r="DX69" s="36">
        <v>0</v>
      </c>
      <c r="DY69" s="36">
        <v>0</v>
      </c>
      <c r="DZ69" s="36">
        <v>0</v>
      </c>
      <c r="EA69" s="36">
        <v>0</v>
      </c>
      <c r="EB69" s="36">
        <v>0</v>
      </c>
      <c r="EC69" s="36">
        <v>0</v>
      </c>
      <c r="ED69" s="36">
        <v>0</v>
      </c>
      <c r="EE69" s="36">
        <v>0</v>
      </c>
      <c r="EF69" s="36">
        <v>0</v>
      </c>
      <c r="EG69" s="36">
        <v>0</v>
      </c>
      <c r="EH69" s="36">
        <v>0</v>
      </c>
      <c r="EI69" s="36">
        <v>0</v>
      </c>
      <c r="EJ69" s="36">
        <v>0</v>
      </c>
      <c r="EK69" s="36">
        <v>0</v>
      </c>
      <c r="EL69" s="36">
        <v>0</v>
      </c>
      <c r="EM69" s="36">
        <v>0</v>
      </c>
      <c r="EN69" s="36">
        <v>0</v>
      </c>
      <c r="EO69" s="36">
        <v>0</v>
      </c>
      <c r="EP69" s="36">
        <v>0</v>
      </c>
      <c r="EQ69" s="36">
        <v>0</v>
      </c>
      <c r="ER69" s="36">
        <v>0</v>
      </c>
      <c r="ES69" s="36">
        <v>0</v>
      </c>
      <c r="ET69" s="36">
        <v>0</v>
      </c>
      <c r="EU69" s="36">
        <v>0</v>
      </c>
      <c r="EV69" s="36">
        <v>0</v>
      </c>
      <c r="EW69" s="36">
        <v>0</v>
      </c>
      <c r="EX69" s="36">
        <v>0</v>
      </c>
      <c r="EY69" s="36">
        <v>0</v>
      </c>
      <c r="EZ69" s="36">
        <v>0</v>
      </c>
      <c r="FA69" s="36">
        <v>0</v>
      </c>
      <c r="FB69" s="36">
        <v>0</v>
      </c>
      <c r="FC69" s="36">
        <v>0</v>
      </c>
      <c r="FD69" s="36">
        <v>0</v>
      </c>
      <c r="FE69" s="36">
        <v>0</v>
      </c>
      <c r="FF69" s="36">
        <v>0</v>
      </c>
      <c r="FG69" s="36">
        <v>0</v>
      </c>
      <c r="FH69" s="36">
        <v>0</v>
      </c>
      <c r="FI69" s="36">
        <v>0</v>
      </c>
      <c r="FJ69" s="36">
        <v>0</v>
      </c>
      <c r="FK69" s="36">
        <v>0</v>
      </c>
      <c r="FL69" s="36">
        <v>0</v>
      </c>
      <c r="FM69" s="36">
        <v>0</v>
      </c>
      <c r="FN69" s="36">
        <v>0</v>
      </c>
      <c r="FO69" s="36">
        <v>0</v>
      </c>
      <c r="FP69" s="36">
        <v>0</v>
      </c>
      <c r="FQ69" s="36">
        <v>0</v>
      </c>
      <c r="FR69" s="36">
        <v>0</v>
      </c>
      <c r="FS69" s="36">
        <v>0</v>
      </c>
      <c r="FT69" s="36">
        <v>0</v>
      </c>
      <c r="FU69" s="36">
        <v>0</v>
      </c>
      <c r="FV69" s="36">
        <v>0</v>
      </c>
      <c r="FW69" s="36">
        <v>0</v>
      </c>
      <c r="FX69" s="36">
        <v>0</v>
      </c>
      <c r="FY69" s="36">
        <v>0</v>
      </c>
      <c r="FZ69" s="36">
        <v>0</v>
      </c>
      <c r="GA69" s="36">
        <v>0</v>
      </c>
      <c r="GB69" s="36">
        <v>0</v>
      </c>
      <c r="GC69" s="36">
        <v>0</v>
      </c>
      <c r="GD69" s="36">
        <v>0</v>
      </c>
      <c r="GE69" s="36">
        <v>0</v>
      </c>
      <c r="GF69" s="36">
        <v>0</v>
      </c>
      <c r="GG69" s="42">
        <v>414.0070061304084</v>
      </c>
      <c r="GH69" s="42">
        <v>734.52481297988629</v>
      </c>
      <c r="GI69" s="42">
        <v>934.41640822696786</v>
      </c>
      <c r="GJ69" s="42">
        <v>409.07359462240566</v>
      </c>
      <c r="GK69" s="42">
        <v>204.3684881125283</v>
      </c>
      <c r="GL69" s="42">
        <v>219.22228154720796</v>
      </c>
      <c r="GM69" s="42">
        <v>132.10972599456321</v>
      </c>
      <c r="GN69" s="42">
        <v>73.500234458949834</v>
      </c>
      <c r="GO69" s="42">
        <v>325.51632105679022</v>
      </c>
      <c r="GP69" s="42">
        <v>16.864111400668662</v>
      </c>
      <c r="GQ69" s="42">
        <v>83.660127218500193</v>
      </c>
      <c r="GR69" s="42">
        <v>126.35925849987943</v>
      </c>
      <c r="GS69" s="42">
        <v>175.06707654610682</v>
      </c>
      <c r="GT69" s="42">
        <v>49.858445593434823</v>
      </c>
      <c r="GU69" s="36">
        <v>0</v>
      </c>
      <c r="GV69" s="36">
        <v>0</v>
      </c>
      <c r="GW69" s="36">
        <v>0</v>
      </c>
      <c r="GX69" s="36">
        <v>0</v>
      </c>
      <c r="GY69" s="36">
        <v>0</v>
      </c>
      <c r="GZ69" s="36">
        <v>0</v>
      </c>
      <c r="HA69" s="38">
        <v>294.73841896666272</v>
      </c>
      <c r="HB69" s="36">
        <v>923.64493682071384</v>
      </c>
      <c r="HC69" s="36">
        <f t="shared" ref="HC69:HC132" si="1">SUM(B69:HB69)</f>
        <v>21121.527036943953</v>
      </c>
      <c r="HD69" s="36">
        <f>SUM(BN$5:BN$213)</f>
        <v>21121.527036943953</v>
      </c>
      <c r="HE69" s="41">
        <v>0</v>
      </c>
      <c r="HG69" s="43"/>
      <c r="HH69" s="43"/>
      <c r="HI69" s="43"/>
      <c r="HJ69" s="43"/>
      <c r="HK69" s="43"/>
      <c r="HL69" s="43"/>
      <c r="HM69" s="43"/>
      <c r="HN69" s="43"/>
      <c r="HO69" s="43"/>
      <c r="HP69" s="43"/>
      <c r="HQ69" s="43"/>
      <c r="HR69" s="43"/>
      <c r="HS69" s="43"/>
      <c r="HT69" s="43"/>
    </row>
    <row r="70" spans="1:228" hidden="1" outlineLevel="1" x14ac:dyDescent="0.2">
      <c r="A70" s="9" t="s">
        <v>655</v>
      </c>
      <c r="B70" s="36">
        <v>0</v>
      </c>
      <c r="C70" s="36">
        <v>0</v>
      </c>
      <c r="D70" s="36">
        <v>5033.666798825383</v>
      </c>
      <c r="E70" s="36">
        <v>0</v>
      </c>
      <c r="F70" s="36">
        <v>0</v>
      </c>
      <c r="G70" s="36">
        <v>0</v>
      </c>
      <c r="H70" s="36">
        <v>0</v>
      </c>
      <c r="I70" s="36">
        <v>1169.9861844842565</v>
      </c>
      <c r="J70" s="36">
        <v>0</v>
      </c>
      <c r="K70" s="36">
        <v>0</v>
      </c>
      <c r="L70" s="36">
        <v>0</v>
      </c>
      <c r="M70" s="36">
        <v>0</v>
      </c>
      <c r="N70" s="36">
        <v>0</v>
      </c>
      <c r="O70" s="36">
        <v>0</v>
      </c>
      <c r="P70" s="36">
        <v>0</v>
      </c>
      <c r="Q70" s="36">
        <v>0</v>
      </c>
      <c r="R70" s="36">
        <v>0</v>
      </c>
      <c r="S70" s="36">
        <v>0</v>
      </c>
      <c r="T70" s="36">
        <v>0</v>
      </c>
      <c r="U70" s="36">
        <v>0</v>
      </c>
      <c r="V70" s="36">
        <v>0</v>
      </c>
      <c r="W70" s="36">
        <v>0</v>
      </c>
      <c r="X70" s="36">
        <v>0</v>
      </c>
      <c r="Y70" s="36">
        <v>0</v>
      </c>
      <c r="Z70" s="36">
        <v>0</v>
      </c>
      <c r="AA70" s="36">
        <v>0</v>
      </c>
      <c r="AB70" s="36">
        <v>0</v>
      </c>
      <c r="AC70" s="36">
        <v>0</v>
      </c>
      <c r="AD70" s="36">
        <v>0</v>
      </c>
      <c r="AE70" s="36">
        <v>0</v>
      </c>
      <c r="AF70" s="36">
        <v>0</v>
      </c>
      <c r="AG70" s="36">
        <v>0</v>
      </c>
      <c r="AH70" s="36">
        <v>34.293525111359145</v>
      </c>
      <c r="AI70" s="36">
        <v>0</v>
      </c>
      <c r="AJ70" s="36">
        <v>0</v>
      </c>
      <c r="AK70" s="36">
        <v>0</v>
      </c>
      <c r="AL70" s="36">
        <v>0</v>
      </c>
      <c r="AM70" s="36">
        <v>0</v>
      </c>
      <c r="AN70" s="36">
        <v>0</v>
      </c>
      <c r="AO70" s="36">
        <v>0</v>
      </c>
      <c r="AP70" s="36">
        <v>0</v>
      </c>
      <c r="AQ70" s="36">
        <v>0</v>
      </c>
      <c r="AR70" s="36">
        <v>0</v>
      </c>
      <c r="AS70" s="36">
        <v>0</v>
      </c>
      <c r="AT70" s="36">
        <v>0</v>
      </c>
      <c r="AU70" s="36">
        <v>0</v>
      </c>
      <c r="AV70" s="36">
        <v>0</v>
      </c>
      <c r="AW70" s="36">
        <v>0</v>
      </c>
      <c r="AX70" s="36">
        <v>0</v>
      </c>
      <c r="AY70" s="36">
        <v>0</v>
      </c>
      <c r="AZ70" s="36">
        <v>0</v>
      </c>
      <c r="BA70" s="36">
        <v>0</v>
      </c>
      <c r="BB70" s="36">
        <v>0</v>
      </c>
      <c r="BC70" s="36">
        <v>0</v>
      </c>
      <c r="BD70" s="36">
        <v>0</v>
      </c>
      <c r="BE70" s="36">
        <v>0</v>
      </c>
      <c r="BF70" s="36">
        <v>0</v>
      </c>
      <c r="BG70" s="36">
        <v>0</v>
      </c>
      <c r="BH70" s="36">
        <v>0</v>
      </c>
      <c r="BI70" s="36">
        <v>0</v>
      </c>
      <c r="BJ70" s="36">
        <v>233.26971896939781</v>
      </c>
      <c r="BK70" s="36">
        <v>0</v>
      </c>
      <c r="BL70" s="36">
        <v>0</v>
      </c>
      <c r="BM70" s="36">
        <v>0</v>
      </c>
      <c r="BN70" s="36">
        <v>0</v>
      </c>
      <c r="BO70" s="36">
        <v>0</v>
      </c>
      <c r="BP70" s="36">
        <v>0</v>
      </c>
      <c r="BQ70" s="36">
        <v>0</v>
      </c>
      <c r="BR70" s="36">
        <v>0</v>
      </c>
      <c r="BS70" s="36">
        <v>0</v>
      </c>
      <c r="BT70" s="36">
        <v>0</v>
      </c>
      <c r="BU70" s="36">
        <v>0</v>
      </c>
      <c r="BV70" s="36">
        <v>0</v>
      </c>
      <c r="BW70" s="36">
        <v>0</v>
      </c>
      <c r="BX70" s="36">
        <v>0</v>
      </c>
      <c r="BY70" s="36">
        <v>0</v>
      </c>
      <c r="BZ70" s="36">
        <v>0</v>
      </c>
      <c r="CA70" s="36">
        <v>0</v>
      </c>
      <c r="CB70" s="36">
        <v>0</v>
      </c>
      <c r="CC70" s="36">
        <v>0</v>
      </c>
      <c r="CD70" s="36">
        <v>0</v>
      </c>
      <c r="CE70" s="36">
        <v>0</v>
      </c>
      <c r="CF70" s="36">
        <v>0</v>
      </c>
      <c r="CG70" s="36">
        <v>0</v>
      </c>
      <c r="CH70" s="36">
        <v>0</v>
      </c>
      <c r="CI70" s="36">
        <v>0</v>
      </c>
      <c r="CJ70" s="36">
        <v>0</v>
      </c>
      <c r="CK70" s="36">
        <v>0</v>
      </c>
      <c r="CL70" s="36">
        <v>0</v>
      </c>
      <c r="CM70" s="36">
        <v>0</v>
      </c>
      <c r="CN70" s="36">
        <v>0</v>
      </c>
      <c r="CO70" s="36">
        <v>0</v>
      </c>
      <c r="CP70" s="36">
        <v>0</v>
      </c>
      <c r="CQ70" s="36">
        <v>0</v>
      </c>
      <c r="CR70" s="36">
        <v>0</v>
      </c>
      <c r="CS70" s="36">
        <v>0</v>
      </c>
      <c r="CT70" s="36">
        <v>0</v>
      </c>
      <c r="CU70" s="36">
        <v>0</v>
      </c>
      <c r="CV70" s="36">
        <v>0</v>
      </c>
      <c r="CW70" s="36">
        <v>0</v>
      </c>
      <c r="CX70" s="36">
        <v>0</v>
      </c>
      <c r="CY70" s="36">
        <v>0</v>
      </c>
      <c r="CZ70" s="36">
        <v>0</v>
      </c>
      <c r="DA70" s="36">
        <v>0</v>
      </c>
      <c r="DB70" s="36">
        <v>0</v>
      </c>
      <c r="DC70" s="36">
        <v>0</v>
      </c>
      <c r="DD70" s="36">
        <v>0</v>
      </c>
      <c r="DE70" s="36">
        <v>0</v>
      </c>
      <c r="DF70" s="36">
        <v>0</v>
      </c>
      <c r="DG70" s="36">
        <v>0</v>
      </c>
      <c r="DH70" s="36">
        <v>0</v>
      </c>
      <c r="DI70" s="36">
        <v>0</v>
      </c>
      <c r="DJ70" s="36">
        <v>0</v>
      </c>
      <c r="DK70" s="36">
        <v>0</v>
      </c>
      <c r="DL70" s="36">
        <v>0</v>
      </c>
      <c r="DM70" s="36">
        <v>0</v>
      </c>
      <c r="DN70" s="36">
        <v>0</v>
      </c>
      <c r="DO70" s="36">
        <v>0</v>
      </c>
      <c r="DP70" s="36">
        <v>0</v>
      </c>
      <c r="DQ70" s="36">
        <v>0</v>
      </c>
      <c r="DR70" s="36">
        <v>0</v>
      </c>
      <c r="DS70" s="36">
        <v>0</v>
      </c>
      <c r="DT70" s="36">
        <v>0</v>
      </c>
      <c r="DU70" s="36">
        <v>0</v>
      </c>
      <c r="DV70" s="36">
        <v>0</v>
      </c>
      <c r="DW70" s="36">
        <v>0</v>
      </c>
      <c r="DX70" s="36">
        <v>0</v>
      </c>
      <c r="DY70" s="36">
        <v>0</v>
      </c>
      <c r="DZ70" s="36">
        <v>0</v>
      </c>
      <c r="EA70" s="36">
        <v>0</v>
      </c>
      <c r="EB70" s="36">
        <v>0</v>
      </c>
      <c r="EC70" s="36">
        <v>0</v>
      </c>
      <c r="ED70" s="36">
        <v>0</v>
      </c>
      <c r="EE70" s="36">
        <v>0</v>
      </c>
      <c r="EF70" s="36">
        <v>0</v>
      </c>
      <c r="EG70" s="36">
        <v>0</v>
      </c>
      <c r="EH70" s="36">
        <v>0</v>
      </c>
      <c r="EI70" s="36">
        <v>0</v>
      </c>
      <c r="EJ70" s="36">
        <v>0</v>
      </c>
      <c r="EK70" s="36">
        <v>0</v>
      </c>
      <c r="EL70" s="36">
        <v>0</v>
      </c>
      <c r="EM70" s="36">
        <v>0</v>
      </c>
      <c r="EN70" s="36">
        <v>0</v>
      </c>
      <c r="EO70" s="36">
        <v>0</v>
      </c>
      <c r="EP70" s="36">
        <v>0</v>
      </c>
      <c r="EQ70" s="36">
        <v>0</v>
      </c>
      <c r="ER70" s="36">
        <v>0</v>
      </c>
      <c r="ES70" s="36">
        <v>0</v>
      </c>
      <c r="ET70" s="36">
        <v>0</v>
      </c>
      <c r="EU70" s="36">
        <v>0</v>
      </c>
      <c r="EV70" s="36">
        <v>0</v>
      </c>
      <c r="EW70" s="36">
        <v>0</v>
      </c>
      <c r="EX70" s="36">
        <v>0</v>
      </c>
      <c r="EY70" s="36">
        <v>0</v>
      </c>
      <c r="EZ70" s="36">
        <v>0</v>
      </c>
      <c r="FA70" s="36">
        <v>0</v>
      </c>
      <c r="FB70" s="36">
        <v>0</v>
      </c>
      <c r="FC70" s="36">
        <v>0</v>
      </c>
      <c r="FD70" s="36">
        <v>0</v>
      </c>
      <c r="FE70" s="36">
        <v>0</v>
      </c>
      <c r="FF70" s="36">
        <v>0</v>
      </c>
      <c r="FG70" s="36">
        <v>0</v>
      </c>
      <c r="FH70" s="36">
        <v>0</v>
      </c>
      <c r="FI70" s="36">
        <v>0</v>
      </c>
      <c r="FJ70" s="36">
        <v>0</v>
      </c>
      <c r="FK70" s="36">
        <v>0</v>
      </c>
      <c r="FL70" s="36">
        <v>0</v>
      </c>
      <c r="FM70" s="36">
        <v>0</v>
      </c>
      <c r="FN70" s="36">
        <v>0</v>
      </c>
      <c r="FO70" s="36">
        <v>0</v>
      </c>
      <c r="FP70" s="36">
        <v>0</v>
      </c>
      <c r="FQ70" s="36">
        <v>0</v>
      </c>
      <c r="FR70" s="36">
        <v>0</v>
      </c>
      <c r="FS70" s="36">
        <v>0</v>
      </c>
      <c r="FT70" s="36">
        <v>0</v>
      </c>
      <c r="FU70" s="36">
        <v>0</v>
      </c>
      <c r="FV70" s="36">
        <v>0</v>
      </c>
      <c r="FW70" s="36">
        <v>0</v>
      </c>
      <c r="FX70" s="36">
        <v>0</v>
      </c>
      <c r="FY70" s="36">
        <v>0</v>
      </c>
      <c r="FZ70" s="36">
        <v>0</v>
      </c>
      <c r="GA70" s="36">
        <v>0</v>
      </c>
      <c r="GB70" s="36">
        <v>0</v>
      </c>
      <c r="GC70" s="36">
        <v>0</v>
      </c>
      <c r="GD70" s="36">
        <v>0</v>
      </c>
      <c r="GE70" s="36">
        <v>0</v>
      </c>
      <c r="GF70" s="36">
        <v>0</v>
      </c>
      <c r="GG70" s="42">
        <v>103.36916317694556</v>
      </c>
      <c r="GH70" s="42">
        <v>195.09150975562559</v>
      </c>
      <c r="GI70" s="42">
        <v>205.9203725332161</v>
      </c>
      <c r="GJ70" s="42">
        <v>189.28897566984682</v>
      </c>
      <c r="GK70" s="42">
        <v>164.77984260461474</v>
      </c>
      <c r="GL70" s="42">
        <v>105.04895637800502</v>
      </c>
      <c r="GM70" s="42">
        <v>121.05883490472849</v>
      </c>
      <c r="GN70" s="42">
        <v>249.25612665649044</v>
      </c>
      <c r="GO70" s="42">
        <v>463.67305838090635</v>
      </c>
      <c r="GP70" s="42">
        <v>363.60275847592055</v>
      </c>
      <c r="GQ70" s="42">
        <v>161.55416484502237</v>
      </c>
      <c r="GR70" s="42">
        <v>418.7710046881017</v>
      </c>
      <c r="GS70" s="42">
        <v>249.20253977747421</v>
      </c>
      <c r="GT70" s="42">
        <v>782.86592405809552</v>
      </c>
      <c r="GU70" s="36">
        <v>0</v>
      </c>
      <c r="GV70" s="36">
        <v>0</v>
      </c>
      <c r="GW70" s="36">
        <v>0</v>
      </c>
      <c r="GX70" s="36">
        <v>0</v>
      </c>
      <c r="GY70" s="36">
        <v>0</v>
      </c>
      <c r="GZ70" s="36">
        <v>0</v>
      </c>
      <c r="HA70" s="38">
        <v>441.50816906900764</v>
      </c>
      <c r="HB70" s="36">
        <v>258.77041649914906</v>
      </c>
      <c r="HC70" s="36">
        <f t="shared" si="1"/>
        <v>10944.978044863545</v>
      </c>
      <c r="HD70" s="36">
        <f>SUM(BO$5:BO$213)</f>
        <v>10944.978044863545</v>
      </c>
      <c r="HE70" s="41">
        <v>0</v>
      </c>
      <c r="HG70" s="43"/>
      <c r="HH70" s="43"/>
      <c r="HI70" s="43"/>
      <c r="HJ70" s="43"/>
      <c r="HK70" s="43"/>
      <c r="HL70" s="43"/>
      <c r="HM70" s="43"/>
      <c r="HN70" s="43"/>
      <c r="HO70" s="43"/>
      <c r="HP70" s="43"/>
      <c r="HQ70" s="43"/>
      <c r="HR70" s="43"/>
      <c r="HS70" s="43"/>
      <c r="HT70" s="43"/>
    </row>
    <row r="71" spans="1:228" hidden="1" outlineLevel="1" x14ac:dyDescent="0.2">
      <c r="A71" s="9" t="s">
        <v>662</v>
      </c>
      <c r="B71" s="36">
        <v>0</v>
      </c>
      <c r="C71" s="36">
        <v>0</v>
      </c>
      <c r="D71" s="36">
        <v>46.511294970834065</v>
      </c>
      <c r="E71" s="36">
        <v>0</v>
      </c>
      <c r="F71" s="36">
        <v>0</v>
      </c>
      <c r="G71" s="36">
        <v>0</v>
      </c>
      <c r="H71" s="36">
        <v>0</v>
      </c>
      <c r="I71" s="36">
        <v>855.9289947189568</v>
      </c>
      <c r="J71" s="36">
        <v>20.245867877102153</v>
      </c>
      <c r="K71" s="36">
        <v>119.41653078994005</v>
      </c>
      <c r="L71" s="36">
        <v>2.2844095363312227</v>
      </c>
      <c r="M71" s="36">
        <v>6.9453614468461451</v>
      </c>
      <c r="N71" s="36">
        <v>0</v>
      </c>
      <c r="O71" s="36">
        <v>556.3761283347485</v>
      </c>
      <c r="P71" s="36">
        <v>1889.3003023178185</v>
      </c>
      <c r="Q71" s="36">
        <v>8.5593076717281757</v>
      </c>
      <c r="R71" s="36">
        <v>24678.219774757261</v>
      </c>
      <c r="S71" s="36">
        <v>170.46753233348161</v>
      </c>
      <c r="T71" s="36">
        <v>86.468626059152967</v>
      </c>
      <c r="U71" s="36">
        <v>57.018059594715922</v>
      </c>
      <c r="V71" s="36">
        <v>12.895385229409962</v>
      </c>
      <c r="W71" s="36">
        <v>0</v>
      </c>
      <c r="X71" s="36">
        <v>531.47191017083151</v>
      </c>
      <c r="Y71" s="36">
        <v>1363.848257639044</v>
      </c>
      <c r="Z71" s="36">
        <v>7.1043814555129661</v>
      </c>
      <c r="AA71" s="36">
        <v>23.250502555310408</v>
      </c>
      <c r="AB71" s="36">
        <v>1024.0689360345314</v>
      </c>
      <c r="AC71" s="36">
        <v>0</v>
      </c>
      <c r="AD71" s="36">
        <v>0</v>
      </c>
      <c r="AE71" s="36">
        <v>0</v>
      </c>
      <c r="AF71" s="36">
        <v>0</v>
      </c>
      <c r="AG71" s="36">
        <v>0</v>
      </c>
      <c r="AH71" s="36">
        <v>6.0515831061945669</v>
      </c>
      <c r="AI71" s="36">
        <v>43446.8458300286</v>
      </c>
      <c r="AJ71" s="36">
        <v>4.5074605024282155</v>
      </c>
      <c r="AK71" s="36">
        <v>0</v>
      </c>
      <c r="AL71" s="36">
        <v>0</v>
      </c>
      <c r="AM71" s="36">
        <v>0</v>
      </c>
      <c r="AN71" s="36">
        <v>0</v>
      </c>
      <c r="AO71" s="36">
        <v>0</v>
      </c>
      <c r="AP71" s="36">
        <v>128.35470505064521</v>
      </c>
      <c r="AQ71" s="36">
        <v>0</v>
      </c>
      <c r="AR71" s="36">
        <v>0</v>
      </c>
      <c r="AS71" s="36">
        <v>0</v>
      </c>
      <c r="AT71" s="36">
        <v>0</v>
      </c>
      <c r="AU71" s="36">
        <v>0</v>
      </c>
      <c r="AV71" s="36">
        <v>0</v>
      </c>
      <c r="AW71" s="36">
        <v>0</v>
      </c>
      <c r="AX71" s="36">
        <v>0</v>
      </c>
      <c r="AY71" s="36">
        <v>0</v>
      </c>
      <c r="AZ71" s="36">
        <v>0</v>
      </c>
      <c r="BA71" s="36">
        <v>0</v>
      </c>
      <c r="BB71" s="36">
        <v>0</v>
      </c>
      <c r="BC71" s="36">
        <v>63.323674120192202</v>
      </c>
      <c r="BD71" s="36">
        <v>0.59339746625321832</v>
      </c>
      <c r="BE71" s="36">
        <v>256.23342152092772</v>
      </c>
      <c r="BF71" s="36">
        <v>0</v>
      </c>
      <c r="BG71" s="36">
        <v>0</v>
      </c>
      <c r="BH71" s="36">
        <v>0</v>
      </c>
      <c r="BI71" s="36">
        <v>0</v>
      </c>
      <c r="BJ71" s="36">
        <v>67.4485317162776</v>
      </c>
      <c r="BK71" s="36">
        <v>0</v>
      </c>
      <c r="BL71" s="36">
        <v>0</v>
      </c>
      <c r="BM71" s="36">
        <v>0</v>
      </c>
      <c r="BN71" s="36">
        <v>0</v>
      </c>
      <c r="BO71" s="36">
        <v>0</v>
      </c>
      <c r="BP71" s="36">
        <v>0</v>
      </c>
      <c r="BQ71" s="36">
        <v>0</v>
      </c>
      <c r="BR71" s="36">
        <v>0</v>
      </c>
      <c r="BS71" s="36">
        <v>0</v>
      </c>
      <c r="BT71" s="36">
        <v>0</v>
      </c>
      <c r="BU71" s="36">
        <v>0</v>
      </c>
      <c r="BV71" s="36">
        <v>0</v>
      </c>
      <c r="BW71" s="36">
        <v>0</v>
      </c>
      <c r="BX71" s="36">
        <v>0</v>
      </c>
      <c r="BY71" s="36">
        <v>0</v>
      </c>
      <c r="BZ71" s="36">
        <v>0</v>
      </c>
      <c r="CA71" s="36">
        <v>0</v>
      </c>
      <c r="CB71" s="36">
        <v>0</v>
      </c>
      <c r="CC71" s="36">
        <v>0</v>
      </c>
      <c r="CD71" s="36">
        <v>0</v>
      </c>
      <c r="CE71" s="36">
        <v>0</v>
      </c>
      <c r="CF71" s="36">
        <v>0</v>
      </c>
      <c r="CG71" s="36">
        <v>0</v>
      </c>
      <c r="CH71" s="36">
        <v>0</v>
      </c>
      <c r="CI71" s="36">
        <v>0</v>
      </c>
      <c r="CJ71" s="36">
        <v>0</v>
      </c>
      <c r="CK71" s="36">
        <v>0</v>
      </c>
      <c r="CL71" s="36">
        <v>0</v>
      </c>
      <c r="CM71" s="36">
        <v>0</v>
      </c>
      <c r="CN71" s="36">
        <v>0</v>
      </c>
      <c r="CO71" s="36">
        <v>0</v>
      </c>
      <c r="CP71" s="36">
        <v>0</v>
      </c>
      <c r="CQ71" s="36">
        <v>0</v>
      </c>
      <c r="CR71" s="36">
        <v>0</v>
      </c>
      <c r="CS71" s="36">
        <v>0</v>
      </c>
      <c r="CT71" s="36">
        <v>0</v>
      </c>
      <c r="CU71" s="36">
        <v>0</v>
      </c>
      <c r="CV71" s="36">
        <v>0</v>
      </c>
      <c r="CW71" s="36">
        <v>0</v>
      </c>
      <c r="CX71" s="36">
        <v>0</v>
      </c>
      <c r="CY71" s="36">
        <v>0</v>
      </c>
      <c r="CZ71" s="36">
        <v>0</v>
      </c>
      <c r="DA71" s="36">
        <v>0</v>
      </c>
      <c r="DB71" s="36">
        <v>0</v>
      </c>
      <c r="DC71" s="36">
        <v>0</v>
      </c>
      <c r="DD71" s="36">
        <v>0</v>
      </c>
      <c r="DE71" s="36">
        <v>0</v>
      </c>
      <c r="DF71" s="36">
        <v>0</v>
      </c>
      <c r="DG71" s="36">
        <v>0</v>
      </c>
      <c r="DH71" s="36">
        <v>0</v>
      </c>
      <c r="DI71" s="36">
        <v>0</v>
      </c>
      <c r="DJ71" s="36">
        <v>0</v>
      </c>
      <c r="DK71" s="36">
        <v>0</v>
      </c>
      <c r="DL71" s="36">
        <v>0</v>
      </c>
      <c r="DM71" s="36">
        <v>0</v>
      </c>
      <c r="DN71" s="36">
        <v>0</v>
      </c>
      <c r="DO71" s="36">
        <v>0</v>
      </c>
      <c r="DP71" s="36">
        <v>0</v>
      </c>
      <c r="DQ71" s="36">
        <v>0</v>
      </c>
      <c r="DR71" s="36">
        <v>0</v>
      </c>
      <c r="DS71" s="36">
        <v>0</v>
      </c>
      <c r="DT71" s="36">
        <v>0</v>
      </c>
      <c r="DU71" s="36">
        <v>0</v>
      </c>
      <c r="DV71" s="36">
        <v>0</v>
      </c>
      <c r="DW71" s="36">
        <v>0</v>
      </c>
      <c r="DX71" s="36">
        <v>0</v>
      </c>
      <c r="DY71" s="36">
        <v>0</v>
      </c>
      <c r="DZ71" s="36">
        <v>0</v>
      </c>
      <c r="EA71" s="36">
        <v>0</v>
      </c>
      <c r="EB71" s="36">
        <v>0</v>
      </c>
      <c r="EC71" s="36">
        <v>0</v>
      </c>
      <c r="ED71" s="36">
        <v>0</v>
      </c>
      <c r="EE71" s="36">
        <v>0</v>
      </c>
      <c r="EF71" s="36">
        <v>0</v>
      </c>
      <c r="EG71" s="36">
        <v>0</v>
      </c>
      <c r="EH71" s="36">
        <v>0</v>
      </c>
      <c r="EI71" s="36">
        <v>0</v>
      </c>
      <c r="EJ71" s="36">
        <v>0</v>
      </c>
      <c r="EK71" s="36">
        <v>0</v>
      </c>
      <c r="EL71" s="36">
        <v>0</v>
      </c>
      <c r="EM71" s="36">
        <v>0</v>
      </c>
      <c r="EN71" s="36">
        <v>0</v>
      </c>
      <c r="EO71" s="36">
        <v>0</v>
      </c>
      <c r="EP71" s="36">
        <v>0</v>
      </c>
      <c r="EQ71" s="36">
        <v>0</v>
      </c>
      <c r="ER71" s="36">
        <v>0</v>
      </c>
      <c r="ES71" s="36">
        <v>0</v>
      </c>
      <c r="ET71" s="36">
        <v>0</v>
      </c>
      <c r="EU71" s="36">
        <v>0</v>
      </c>
      <c r="EV71" s="36">
        <v>0</v>
      </c>
      <c r="EW71" s="36">
        <v>0</v>
      </c>
      <c r="EX71" s="36">
        <v>0</v>
      </c>
      <c r="EY71" s="36">
        <v>0</v>
      </c>
      <c r="EZ71" s="36">
        <v>0</v>
      </c>
      <c r="FA71" s="36">
        <v>0</v>
      </c>
      <c r="FB71" s="36">
        <v>0</v>
      </c>
      <c r="FC71" s="36">
        <v>0</v>
      </c>
      <c r="FD71" s="36">
        <v>0</v>
      </c>
      <c r="FE71" s="36">
        <v>0</v>
      </c>
      <c r="FF71" s="36">
        <v>0</v>
      </c>
      <c r="FG71" s="36">
        <v>0</v>
      </c>
      <c r="FH71" s="36">
        <v>0</v>
      </c>
      <c r="FI71" s="36">
        <v>0</v>
      </c>
      <c r="FJ71" s="36">
        <v>0</v>
      </c>
      <c r="FK71" s="36">
        <v>0</v>
      </c>
      <c r="FL71" s="36">
        <v>0</v>
      </c>
      <c r="FM71" s="36">
        <v>0</v>
      </c>
      <c r="FN71" s="36">
        <v>0</v>
      </c>
      <c r="FO71" s="36">
        <v>0</v>
      </c>
      <c r="FP71" s="36">
        <v>0</v>
      </c>
      <c r="FQ71" s="36">
        <v>0</v>
      </c>
      <c r="FR71" s="36">
        <v>0</v>
      </c>
      <c r="FS71" s="36">
        <v>0</v>
      </c>
      <c r="FT71" s="36">
        <v>0</v>
      </c>
      <c r="FU71" s="36">
        <v>0</v>
      </c>
      <c r="FV71" s="36">
        <v>0</v>
      </c>
      <c r="FW71" s="36">
        <v>0</v>
      </c>
      <c r="FX71" s="36">
        <v>0</v>
      </c>
      <c r="FY71" s="36">
        <v>0</v>
      </c>
      <c r="FZ71" s="36">
        <v>0</v>
      </c>
      <c r="GA71" s="36">
        <v>0</v>
      </c>
      <c r="GB71" s="36">
        <v>0</v>
      </c>
      <c r="GC71" s="36">
        <v>0</v>
      </c>
      <c r="GD71" s="36">
        <v>0</v>
      </c>
      <c r="GE71" s="36">
        <v>0</v>
      </c>
      <c r="GF71" s="36">
        <v>0</v>
      </c>
      <c r="GG71" s="42">
        <v>18.160397110849519</v>
      </c>
      <c r="GH71" s="42">
        <v>27.088322306535677</v>
      </c>
      <c r="GI71" s="42">
        <v>12.025189818642431</v>
      </c>
      <c r="GJ71" s="42">
        <v>10.415410457917519</v>
      </c>
      <c r="GK71" s="42">
        <v>35.320780219370789</v>
      </c>
      <c r="GL71" s="42">
        <v>14.415349105467673</v>
      </c>
      <c r="GM71" s="42">
        <v>11.525726645715292</v>
      </c>
      <c r="GN71" s="42">
        <v>4.3105601336786599</v>
      </c>
      <c r="GO71" s="42">
        <v>0.88399448827604676</v>
      </c>
      <c r="GP71" s="42">
        <v>0</v>
      </c>
      <c r="GQ71" s="42">
        <v>0</v>
      </c>
      <c r="GR71" s="42">
        <v>0</v>
      </c>
      <c r="GS71" s="42">
        <v>1.0385534198671309</v>
      </c>
      <c r="GT71" s="42">
        <v>0</v>
      </c>
      <c r="GU71" s="36">
        <v>0</v>
      </c>
      <c r="GV71" s="36">
        <v>0</v>
      </c>
      <c r="GW71" s="36">
        <v>0</v>
      </c>
      <c r="GX71" s="36">
        <v>0</v>
      </c>
      <c r="GY71" s="36">
        <v>0</v>
      </c>
      <c r="GZ71" s="36">
        <v>0</v>
      </c>
      <c r="HA71" s="38">
        <v>7740.8668597920332</v>
      </c>
      <c r="HB71" s="36">
        <v>67073.541053824214</v>
      </c>
      <c r="HC71" s="36">
        <f t="shared" si="1"/>
        <v>150383.33236432765</v>
      </c>
      <c r="HD71" s="36">
        <f>SUM(BP$5:BP$213)</f>
        <v>150383.33236432765</v>
      </c>
      <c r="HE71" s="41">
        <v>0</v>
      </c>
      <c r="HG71" s="43"/>
      <c r="HH71" s="43"/>
      <c r="HI71" s="43"/>
      <c r="HJ71" s="43"/>
      <c r="HK71" s="43"/>
      <c r="HL71" s="43"/>
      <c r="HM71" s="43"/>
      <c r="HN71" s="43"/>
      <c r="HO71" s="43"/>
      <c r="HP71" s="43"/>
      <c r="HQ71" s="43"/>
      <c r="HR71" s="43"/>
      <c r="HS71" s="43"/>
      <c r="HT71" s="43"/>
    </row>
    <row r="72" spans="1:228" hidden="1" outlineLevel="1" x14ac:dyDescent="0.2">
      <c r="A72" s="9" t="s">
        <v>1500</v>
      </c>
      <c r="B72" s="36">
        <v>0</v>
      </c>
      <c r="C72" s="36">
        <v>0</v>
      </c>
      <c r="D72" s="36">
        <v>0</v>
      </c>
      <c r="E72" s="36">
        <v>0</v>
      </c>
      <c r="F72" s="36">
        <v>0</v>
      </c>
      <c r="G72" s="36">
        <v>0</v>
      </c>
      <c r="H72" s="36">
        <v>0</v>
      </c>
      <c r="I72" s="36">
        <v>0</v>
      </c>
      <c r="J72" s="36">
        <v>0</v>
      </c>
      <c r="K72" s="36">
        <v>0</v>
      </c>
      <c r="L72" s="36">
        <v>0</v>
      </c>
      <c r="M72" s="36">
        <v>0</v>
      </c>
      <c r="N72" s="36">
        <v>0</v>
      </c>
      <c r="O72" s="36">
        <v>0</v>
      </c>
      <c r="P72" s="36">
        <v>0</v>
      </c>
      <c r="Q72" s="36">
        <v>0</v>
      </c>
      <c r="R72" s="36">
        <v>151424.64000918515</v>
      </c>
      <c r="S72" s="36">
        <v>6228.6723584690035</v>
      </c>
      <c r="T72" s="36">
        <v>884.50603087634317</v>
      </c>
      <c r="U72" s="36">
        <v>0</v>
      </c>
      <c r="V72" s="36">
        <v>0</v>
      </c>
      <c r="W72" s="36">
        <v>0</v>
      </c>
      <c r="X72" s="36">
        <v>0</v>
      </c>
      <c r="Y72" s="36">
        <v>0</v>
      </c>
      <c r="Z72" s="36">
        <v>0</v>
      </c>
      <c r="AA72" s="36">
        <v>0</v>
      </c>
      <c r="AB72" s="36">
        <v>0</v>
      </c>
      <c r="AC72" s="36">
        <v>0</v>
      </c>
      <c r="AD72" s="36">
        <v>0</v>
      </c>
      <c r="AE72" s="36">
        <v>0</v>
      </c>
      <c r="AF72" s="36">
        <v>0</v>
      </c>
      <c r="AG72" s="36">
        <v>0</v>
      </c>
      <c r="AH72" s="36">
        <v>0</v>
      </c>
      <c r="AI72" s="36">
        <v>0</v>
      </c>
      <c r="AJ72" s="36">
        <v>0</v>
      </c>
      <c r="AK72" s="36">
        <v>0</v>
      </c>
      <c r="AL72" s="36">
        <v>0</v>
      </c>
      <c r="AM72" s="36">
        <v>0</v>
      </c>
      <c r="AN72" s="36">
        <v>0</v>
      </c>
      <c r="AO72" s="36">
        <v>0</v>
      </c>
      <c r="AP72" s="36">
        <v>0</v>
      </c>
      <c r="AQ72" s="36">
        <v>0</v>
      </c>
      <c r="AR72" s="36">
        <v>0</v>
      </c>
      <c r="AS72" s="36">
        <v>0</v>
      </c>
      <c r="AT72" s="36">
        <v>48.008309177277212</v>
      </c>
      <c r="AU72" s="36">
        <v>0</v>
      </c>
      <c r="AV72" s="36">
        <v>0</v>
      </c>
      <c r="AW72" s="36">
        <v>0</v>
      </c>
      <c r="AX72" s="36">
        <v>0</v>
      </c>
      <c r="AY72" s="36">
        <v>0</v>
      </c>
      <c r="AZ72" s="36">
        <v>0</v>
      </c>
      <c r="BA72" s="36">
        <v>0</v>
      </c>
      <c r="BB72" s="36">
        <v>0</v>
      </c>
      <c r="BC72" s="36">
        <v>0</v>
      </c>
      <c r="BD72" s="36">
        <v>0</v>
      </c>
      <c r="BE72" s="36">
        <v>0</v>
      </c>
      <c r="BF72" s="36">
        <v>0</v>
      </c>
      <c r="BG72" s="36">
        <v>0</v>
      </c>
      <c r="BH72" s="36">
        <v>0</v>
      </c>
      <c r="BI72" s="36">
        <v>0</v>
      </c>
      <c r="BJ72" s="36">
        <v>0</v>
      </c>
      <c r="BK72" s="36">
        <v>0</v>
      </c>
      <c r="BL72" s="36">
        <v>0</v>
      </c>
      <c r="BM72" s="36">
        <v>0</v>
      </c>
      <c r="BN72" s="36">
        <v>0</v>
      </c>
      <c r="BO72" s="36">
        <v>0</v>
      </c>
      <c r="BP72" s="36">
        <v>0</v>
      </c>
      <c r="BQ72" s="36">
        <v>0</v>
      </c>
      <c r="BR72" s="36">
        <v>0</v>
      </c>
      <c r="BS72" s="36">
        <v>0</v>
      </c>
      <c r="BT72" s="36">
        <v>0</v>
      </c>
      <c r="BU72" s="36">
        <v>0</v>
      </c>
      <c r="BV72" s="36">
        <v>0</v>
      </c>
      <c r="BW72" s="36">
        <v>0</v>
      </c>
      <c r="BX72" s="36">
        <v>0</v>
      </c>
      <c r="BY72" s="36">
        <v>0</v>
      </c>
      <c r="BZ72" s="36">
        <v>0</v>
      </c>
      <c r="CA72" s="36">
        <v>0</v>
      </c>
      <c r="CB72" s="36">
        <v>0</v>
      </c>
      <c r="CC72" s="36">
        <v>0</v>
      </c>
      <c r="CD72" s="36">
        <v>0</v>
      </c>
      <c r="CE72" s="36">
        <v>0</v>
      </c>
      <c r="CF72" s="36">
        <v>0</v>
      </c>
      <c r="CG72" s="36">
        <v>0</v>
      </c>
      <c r="CH72" s="36">
        <v>0</v>
      </c>
      <c r="CI72" s="36">
        <v>0</v>
      </c>
      <c r="CJ72" s="36">
        <v>0</v>
      </c>
      <c r="CK72" s="36">
        <v>0</v>
      </c>
      <c r="CL72" s="36">
        <v>0</v>
      </c>
      <c r="CM72" s="36">
        <v>0</v>
      </c>
      <c r="CN72" s="36">
        <v>0</v>
      </c>
      <c r="CO72" s="36">
        <v>0</v>
      </c>
      <c r="CP72" s="36">
        <v>0</v>
      </c>
      <c r="CQ72" s="36">
        <v>0</v>
      </c>
      <c r="CR72" s="36">
        <v>0</v>
      </c>
      <c r="CS72" s="36">
        <v>0</v>
      </c>
      <c r="CT72" s="36">
        <v>0</v>
      </c>
      <c r="CU72" s="36">
        <v>0</v>
      </c>
      <c r="CV72" s="36">
        <v>0</v>
      </c>
      <c r="CW72" s="36">
        <v>0</v>
      </c>
      <c r="CX72" s="36">
        <v>0</v>
      </c>
      <c r="CY72" s="36">
        <v>0</v>
      </c>
      <c r="CZ72" s="36">
        <v>0</v>
      </c>
      <c r="DA72" s="36">
        <v>0</v>
      </c>
      <c r="DB72" s="36">
        <v>0</v>
      </c>
      <c r="DC72" s="36">
        <v>0</v>
      </c>
      <c r="DD72" s="36">
        <v>0</v>
      </c>
      <c r="DE72" s="36">
        <v>0</v>
      </c>
      <c r="DF72" s="36">
        <v>0</v>
      </c>
      <c r="DG72" s="36">
        <v>0</v>
      </c>
      <c r="DH72" s="36">
        <v>0</v>
      </c>
      <c r="DI72" s="36">
        <v>0</v>
      </c>
      <c r="DJ72" s="36">
        <v>0</v>
      </c>
      <c r="DK72" s="36">
        <v>0</v>
      </c>
      <c r="DL72" s="36">
        <v>0</v>
      </c>
      <c r="DM72" s="36">
        <v>0</v>
      </c>
      <c r="DN72" s="36">
        <v>0</v>
      </c>
      <c r="DO72" s="36">
        <v>0</v>
      </c>
      <c r="DP72" s="36">
        <v>0</v>
      </c>
      <c r="DQ72" s="36">
        <v>0</v>
      </c>
      <c r="DR72" s="36">
        <v>0</v>
      </c>
      <c r="DS72" s="36">
        <v>0</v>
      </c>
      <c r="DT72" s="36">
        <v>0</v>
      </c>
      <c r="DU72" s="36">
        <v>0</v>
      </c>
      <c r="DV72" s="36">
        <v>0</v>
      </c>
      <c r="DW72" s="36">
        <v>0</v>
      </c>
      <c r="DX72" s="36">
        <v>0</v>
      </c>
      <c r="DY72" s="36">
        <v>0</v>
      </c>
      <c r="DZ72" s="36">
        <v>0</v>
      </c>
      <c r="EA72" s="36">
        <v>0</v>
      </c>
      <c r="EB72" s="36">
        <v>0</v>
      </c>
      <c r="EC72" s="36">
        <v>0</v>
      </c>
      <c r="ED72" s="36">
        <v>0</v>
      </c>
      <c r="EE72" s="36">
        <v>0</v>
      </c>
      <c r="EF72" s="36">
        <v>0</v>
      </c>
      <c r="EG72" s="36">
        <v>0</v>
      </c>
      <c r="EH72" s="36">
        <v>0</v>
      </c>
      <c r="EI72" s="36">
        <v>0</v>
      </c>
      <c r="EJ72" s="36">
        <v>0</v>
      </c>
      <c r="EK72" s="36">
        <v>0</v>
      </c>
      <c r="EL72" s="36">
        <v>0</v>
      </c>
      <c r="EM72" s="36">
        <v>0</v>
      </c>
      <c r="EN72" s="36">
        <v>0</v>
      </c>
      <c r="EO72" s="36">
        <v>0</v>
      </c>
      <c r="EP72" s="36">
        <v>0</v>
      </c>
      <c r="EQ72" s="36">
        <v>0</v>
      </c>
      <c r="ER72" s="36">
        <v>0</v>
      </c>
      <c r="ES72" s="36">
        <v>0</v>
      </c>
      <c r="ET72" s="36">
        <v>0</v>
      </c>
      <c r="EU72" s="36">
        <v>0</v>
      </c>
      <c r="EV72" s="36">
        <v>0</v>
      </c>
      <c r="EW72" s="36">
        <v>0</v>
      </c>
      <c r="EX72" s="36">
        <v>0</v>
      </c>
      <c r="EY72" s="36">
        <v>0</v>
      </c>
      <c r="EZ72" s="36">
        <v>0</v>
      </c>
      <c r="FA72" s="36">
        <v>0</v>
      </c>
      <c r="FB72" s="36">
        <v>0</v>
      </c>
      <c r="FC72" s="36">
        <v>0</v>
      </c>
      <c r="FD72" s="36">
        <v>0</v>
      </c>
      <c r="FE72" s="36">
        <v>0</v>
      </c>
      <c r="FF72" s="36">
        <v>0</v>
      </c>
      <c r="FG72" s="36">
        <v>0</v>
      </c>
      <c r="FH72" s="36">
        <v>0</v>
      </c>
      <c r="FI72" s="36">
        <v>0</v>
      </c>
      <c r="FJ72" s="36">
        <v>0</v>
      </c>
      <c r="FK72" s="36">
        <v>0</v>
      </c>
      <c r="FL72" s="36">
        <v>0</v>
      </c>
      <c r="FM72" s="36">
        <v>0</v>
      </c>
      <c r="FN72" s="36">
        <v>0</v>
      </c>
      <c r="FO72" s="36">
        <v>0</v>
      </c>
      <c r="FP72" s="36">
        <v>0</v>
      </c>
      <c r="FQ72" s="36">
        <v>0</v>
      </c>
      <c r="FR72" s="36">
        <v>0</v>
      </c>
      <c r="FS72" s="36">
        <v>0</v>
      </c>
      <c r="FT72" s="36">
        <v>0</v>
      </c>
      <c r="FU72" s="36">
        <v>0</v>
      </c>
      <c r="FV72" s="36">
        <v>0</v>
      </c>
      <c r="FW72" s="36">
        <v>0</v>
      </c>
      <c r="FX72" s="36">
        <v>0</v>
      </c>
      <c r="FY72" s="36">
        <v>0</v>
      </c>
      <c r="FZ72" s="36">
        <v>0</v>
      </c>
      <c r="GA72" s="36">
        <v>0</v>
      </c>
      <c r="GB72" s="36">
        <v>0</v>
      </c>
      <c r="GC72" s="36">
        <v>0</v>
      </c>
      <c r="GD72" s="36">
        <v>0</v>
      </c>
      <c r="GE72" s="36">
        <v>0</v>
      </c>
      <c r="GF72" s="36">
        <v>0</v>
      </c>
      <c r="GG72" s="42">
        <v>0</v>
      </c>
      <c r="GH72" s="42">
        <v>0</v>
      </c>
      <c r="GI72" s="42">
        <v>0</v>
      </c>
      <c r="GJ72" s="42">
        <v>0</v>
      </c>
      <c r="GK72" s="42">
        <v>0</v>
      </c>
      <c r="GL72" s="42">
        <v>0</v>
      </c>
      <c r="GM72" s="42">
        <v>0</v>
      </c>
      <c r="GN72" s="42">
        <v>0</v>
      </c>
      <c r="GO72" s="42">
        <v>0</v>
      </c>
      <c r="GP72" s="42">
        <v>0</v>
      </c>
      <c r="GQ72" s="42">
        <v>0</v>
      </c>
      <c r="GR72" s="42">
        <v>0</v>
      </c>
      <c r="GS72" s="42">
        <v>0</v>
      </c>
      <c r="GT72" s="42">
        <v>0</v>
      </c>
      <c r="GU72" s="36">
        <v>0</v>
      </c>
      <c r="GV72" s="36">
        <v>0</v>
      </c>
      <c r="GW72" s="36">
        <v>0</v>
      </c>
      <c r="GX72" s="36">
        <v>0</v>
      </c>
      <c r="GY72" s="36">
        <v>0</v>
      </c>
      <c r="GZ72" s="36">
        <v>0</v>
      </c>
      <c r="HA72" s="38">
        <v>-1924.3393681233574</v>
      </c>
      <c r="HB72" s="36">
        <v>99.027306064662199</v>
      </c>
      <c r="HC72" s="36">
        <f t="shared" si="1"/>
        <v>156760.51464564906</v>
      </c>
      <c r="HD72" s="36">
        <f>SUM(BQ$5:BQ$213)</f>
        <v>156760.51464564906</v>
      </c>
      <c r="HE72" s="41">
        <v>0</v>
      </c>
      <c r="HG72" s="43"/>
      <c r="HH72" s="43"/>
      <c r="HI72" s="43"/>
      <c r="HJ72" s="43"/>
      <c r="HK72" s="43"/>
      <c r="HL72" s="43"/>
      <c r="HM72" s="43"/>
      <c r="HN72" s="43"/>
      <c r="HO72" s="43"/>
      <c r="HP72" s="43"/>
      <c r="HQ72" s="43"/>
      <c r="HR72" s="43"/>
      <c r="HS72" s="43"/>
      <c r="HT72" s="43"/>
    </row>
    <row r="73" spans="1:228" hidden="1" outlineLevel="1" x14ac:dyDescent="0.2">
      <c r="A73" s="9" t="s">
        <v>667</v>
      </c>
      <c r="B73" s="36">
        <v>0</v>
      </c>
      <c r="C73" s="36">
        <v>0</v>
      </c>
      <c r="D73" s="36">
        <v>0</v>
      </c>
      <c r="E73" s="36">
        <v>0</v>
      </c>
      <c r="F73" s="36">
        <v>0</v>
      </c>
      <c r="G73" s="36">
        <v>0</v>
      </c>
      <c r="H73" s="36">
        <v>0</v>
      </c>
      <c r="I73" s="36">
        <v>47.493971125867375</v>
      </c>
      <c r="J73" s="36">
        <v>0</v>
      </c>
      <c r="K73" s="36">
        <v>24.411019054547115</v>
      </c>
      <c r="L73" s="36">
        <v>0</v>
      </c>
      <c r="M73" s="36">
        <v>0</v>
      </c>
      <c r="N73" s="36">
        <v>0</v>
      </c>
      <c r="O73" s="36">
        <v>0</v>
      </c>
      <c r="P73" s="36">
        <v>0</v>
      </c>
      <c r="Q73" s="36">
        <v>0</v>
      </c>
      <c r="R73" s="36">
        <v>0</v>
      </c>
      <c r="S73" s="36">
        <v>1977.0874295906551</v>
      </c>
      <c r="T73" s="36">
        <v>149.08674586564149</v>
      </c>
      <c r="U73" s="36">
        <v>0</v>
      </c>
      <c r="V73" s="36">
        <v>0</v>
      </c>
      <c r="W73" s="36">
        <v>97.622267332265153</v>
      </c>
      <c r="X73" s="36">
        <v>11.311762366176325</v>
      </c>
      <c r="Y73" s="36">
        <v>83559.447674020383</v>
      </c>
      <c r="Z73" s="36">
        <v>5479.1820598652521</v>
      </c>
      <c r="AA73" s="36">
        <v>3026.0292239462387</v>
      </c>
      <c r="AB73" s="36">
        <v>339.4035044668326</v>
      </c>
      <c r="AC73" s="36">
        <v>9.6005840460097325</v>
      </c>
      <c r="AD73" s="36">
        <v>0</v>
      </c>
      <c r="AE73" s="36">
        <v>35451.200419969646</v>
      </c>
      <c r="AF73" s="36">
        <v>1.9755879699408787</v>
      </c>
      <c r="AG73" s="36">
        <v>0</v>
      </c>
      <c r="AH73" s="36">
        <v>0</v>
      </c>
      <c r="AI73" s="36">
        <v>0</v>
      </c>
      <c r="AJ73" s="36">
        <v>0</v>
      </c>
      <c r="AK73" s="36">
        <v>0</v>
      </c>
      <c r="AL73" s="36">
        <v>0</v>
      </c>
      <c r="AM73" s="36">
        <v>0</v>
      </c>
      <c r="AN73" s="36">
        <v>0</v>
      </c>
      <c r="AO73" s="36">
        <v>0</v>
      </c>
      <c r="AP73" s="36">
        <v>0</v>
      </c>
      <c r="AQ73" s="36">
        <v>0</v>
      </c>
      <c r="AR73" s="36">
        <v>0</v>
      </c>
      <c r="AS73" s="36">
        <v>0</v>
      </c>
      <c r="AT73" s="36">
        <v>0</v>
      </c>
      <c r="AU73" s="36">
        <v>0</v>
      </c>
      <c r="AV73" s="36">
        <v>0</v>
      </c>
      <c r="AW73" s="36">
        <v>0</v>
      </c>
      <c r="AX73" s="36">
        <v>0</v>
      </c>
      <c r="AY73" s="36">
        <v>0</v>
      </c>
      <c r="AZ73" s="36">
        <v>0</v>
      </c>
      <c r="BA73" s="36">
        <v>0</v>
      </c>
      <c r="BB73" s="36">
        <v>0</v>
      </c>
      <c r="BC73" s="36">
        <v>0</v>
      </c>
      <c r="BD73" s="36">
        <v>0</v>
      </c>
      <c r="BE73" s="36">
        <v>0</v>
      </c>
      <c r="BF73" s="36">
        <v>0</v>
      </c>
      <c r="BG73" s="36">
        <v>0</v>
      </c>
      <c r="BH73" s="36">
        <v>0</v>
      </c>
      <c r="BI73" s="36">
        <v>0</v>
      </c>
      <c r="BJ73" s="36">
        <v>0</v>
      </c>
      <c r="BK73" s="36">
        <v>0</v>
      </c>
      <c r="BL73" s="36">
        <v>0</v>
      </c>
      <c r="BM73" s="36">
        <v>0</v>
      </c>
      <c r="BN73" s="36">
        <v>0</v>
      </c>
      <c r="BO73" s="36">
        <v>0</v>
      </c>
      <c r="BP73" s="36">
        <v>0</v>
      </c>
      <c r="BQ73" s="36">
        <v>0</v>
      </c>
      <c r="BR73" s="36">
        <v>0</v>
      </c>
      <c r="BS73" s="36">
        <v>0</v>
      </c>
      <c r="BT73" s="36">
        <v>0</v>
      </c>
      <c r="BU73" s="36">
        <v>0</v>
      </c>
      <c r="BV73" s="36">
        <v>0</v>
      </c>
      <c r="BW73" s="36">
        <v>0</v>
      </c>
      <c r="BX73" s="36">
        <v>0</v>
      </c>
      <c r="BY73" s="36">
        <v>0</v>
      </c>
      <c r="BZ73" s="36">
        <v>0</v>
      </c>
      <c r="CA73" s="36">
        <v>0</v>
      </c>
      <c r="CB73" s="36">
        <v>0</v>
      </c>
      <c r="CC73" s="36">
        <v>0</v>
      </c>
      <c r="CD73" s="36">
        <v>0</v>
      </c>
      <c r="CE73" s="36">
        <v>0</v>
      </c>
      <c r="CF73" s="36">
        <v>0</v>
      </c>
      <c r="CG73" s="36">
        <v>0</v>
      </c>
      <c r="CH73" s="36">
        <v>0</v>
      </c>
      <c r="CI73" s="36">
        <v>0</v>
      </c>
      <c r="CJ73" s="36">
        <v>0</v>
      </c>
      <c r="CK73" s="36">
        <v>0</v>
      </c>
      <c r="CL73" s="36">
        <v>0</v>
      </c>
      <c r="CM73" s="36">
        <v>0</v>
      </c>
      <c r="CN73" s="36">
        <v>0</v>
      </c>
      <c r="CO73" s="36">
        <v>0</v>
      </c>
      <c r="CP73" s="36">
        <v>0</v>
      </c>
      <c r="CQ73" s="36">
        <v>0</v>
      </c>
      <c r="CR73" s="36">
        <v>0</v>
      </c>
      <c r="CS73" s="36">
        <v>0</v>
      </c>
      <c r="CT73" s="36">
        <v>0</v>
      </c>
      <c r="CU73" s="36">
        <v>0</v>
      </c>
      <c r="CV73" s="36">
        <v>0</v>
      </c>
      <c r="CW73" s="36">
        <v>0</v>
      </c>
      <c r="CX73" s="36">
        <v>0</v>
      </c>
      <c r="CY73" s="36">
        <v>0</v>
      </c>
      <c r="CZ73" s="36">
        <v>0</v>
      </c>
      <c r="DA73" s="36">
        <v>0</v>
      </c>
      <c r="DB73" s="36">
        <v>0</v>
      </c>
      <c r="DC73" s="36">
        <v>0</v>
      </c>
      <c r="DD73" s="36">
        <v>0</v>
      </c>
      <c r="DE73" s="36">
        <v>0</v>
      </c>
      <c r="DF73" s="36">
        <v>0</v>
      </c>
      <c r="DG73" s="36">
        <v>0</v>
      </c>
      <c r="DH73" s="36">
        <v>0</v>
      </c>
      <c r="DI73" s="36">
        <v>0</v>
      </c>
      <c r="DJ73" s="36">
        <v>0</v>
      </c>
      <c r="DK73" s="36">
        <v>0</v>
      </c>
      <c r="DL73" s="36">
        <v>0</v>
      </c>
      <c r="DM73" s="36">
        <v>0</v>
      </c>
      <c r="DN73" s="36">
        <v>0</v>
      </c>
      <c r="DO73" s="36">
        <v>0</v>
      </c>
      <c r="DP73" s="36">
        <v>0</v>
      </c>
      <c r="DQ73" s="36">
        <v>0</v>
      </c>
      <c r="DR73" s="36">
        <v>0</v>
      </c>
      <c r="DS73" s="36">
        <v>0</v>
      </c>
      <c r="DT73" s="36">
        <v>0</v>
      </c>
      <c r="DU73" s="36">
        <v>0</v>
      </c>
      <c r="DV73" s="36">
        <v>0</v>
      </c>
      <c r="DW73" s="36">
        <v>0</v>
      </c>
      <c r="DX73" s="36">
        <v>0</v>
      </c>
      <c r="DY73" s="36">
        <v>0</v>
      </c>
      <c r="DZ73" s="36">
        <v>0</v>
      </c>
      <c r="EA73" s="36">
        <v>0</v>
      </c>
      <c r="EB73" s="36">
        <v>0</v>
      </c>
      <c r="EC73" s="36">
        <v>0</v>
      </c>
      <c r="ED73" s="36">
        <v>0</v>
      </c>
      <c r="EE73" s="36">
        <v>0</v>
      </c>
      <c r="EF73" s="36">
        <v>0</v>
      </c>
      <c r="EG73" s="36">
        <v>0</v>
      </c>
      <c r="EH73" s="36">
        <v>0</v>
      </c>
      <c r="EI73" s="36">
        <v>0</v>
      </c>
      <c r="EJ73" s="36">
        <v>0</v>
      </c>
      <c r="EK73" s="36">
        <v>0</v>
      </c>
      <c r="EL73" s="36">
        <v>0</v>
      </c>
      <c r="EM73" s="36">
        <v>0</v>
      </c>
      <c r="EN73" s="36">
        <v>0</v>
      </c>
      <c r="EO73" s="36">
        <v>0</v>
      </c>
      <c r="EP73" s="36">
        <v>0</v>
      </c>
      <c r="EQ73" s="36">
        <v>0</v>
      </c>
      <c r="ER73" s="36">
        <v>0</v>
      </c>
      <c r="ES73" s="36">
        <v>0</v>
      </c>
      <c r="ET73" s="36">
        <v>0</v>
      </c>
      <c r="EU73" s="36">
        <v>0</v>
      </c>
      <c r="EV73" s="36">
        <v>0</v>
      </c>
      <c r="EW73" s="36">
        <v>0</v>
      </c>
      <c r="EX73" s="36">
        <v>0</v>
      </c>
      <c r="EY73" s="36">
        <v>0</v>
      </c>
      <c r="EZ73" s="36">
        <v>0</v>
      </c>
      <c r="FA73" s="36">
        <v>0</v>
      </c>
      <c r="FB73" s="36">
        <v>0</v>
      </c>
      <c r="FC73" s="36">
        <v>0</v>
      </c>
      <c r="FD73" s="36">
        <v>0</v>
      </c>
      <c r="FE73" s="36">
        <v>0</v>
      </c>
      <c r="FF73" s="36">
        <v>0</v>
      </c>
      <c r="FG73" s="36">
        <v>0</v>
      </c>
      <c r="FH73" s="36">
        <v>0</v>
      </c>
      <c r="FI73" s="36">
        <v>0</v>
      </c>
      <c r="FJ73" s="36">
        <v>0</v>
      </c>
      <c r="FK73" s="36">
        <v>0</v>
      </c>
      <c r="FL73" s="36">
        <v>0</v>
      </c>
      <c r="FM73" s="36">
        <v>0</v>
      </c>
      <c r="FN73" s="36">
        <v>0</v>
      </c>
      <c r="FO73" s="36">
        <v>0</v>
      </c>
      <c r="FP73" s="36">
        <v>0</v>
      </c>
      <c r="FQ73" s="36">
        <v>0</v>
      </c>
      <c r="FR73" s="36">
        <v>0</v>
      </c>
      <c r="FS73" s="36">
        <v>0</v>
      </c>
      <c r="FT73" s="36">
        <v>0</v>
      </c>
      <c r="FU73" s="36">
        <v>0</v>
      </c>
      <c r="FV73" s="36">
        <v>0</v>
      </c>
      <c r="FW73" s="36">
        <v>0</v>
      </c>
      <c r="FX73" s="36">
        <v>0</v>
      </c>
      <c r="FY73" s="36">
        <v>0</v>
      </c>
      <c r="FZ73" s="36">
        <v>0</v>
      </c>
      <c r="GA73" s="36">
        <v>0</v>
      </c>
      <c r="GB73" s="36">
        <v>0</v>
      </c>
      <c r="GC73" s="36">
        <v>0</v>
      </c>
      <c r="GD73" s="36">
        <v>0</v>
      </c>
      <c r="GE73" s="36">
        <v>0</v>
      </c>
      <c r="GF73" s="36">
        <v>0</v>
      </c>
      <c r="GG73" s="42">
        <v>0</v>
      </c>
      <c r="GH73" s="42">
        <v>0</v>
      </c>
      <c r="GI73" s="42">
        <v>0</v>
      </c>
      <c r="GJ73" s="42">
        <v>0</v>
      </c>
      <c r="GK73" s="42">
        <v>0</v>
      </c>
      <c r="GL73" s="42">
        <v>0</v>
      </c>
      <c r="GM73" s="42">
        <v>0</v>
      </c>
      <c r="GN73" s="42">
        <v>0</v>
      </c>
      <c r="GO73" s="42">
        <v>0</v>
      </c>
      <c r="GP73" s="42">
        <v>0</v>
      </c>
      <c r="GQ73" s="42">
        <v>0</v>
      </c>
      <c r="GR73" s="42">
        <v>0</v>
      </c>
      <c r="GS73" s="42">
        <v>0</v>
      </c>
      <c r="GT73" s="42">
        <v>0</v>
      </c>
      <c r="GU73" s="36">
        <v>0</v>
      </c>
      <c r="GV73" s="36">
        <v>0</v>
      </c>
      <c r="GW73" s="36">
        <v>0</v>
      </c>
      <c r="GX73" s="36">
        <v>0</v>
      </c>
      <c r="GY73" s="36">
        <v>0</v>
      </c>
      <c r="GZ73" s="36">
        <v>0</v>
      </c>
      <c r="HA73" s="38">
        <v>585.94993017899105</v>
      </c>
      <c r="HB73" s="36">
        <v>180255.79651514877</v>
      </c>
      <c r="HC73" s="36">
        <f t="shared" si="1"/>
        <v>311015.5986949472</v>
      </c>
      <c r="HD73" s="36">
        <f>SUM(BR$5:BR$213)</f>
        <v>311015.59869494726</v>
      </c>
      <c r="HE73" s="41">
        <v>0</v>
      </c>
      <c r="HG73" s="43"/>
      <c r="HH73" s="43"/>
      <c r="HI73" s="43"/>
      <c r="HJ73" s="43"/>
      <c r="HK73" s="43"/>
      <c r="HL73" s="43"/>
      <c r="HM73" s="43"/>
      <c r="HN73" s="43"/>
      <c r="HO73" s="43"/>
      <c r="HP73" s="43"/>
      <c r="HQ73" s="43"/>
      <c r="HR73" s="43"/>
      <c r="HS73" s="43"/>
      <c r="HT73" s="43"/>
    </row>
    <row r="74" spans="1:228" hidden="1" outlineLevel="1" x14ac:dyDescent="0.2">
      <c r="A74" s="9" t="s">
        <v>1501</v>
      </c>
      <c r="B74" s="36">
        <v>0</v>
      </c>
      <c r="C74" s="36">
        <v>0</v>
      </c>
      <c r="D74" s="36">
        <v>0</v>
      </c>
      <c r="E74" s="36">
        <v>135.4787858990409</v>
      </c>
      <c r="F74" s="36">
        <v>117.5454676946579</v>
      </c>
      <c r="G74" s="36">
        <v>1199.3888665060072</v>
      </c>
      <c r="H74" s="36">
        <v>995.10374926349857</v>
      </c>
      <c r="I74" s="36">
        <v>6.977915905421192E-2</v>
      </c>
      <c r="J74" s="36">
        <v>0</v>
      </c>
      <c r="K74" s="36">
        <v>0</v>
      </c>
      <c r="L74" s="36">
        <v>0</v>
      </c>
      <c r="M74" s="36">
        <v>0</v>
      </c>
      <c r="N74" s="36">
        <v>0</v>
      </c>
      <c r="O74" s="36">
        <v>0</v>
      </c>
      <c r="P74" s="36">
        <v>0</v>
      </c>
      <c r="Q74" s="36">
        <v>0</v>
      </c>
      <c r="R74" s="36">
        <v>2564.8886934200386</v>
      </c>
      <c r="S74" s="36">
        <v>132.80939019967045</v>
      </c>
      <c r="T74" s="36">
        <v>601.11729606390509</v>
      </c>
      <c r="U74" s="36">
        <v>10.301003453340208</v>
      </c>
      <c r="V74" s="36">
        <v>124.36551851615863</v>
      </c>
      <c r="W74" s="36">
        <v>567.31145224644979</v>
      </c>
      <c r="X74" s="36">
        <v>9795.6827527580263</v>
      </c>
      <c r="Y74" s="36">
        <v>31.476713873460874</v>
      </c>
      <c r="Z74" s="36">
        <v>0</v>
      </c>
      <c r="AA74" s="36">
        <v>3.9685461013797365</v>
      </c>
      <c r="AB74" s="36">
        <v>2.2663189574663365</v>
      </c>
      <c r="AC74" s="36">
        <v>0</v>
      </c>
      <c r="AD74" s="36">
        <v>0</v>
      </c>
      <c r="AE74" s="36">
        <v>0</v>
      </c>
      <c r="AF74" s="36">
        <v>0</v>
      </c>
      <c r="AG74" s="36">
        <v>0</v>
      </c>
      <c r="AH74" s="36">
        <v>0</v>
      </c>
      <c r="AI74" s="36">
        <v>0</v>
      </c>
      <c r="AJ74" s="36">
        <v>0</v>
      </c>
      <c r="AK74" s="36">
        <v>11619.857381531418</v>
      </c>
      <c r="AL74" s="36">
        <v>0</v>
      </c>
      <c r="AM74" s="36">
        <v>0</v>
      </c>
      <c r="AN74" s="36">
        <v>0</v>
      </c>
      <c r="AO74" s="36">
        <v>0</v>
      </c>
      <c r="AP74" s="36">
        <v>0</v>
      </c>
      <c r="AQ74" s="36">
        <v>0</v>
      </c>
      <c r="AR74" s="36">
        <v>0</v>
      </c>
      <c r="AS74" s="36">
        <v>0</v>
      </c>
      <c r="AT74" s="36">
        <v>0</v>
      </c>
      <c r="AU74" s="36">
        <v>0</v>
      </c>
      <c r="AV74" s="36">
        <v>0</v>
      </c>
      <c r="AW74" s="36">
        <v>0</v>
      </c>
      <c r="AX74" s="36">
        <v>1157.3735700340244</v>
      </c>
      <c r="AY74" s="36">
        <v>0</v>
      </c>
      <c r="AZ74" s="36">
        <v>0</v>
      </c>
      <c r="BA74" s="36">
        <v>0</v>
      </c>
      <c r="BB74" s="36">
        <v>0</v>
      </c>
      <c r="BC74" s="36">
        <v>17.2092846411939</v>
      </c>
      <c r="BD74" s="36">
        <v>3.1216825425170924E-4</v>
      </c>
      <c r="BE74" s="36">
        <v>0.4742917301801719</v>
      </c>
      <c r="BF74" s="36">
        <v>0</v>
      </c>
      <c r="BG74" s="36">
        <v>0</v>
      </c>
      <c r="BH74" s="36">
        <v>0</v>
      </c>
      <c r="BI74" s="36">
        <v>0</v>
      </c>
      <c r="BJ74" s="36">
        <v>765.62018713884379</v>
      </c>
      <c r="BK74" s="36">
        <v>0</v>
      </c>
      <c r="BL74" s="36">
        <v>0</v>
      </c>
      <c r="BM74" s="36">
        <v>0</v>
      </c>
      <c r="BN74" s="36">
        <v>0</v>
      </c>
      <c r="BO74" s="36">
        <v>0</v>
      </c>
      <c r="BP74" s="36">
        <v>0</v>
      </c>
      <c r="BQ74" s="36">
        <v>0</v>
      </c>
      <c r="BR74" s="36">
        <v>0</v>
      </c>
      <c r="BS74" s="36">
        <v>0</v>
      </c>
      <c r="BT74" s="36">
        <v>0</v>
      </c>
      <c r="BU74" s="36">
        <v>0</v>
      </c>
      <c r="BV74" s="36">
        <v>0</v>
      </c>
      <c r="BW74" s="36">
        <v>0</v>
      </c>
      <c r="BX74" s="36">
        <v>0</v>
      </c>
      <c r="BY74" s="36">
        <v>0</v>
      </c>
      <c r="BZ74" s="36">
        <v>0</v>
      </c>
      <c r="CA74" s="36">
        <v>0</v>
      </c>
      <c r="CB74" s="36">
        <v>0</v>
      </c>
      <c r="CC74" s="36">
        <v>0</v>
      </c>
      <c r="CD74" s="36">
        <v>0</v>
      </c>
      <c r="CE74" s="36">
        <v>0</v>
      </c>
      <c r="CF74" s="36">
        <v>0</v>
      </c>
      <c r="CG74" s="36">
        <v>0</v>
      </c>
      <c r="CH74" s="36">
        <v>0</v>
      </c>
      <c r="CI74" s="36">
        <v>0</v>
      </c>
      <c r="CJ74" s="36">
        <v>0</v>
      </c>
      <c r="CK74" s="36">
        <v>0</v>
      </c>
      <c r="CL74" s="36">
        <v>0</v>
      </c>
      <c r="CM74" s="36">
        <v>0</v>
      </c>
      <c r="CN74" s="36">
        <v>0</v>
      </c>
      <c r="CO74" s="36">
        <v>0</v>
      </c>
      <c r="CP74" s="36">
        <v>0</v>
      </c>
      <c r="CQ74" s="36">
        <v>0</v>
      </c>
      <c r="CR74" s="36">
        <v>0</v>
      </c>
      <c r="CS74" s="36">
        <v>0</v>
      </c>
      <c r="CT74" s="36">
        <v>0</v>
      </c>
      <c r="CU74" s="36">
        <v>0</v>
      </c>
      <c r="CV74" s="36">
        <v>0</v>
      </c>
      <c r="CW74" s="36">
        <v>0</v>
      </c>
      <c r="CX74" s="36">
        <v>0</v>
      </c>
      <c r="CY74" s="36">
        <v>0</v>
      </c>
      <c r="CZ74" s="36">
        <v>0</v>
      </c>
      <c r="DA74" s="36">
        <v>0</v>
      </c>
      <c r="DB74" s="36">
        <v>0</v>
      </c>
      <c r="DC74" s="36">
        <v>0</v>
      </c>
      <c r="DD74" s="36">
        <v>0</v>
      </c>
      <c r="DE74" s="36">
        <v>0</v>
      </c>
      <c r="DF74" s="36">
        <v>0</v>
      </c>
      <c r="DG74" s="36">
        <v>0</v>
      </c>
      <c r="DH74" s="36">
        <v>0</v>
      </c>
      <c r="DI74" s="36">
        <v>0</v>
      </c>
      <c r="DJ74" s="36">
        <v>0</v>
      </c>
      <c r="DK74" s="36">
        <v>0</v>
      </c>
      <c r="DL74" s="36">
        <v>0</v>
      </c>
      <c r="DM74" s="36">
        <v>0</v>
      </c>
      <c r="DN74" s="36">
        <v>0</v>
      </c>
      <c r="DO74" s="36">
        <v>0</v>
      </c>
      <c r="DP74" s="36">
        <v>0</v>
      </c>
      <c r="DQ74" s="36">
        <v>0</v>
      </c>
      <c r="DR74" s="36">
        <v>0</v>
      </c>
      <c r="DS74" s="36">
        <v>0</v>
      </c>
      <c r="DT74" s="36">
        <v>0</v>
      </c>
      <c r="DU74" s="36">
        <v>0</v>
      </c>
      <c r="DV74" s="36">
        <v>0</v>
      </c>
      <c r="DW74" s="36">
        <v>0</v>
      </c>
      <c r="DX74" s="36">
        <v>0</v>
      </c>
      <c r="DY74" s="36">
        <v>0</v>
      </c>
      <c r="DZ74" s="36">
        <v>0</v>
      </c>
      <c r="EA74" s="36">
        <v>0</v>
      </c>
      <c r="EB74" s="36">
        <v>0</v>
      </c>
      <c r="EC74" s="36">
        <v>0</v>
      </c>
      <c r="ED74" s="36">
        <v>0</v>
      </c>
      <c r="EE74" s="36">
        <v>0</v>
      </c>
      <c r="EF74" s="36">
        <v>0</v>
      </c>
      <c r="EG74" s="36">
        <v>0</v>
      </c>
      <c r="EH74" s="36">
        <v>0</v>
      </c>
      <c r="EI74" s="36">
        <v>0</v>
      </c>
      <c r="EJ74" s="36">
        <v>0</v>
      </c>
      <c r="EK74" s="36">
        <v>0</v>
      </c>
      <c r="EL74" s="36">
        <v>0</v>
      </c>
      <c r="EM74" s="36">
        <v>0</v>
      </c>
      <c r="EN74" s="36">
        <v>0</v>
      </c>
      <c r="EO74" s="36">
        <v>0</v>
      </c>
      <c r="EP74" s="36">
        <v>0</v>
      </c>
      <c r="EQ74" s="36">
        <v>0</v>
      </c>
      <c r="ER74" s="36">
        <v>0</v>
      </c>
      <c r="ES74" s="36">
        <v>0</v>
      </c>
      <c r="ET74" s="36">
        <v>0</v>
      </c>
      <c r="EU74" s="36">
        <v>0</v>
      </c>
      <c r="EV74" s="36">
        <v>0</v>
      </c>
      <c r="EW74" s="36">
        <v>0</v>
      </c>
      <c r="EX74" s="36">
        <v>0</v>
      </c>
      <c r="EY74" s="36">
        <v>0</v>
      </c>
      <c r="EZ74" s="36">
        <v>0</v>
      </c>
      <c r="FA74" s="36">
        <v>0</v>
      </c>
      <c r="FB74" s="36">
        <v>0</v>
      </c>
      <c r="FC74" s="36">
        <v>0</v>
      </c>
      <c r="FD74" s="36">
        <v>0</v>
      </c>
      <c r="FE74" s="36">
        <v>0</v>
      </c>
      <c r="FF74" s="36">
        <v>0</v>
      </c>
      <c r="FG74" s="36">
        <v>0</v>
      </c>
      <c r="FH74" s="36">
        <v>0</v>
      </c>
      <c r="FI74" s="36">
        <v>0</v>
      </c>
      <c r="FJ74" s="36">
        <v>0</v>
      </c>
      <c r="FK74" s="36">
        <v>0</v>
      </c>
      <c r="FL74" s="36">
        <v>0</v>
      </c>
      <c r="FM74" s="36">
        <v>0</v>
      </c>
      <c r="FN74" s="36">
        <v>0</v>
      </c>
      <c r="FO74" s="36">
        <v>0</v>
      </c>
      <c r="FP74" s="36">
        <v>0</v>
      </c>
      <c r="FQ74" s="36">
        <v>0</v>
      </c>
      <c r="FR74" s="36">
        <v>0</v>
      </c>
      <c r="FS74" s="36">
        <v>0</v>
      </c>
      <c r="FT74" s="36">
        <v>0</v>
      </c>
      <c r="FU74" s="36">
        <v>0</v>
      </c>
      <c r="FV74" s="36">
        <v>0</v>
      </c>
      <c r="FW74" s="36">
        <v>0</v>
      </c>
      <c r="FX74" s="36">
        <v>0</v>
      </c>
      <c r="FY74" s="36">
        <v>0</v>
      </c>
      <c r="FZ74" s="36">
        <v>0</v>
      </c>
      <c r="GA74" s="36">
        <v>0</v>
      </c>
      <c r="GB74" s="36">
        <v>0</v>
      </c>
      <c r="GC74" s="36">
        <v>0</v>
      </c>
      <c r="GD74" s="36">
        <v>0</v>
      </c>
      <c r="GE74" s="36">
        <v>0</v>
      </c>
      <c r="GF74" s="36">
        <v>0</v>
      </c>
      <c r="GG74" s="42">
        <v>1.9274294683212132</v>
      </c>
      <c r="GH74" s="42">
        <v>2.8749828730236042</v>
      </c>
      <c r="GI74" s="42">
        <v>1.2762774446578951</v>
      </c>
      <c r="GJ74" s="42">
        <v>1.1054256643571867</v>
      </c>
      <c r="GK74" s="42">
        <v>3.7487237874462784</v>
      </c>
      <c r="GL74" s="42">
        <v>1.5299538051079824</v>
      </c>
      <c r="GM74" s="42">
        <v>1.2232675885426976</v>
      </c>
      <c r="GN74" s="42">
        <v>0.45749553690427119</v>
      </c>
      <c r="GO74" s="42">
        <v>9.3821573181286019E-2</v>
      </c>
      <c r="GP74" s="42">
        <v>0</v>
      </c>
      <c r="GQ74" s="42">
        <v>0</v>
      </c>
      <c r="GR74" s="42">
        <v>0</v>
      </c>
      <c r="GS74" s="42">
        <v>0.11022547875243256</v>
      </c>
      <c r="GT74" s="42">
        <v>0</v>
      </c>
      <c r="GU74" s="36">
        <v>0</v>
      </c>
      <c r="GV74" s="36">
        <v>0</v>
      </c>
      <c r="GW74" s="36">
        <v>0</v>
      </c>
      <c r="GX74" s="36">
        <v>0</v>
      </c>
      <c r="GY74" s="36">
        <v>0</v>
      </c>
      <c r="GZ74" s="36">
        <v>0</v>
      </c>
      <c r="HA74" s="38">
        <v>1532.6398606765761</v>
      </c>
      <c r="HB74" s="36">
        <v>1659.7388887380616</v>
      </c>
      <c r="HC74" s="36">
        <f t="shared" si="1"/>
        <v>33049.035713990997</v>
      </c>
      <c r="HD74" s="36">
        <f>SUM(BS$5:BS$213)</f>
        <v>33049.035713990997</v>
      </c>
      <c r="HE74" s="41">
        <v>0</v>
      </c>
      <c r="HG74" s="43"/>
      <c r="HH74" s="43"/>
      <c r="HI74" s="43"/>
      <c r="HJ74" s="43"/>
      <c r="HK74" s="43"/>
      <c r="HL74" s="43"/>
      <c r="HM74" s="43"/>
      <c r="HN74" s="43"/>
      <c r="HO74" s="43"/>
      <c r="HP74" s="43"/>
      <c r="HQ74" s="43"/>
      <c r="HR74" s="43"/>
      <c r="HS74" s="43"/>
      <c r="HT74" s="43"/>
    </row>
    <row r="75" spans="1:228" hidden="1" outlineLevel="1" x14ac:dyDescent="0.2">
      <c r="A75" s="9" t="s">
        <v>672</v>
      </c>
      <c r="B75" s="36">
        <v>0</v>
      </c>
      <c r="C75" s="36">
        <v>0</v>
      </c>
      <c r="D75" s="36">
        <v>0</v>
      </c>
      <c r="E75" s="36">
        <v>174.64172454346865</v>
      </c>
      <c r="F75" s="36">
        <v>182.86955087172257</v>
      </c>
      <c r="G75" s="36">
        <v>1531.1267251503696</v>
      </c>
      <c r="H75" s="36">
        <v>624.35248883281838</v>
      </c>
      <c r="I75" s="36">
        <v>449.81197552269407</v>
      </c>
      <c r="J75" s="36">
        <v>0</v>
      </c>
      <c r="K75" s="36">
        <v>0</v>
      </c>
      <c r="L75" s="36">
        <v>0</v>
      </c>
      <c r="M75" s="36">
        <v>16.200724305890521</v>
      </c>
      <c r="N75" s="36">
        <v>0</v>
      </c>
      <c r="O75" s="36">
        <v>109.93802842704613</v>
      </c>
      <c r="P75" s="36">
        <v>0</v>
      </c>
      <c r="Q75" s="36">
        <v>0</v>
      </c>
      <c r="R75" s="36">
        <v>261.50886781235511</v>
      </c>
      <c r="S75" s="36">
        <v>1605.6598572477053</v>
      </c>
      <c r="T75" s="36">
        <v>1489.5442087383981</v>
      </c>
      <c r="U75" s="36">
        <v>0</v>
      </c>
      <c r="V75" s="36">
        <v>111.82207737334279</v>
      </c>
      <c r="W75" s="36">
        <v>51.550263827821894</v>
      </c>
      <c r="X75" s="36">
        <v>4790.4453875748977</v>
      </c>
      <c r="Y75" s="36">
        <v>2166.6815185280739</v>
      </c>
      <c r="Z75" s="36">
        <v>192.31350001999317</v>
      </c>
      <c r="AA75" s="36">
        <v>29.346135492834676</v>
      </c>
      <c r="AB75" s="36">
        <v>67.045850794163599</v>
      </c>
      <c r="AC75" s="36">
        <v>0.20772499106923126</v>
      </c>
      <c r="AD75" s="36">
        <v>1.5435465823802454</v>
      </c>
      <c r="AE75" s="36">
        <v>3.0657569500534407</v>
      </c>
      <c r="AF75" s="36">
        <v>15.014005209232346</v>
      </c>
      <c r="AG75" s="36">
        <v>0.37029548921422062</v>
      </c>
      <c r="AH75" s="36">
        <v>9666.5057128125936</v>
      </c>
      <c r="AI75" s="36">
        <v>0</v>
      </c>
      <c r="AJ75" s="36">
        <v>0</v>
      </c>
      <c r="AK75" s="36">
        <v>0</v>
      </c>
      <c r="AL75" s="36">
        <v>0</v>
      </c>
      <c r="AM75" s="36">
        <v>0</v>
      </c>
      <c r="AN75" s="36">
        <v>0</v>
      </c>
      <c r="AO75" s="36">
        <v>0</v>
      </c>
      <c r="AP75" s="36">
        <v>0</v>
      </c>
      <c r="AQ75" s="36">
        <v>0</v>
      </c>
      <c r="AR75" s="36">
        <v>0</v>
      </c>
      <c r="AS75" s="36">
        <v>0</v>
      </c>
      <c r="AT75" s="36">
        <v>0</v>
      </c>
      <c r="AU75" s="36">
        <v>0</v>
      </c>
      <c r="AV75" s="36">
        <v>0</v>
      </c>
      <c r="AW75" s="36">
        <v>0</v>
      </c>
      <c r="AX75" s="36">
        <v>0</v>
      </c>
      <c r="AY75" s="36">
        <v>0</v>
      </c>
      <c r="AZ75" s="36">
        <v>0</v>
      </c>
      <c r="BA75" s="36">
        <v>0</v>
      </c>
      <c r="BB75" s="36">
        <v>0</v>
      </c>
      <c r="BC75" s="36">
        <v>0</v>
      </c>
      <c r="BD75" s="36">
        <v>0</v>
      </c>
      <c r="BE75" s="36">
        <v>0</v>
      </c>
      <c r="BF75" s="36">
        <v>0</v>
      </c>
      <c r="BG75" s="36">
        <v>0</v>
      </c>
      <c r="BH75" s="36">
        <v>0</v>
      </c>
      <c r="BI75" s="36">
        <v>0</v>
      </c>
      <c r="BJ75" s="36">
        <v>96.510365626380022</v>
      </c>
      <c r="BK75" s="36">
        <v>0</v>
      </c>
      <c r="BL75" s="36">
        <v>0</v>
      </c>
      <c r="BM75" s="36">
        <v>0</v>
      </c>
      <c r="BN75" s="36">
        <v>0</v>
      </c>
      <c r="BO75" s="36">
        <v>0</v>
      </c>
      <c r="BP75" s="36">
        <v>0</v>
      </c>
      <c r="BQ75" s="36">
        <v>0</v>
      </c>
      <c r="BR75" s="36">
        <v>0</v>
      </c>
      <c r="BS75" s="36">
        <v>0</v>
      </c>
      <c r="BT75" s="36">
        <v>0</v>
      </c>
      <c r="BU75" s="36">
        <v>0</v>
      </c>
      <c r="BV75" s="36">
        <v>0</v>
      </c>
      <c r="BW75" s="36">
        <v>0</v>
      </c>
      <c r="BX75" s="36">
        <v>0</v>
      </c>
      <c r="BY75" s="36">
        <v>0</v>
      </c>
      <c r="BZ75" s="36">
        <v>0</v>
      </c>
      <c r="CA75" s="36">
        <v>0</v>
      </c>
      <c r="CB75" s="36">
        <v>0</v>
      </c>
      <c r="CC75" s="36">
        <v>0</v>
      </c>
      <c r="CD75" s="36">
        <v>0</v>
      </c>
      <c r="CE75" s="36">
        <v>0</v>
      </c>
      <c r="CF75" s="36">
        <v>0</v>
      </c>
      <c r="CG75" s="36">
        <v>0</v>
      </c>
      <c r="CH75" s="36">
        <v>0</v>
      </c>
      <c r="CI75" s="36">
        <v>0</v>
      </c>
      <c r="CJ75" s="36">
        <v>0</v>
      </c>
      <c r="CK75" s="36">
        <v>0</v>
      </c>
      <c r="CL75" s="36">
        <v>0</v>
      </c>
      <c r="CM75" s="36">
        <v>0</v>
      </c>
      <c r="CN75" s="36">
        <v>0</v>
      </c>
      <c r="CO75" s="36">
        <v>0</v>
      </c>
      <c r="CP75" s="36">
        <v>0</v>
      </c>
      <c r="CQ75" s="36">
        <v>0</v>
      </c>
      <c r="CR75" s="36">
        <v>0</v>
      </c>
      <c r="CS75" s="36">
        <v>0</v>
      </c>
      <c r="CT75" s="36">
        <v>0</v>
      </c>
      <c r="CU75" s="36">
        <v>0</v>
      </c>
      <c r="CV75" s="36">
        <v>0</v>
      </c>
      <c r="CW75" s="36">
        <v>0</v>
      </c>
      <c r="CX75" s="36">
        <v>0</v>
      </c>
      <c r="CY75" s="36">
        <v>0</v>
      </c>
      <c r="CZ75" s="36">
        <v>0</v>
      </c>
      <c r="DA75" s="36">
        <v>0</v>
      </c>
      <c r="DB75" s="36">
        <v>0</v>
      </c>
      <c r="DC75" s="36">
        <v>0</v>
      </c>
      <c r="DD75" s="36">
        <v>0</v>
      </c>
      <c r="DE75" s="36">
        <v>0</v>
      </c>
      <c r="DF75" s="36">
        <v>0</v>
      </c>
      <c r="DG75" s="36">
        <v>0</v>
      </c>
      <c r="DH75" s="36">
        <v>0</v>
      </c>
      <c r="DI75" s="36">
        <v>0</v>
      </c>
      <c r="DJ75" s="36">
        <v>0</v>
      </c>
      <c r="DK75" s="36">
        <v>0</v>
      </c>
      <c r="DL75" s="36">
        <v>0</v>
      </c>
      <c r="DM75" s="36">
        <v>0</v>
      </c>
      <c r="DN75" s="36">
        <v>0</v>
      </c>
      <c r="DO75" s="36">
        <v>0</v>
      </c>
      <c r="DP75" s="36">
        <v>0</v>
      </c>
      <c r="DQ75" s="36">
        <v>0</v>
      </c>
      <c r="DR75" s="36">
        <v>0</v>
      </c>
      <c r="DS75" s="36">
        <v>0</v>
      </c>
      <c r="DT75" s="36">
        <v>0</v>
      </c>
      <c r="DU75" s="36">
        <v>0</v>
      </c>
      <c r="DV75" s="36">
        <v>0</v>
      </c>
      <c r="DW75" s="36">
        <v>0</v>
      </c>
      <c r="DX75" s="36">
        <v>0</v>
      </c>
      <c r="DY75" s="36">
        <v>0</v>
      </c>
      <c r="DZ75" s="36">
        <v>0</v>
      </c>
      <c r="EA75" s="36">
        <v>0</v>
      </c>
      <c r="EB75" s="36">
        <v>0</v>
      </c>
      <c r="EC75" s="36">
        <v>0</v>
      </c>
      <c r="ED75" s="36">
        <v>0</v>
      </c>
      <c r="EE75" s="36">
        <v>0</v>
      </c>
      <c r="EF75" s="36">
        <v>0</v>
      </c>
      <c r="EG75" s="36">
        <v>0</v>
      </c>
      <c r="EH75" s="36">
        <v>0</v>
      </c>
      <c r="EI75" s="36">
        <v>0</v>
      </c>
      <c r="EJ75" s="36">
        <v>0</v>
      </c>
      <c r="EK75" s="36">
        <v>0</v>
      </c>
      <c r="EL75" s="36">
        <v>0</v>
      </c>
      <c r="EM75" s="36">
        <v>0</v>
      </c>
      <c r="EN75" s="36">
        <v>0</v>
      </c>
      <c r="EO75" s="36">
        <v>0</v>
      </c>
      <c r="EP75" s="36">
        <v>0</v>
      </c>
      <c r="EQ75" s="36">
        <v>0</v>
      </c>
      <c r="ER75" s="36">
        <v>0</v>
      </c>
      <c r="ES75" s="36">
        <v>0</v>
      </c>
      <c r="ET75" s="36">
        <v>0</v>
      </c>
      <c r="EU75" s="36">
        <v>0</v>
      </c>
      <c r="EV75" s="36">
        <v>0</v>
      </c>
      <c r="EW75" s="36">
        <v>0</v>
      </c>
      <c r="EX75" s="36">
        <v>0</v>
      </c>
      <c r="EY75" s="36">
        <v>0</v>
      </c>
      <c r="EZ75" s="36">
        <v>0</v>
      </c>
      <c r="FA75" s="36">
        <v>0</v>
      </c>
      <c r="FB75" s="36">
        <v>0</v>
      </c>
      <c r="FC75" s="36">
        <v>0</v>
      </c>
      <c r="FD75" s="36">
        <v>0</v>
      </c>
      <c r="FE75" s="36">
        <v>0</v>
      </c>
      <c r="FF75" s="36">
        <v>0</v>
      </c>
      <c r="FG75" s="36">
        <v>0</v>
      </c>
      <c r="FH75" s="36">
        <v>0</v>
      </c>
      <c r="FI75" s="36">
        <v>0</v>
      </c>
      <c r="FJ75" s="36">
        <v>0</v>
      </c>
      <c r="FK75" s="36">
        <v>0</v>
      </c>
      <c r="FL75" s="36">
        <v>0</v>
      </c>
      <c r="FM75" s="36">
        <v>0</v>
      </c>
      <c r="FN75" s="36">
        <v>0</v>
      </c>
      <c r="FO75" s="36">
        <v>0</v>
      </c>
      <c r="FP75" s="36">
        <v>0</v>
      </c>
      <c r="FQ75" s="36">
        <v>0</v>
      </c>
      <c r="FR75" s="36">
        <v>0</v>
      </c>
      <c r="FS75" s="36">
        <v>0</v>
      </c>
      <c r="FT75" s="36">
        <v>0</v>
      </c>
      <c r="FU75" s="36">
        <v>0</v>
      </c>
      <c r="FV75" s="36">
        <v>0</v>
      </c>
      <c r="FW75" s="36">
        <v>0</v>
      </c>
      <c r="FX75" s="36">
        <v>0</v>
      </c>
      <c r="FY75" s="36">
        <v>0</v>
      </c>
      <c r="FZ75" s="36">
        <v>0</v>
      </c>
      <c r="GA75" s="36">
        <v>0</v>
      </c>
      <c r="GB75" s="36">
        <v>0</v>
      </c>
      <c r="GC75" s="36">
        <v>0</v>
      </c>
      <c r="GD75" s="36">
        <v>0</v>
      </c>
      <c r="GE75" s="36">
        <v>0</v>
      </c>
      <c r="GF75" s="36">
        <v>0</v>
      </c>
      <c r="GG75" s="42">
        <v>123.36329265599369</v>
      </c>
      <c r="GH75" s="42">
        <v>184.01054844029906</v>
      </c>
      <c r="GI75" s="42">
        <v>81.68692577514166</v>
      </c>
      <c r="GJ75" s="42">
        <v>70.75171983352466</v>
      </c>
      <c r="GK75" s="42">
        <v>239.93350588336577</v>
      </c>
      <c r="GL75" s="42">
        <v>97.923240311397436</v>
      </c>
      <c r="GM75" s="42">
        <v>78.294080277512592</v>
      </c>
      <c r="GN75" s="42">
        <v>29.281567359811138</v>
      </c>
      <c r="GO75" s="42">
        <v>6.0049606898922043</v>
      </c>
      <c r="GP75" s="42">
        <v>0</v>
      </c>
      <c r="GQ75" s="42">
        <v>0</v>
      </c>
      <c r="GR75" s="42">
        <v>0</v>
      </c>
      <c r="GS75" s="42">
        <v>7.0548770873193023</v>
      </c>
      <c r="GT75" s="42">
        <v>0</v>
      </c>
      <c r="GU75" s="36">
        <v>0</v>
      </c>
      <c r="GV75" s="36">
        <v>0</v>
      </c>
      <c r="GW75" s="36">
        <v>0</v>
      </c>
      <c r="GX75" s="36">
        <v>0</v>
      </c>
      <c r="GY75" s="36">
        <v>0</v>
      </c>
      <c r="GZ75" s="36">
        <v>0</v>
      </c>
      <c r="HA75" s="38">
        <v>1696.7899111531806</v>
      </c>
      <c r="HB75" s="36">
        <v>19942.401884351573</v>
      </c>
      <c r="HC75" s="36">
        <f t="shared" si="1"/>
        <v>46195.57280654354</v>
      </c>
      <c r="HD75" s="36">
        <f>SUM(BT$5:BT$213)</f>
        <v>46195.572806543532</v>
      </c>
      <c r="HE75" s="41">
        <v>0</v>
      </c>
      <c r="HG75" s="43"/>
      <c r="HH75" s="43"/>
      <c r="HI75" s="43"/>
      <c r="HJ75" s="43"/>
      <c r="HK75" s="43"/>
      <c r="HL75" s="43"/>
      <c r="HM75" s="43"/>
      <c r="HN75" s="43"/>
      <c r="HO75" s="43"/>
      <c r="HP75" s="43"/>
      <c r="HQ75" s="43"/>
      <c r="HR75" s="43"/>
      <c r="HS75" s="43"/>
      <c r="HT75" s="43"/>
    </row>
    <row r="76" spans="1:228" hidden="1" outlineLevel="1" x14ac:dyDescent="0.2">
      <c r="A76" s="9" t="s">
        <v>679</v>
      </c>
      <c r="B76" s="36">
        <v>10466.781856033402</v>
      </c>
      <c r="C76" s="36">
        <v>0</v>
      </c>
      <c r="D76" s="36">
        <v>91.892023799547104</v>
      </c>
      <c r="E76" s="36">
        <v>3044.5376913351806</v>
      </c>
      <c r="F76" s="36">
        <v>6835.7971398854506</v>
      </c>
      <c r="G76" s="36">
        <v>18065.517445917998</v>
      </c>
      <c r="H76" s="36">
        <v>4610.9184987019671</v>
      </c>
      <c r="I76" s="36">
        <v>4107.985629520661</v>
      </c>
      <c r="J76" s="36">
        <v>394.92419893106478</v>
      </c>
      <c r="K76" s="36">
        <v>365.47547736401623</v>
      </c>
      <c r="L76" s="36">
        <v>252.35310619269046</v>
      </c>
      <c r="M76" s="36">
        <v>112.49505867387553</v>
      </c>
      <c r="N76" s="36">
        <v>55.167454290557998</v>
      </c>
      <c r="O76" s="36">
        <v>748.17945507450668</v>
      </c>
      <c r="P76" s="36">
        <v>618.63491329248984</v>
      </c>
      <c r="Q76" s="36">
        <v>401.29870145081412</v>
      </c>
      <c r="R76" s="36">
        <v>1936.2915587552611</v>
      </c>
      <c r="S76" s="36">
        <v>2686.5771796194554</v>
      </c>
      <c r="T76" s="36">
        <v>974.80794990319032</v>
      </c>
      <c r="U76" s="36">
        <v>324.63450762909338</v>
      </c>
      <c r="V76" s="36">
        <v>1244.738596448766</v>
      </c>
      <c r="W76" s="36">
        <v>450.87798780335771</v>
      </c>
      <c r="X76" s="36">
        <v>570.68020249689664</v>
      </c>
      <c r="Y76" s="36">
        <v>7690.5388382098445</v>
      </c>
      <c r="Z76" s="36">
        <v>1064.8449563491429</v>
      </c>
      <c r="AA76" s="36">
        <v>662.34246885834796</v>
      </c>
      <c r="AB76" s="36">
        <v>305.92468520032457</v>
      </c>
      <c r="AC76" s="36">
        <v>86.156266229152848</v>
      </c>
      <c r="AD76" s="36">
        <v>50.44115128769166</v>
      </c>
      <c r="AE76" s="36">
        <v>464.38072297904057</v>
      </c>
      <c r="AF76" s="36">
        <v>138.73738814495013</v>
      </c>
      <c r="AG76" s="36">
        <v>187.70294619596086</v>
      </c>
      <c r="AH76" s="36">
        <v>272.30339825587373</v>
      </c>
      <c r="AI76" s="36">
        <v>28545.842532512066</v>
      </c>
      <c r="AJ76" s="36">
        <v>5343.703195056919</v>
      </c>
      <c r="AK76" s="36">
        <v>1030.5982605095414</v>
      </c>
      <c r="AL76" s="36">
        <v>3611.2465175331536</v>
      </c>
      <c r="AM76" s="36">
        <v>10262.659425355138</v>
      </c>
      <c r="AN76" s="36">
        <v>2800.1215448450112</v>
      </c>
      <c r="AO76" s="36">
        <v>6072.0872238257834</v>
      </c>
      <c r="AP76" s="36">
        <v>8209.7250056984831</v>
      </c>
      <c r="AQ76" s="36">
        <v>215.21283955080824</v>
      </c>
      <c r="AR76" s="36">
        <v>151.12923996665481</v>
      </c>
      <c r="AS76" s="36">
        <v>4785.1242066464929</v>
      </c>
      <c r="AT76" s="36">
        <v>1957.1344304823683</v>
      </c>
      <c r="AU76" s="36">
        <v>858.29850162144066</v>
      </c>
      <c r="AV76" s="36">
        <v>1503.1441948334568</v>
      </c>
      <c r="AW76" s="36">
        <v>2414.2055545022549</v>
      </c>
      <c r="AX76" s="36">
        <v>7070.3219757908028</v>
      </c>
      <c r="AY76" s="36">
        <v>208.22548333126085</v>
      </c>
      <c r="AZ76" s="36">
        <v>433.400661710706</v>
      </c>
      <c r="BA76" s="36">
        <v>151.44956026389207</v>
      </c>
      <c r="BB76" s="36">
        <v>1938.3374301388769</v>
      </c>
      <c r="BC76" s="36">
        <v>13745.489468993768</v>
      </c>
      <c r="BD76" s="36">
        <v>2756.2604025858604</v>
      </c>
      <c r="BE76" s="36">
        <v>6011.8875058327421</v>
      </c>
      <c r="BF76" s="36">
        <v>2087.4941716319049</v>
      </c>
      <c r="BG76" s="36">
        <v>190.20215615709381</v>
      </c>
      <c r="BH76" s="36">
        <v>1089.893549494747</v>
      </c>
      <c r="BI76" s="36">
        <v>82.754602421147396</v>
      </c>
      <c r="BJ76" s="36">
        <v>3401.6819907976233</v>
      </c>
      <c r="BK76" s="36">
        <v>0</v>
      </c>
      <c r="BL76" s="36">
        <v>0</v>
      </c>
      <c r="BM76" s="36">
        <v>0</v>
      </c>
      <c r="BN76" s="36">
        <v>0</v>
      </c>
      <c r="BO76" s="36">
        <v>0</v>
      </c>
      <c r="BP76" s="36">
        <v>0</v>
      </c>
      <c r="BQ76" s="36">
        <v>0</v>
      </c>
      <c r="BR76" s="36">
        <v>0</v>
      </c>
      <c r="BS76" s="36">
        <v>0</v>
      </c>
      <c r="BT76" s="36">
        <v>0</v>
      </c>
      <c r="BU76" s="36">
        <v>0</v>
      </c>
      <c r="BV76" s="36">
        <v>0</v>
      </c>
      <c r="BW76" s="36">
        <v>0</v>
      </c>
      <c r="BX76" s="36">
        <v>0</v>
      </c>
      <c r="BY76" s="36">
        <v>0</v>
      </c>
      <c r="BZ76" s="36">
        <v>0</v>
      </c>
      <c r="CA76" s="36">
        <v>0</v>
      </c>
      <c r="CB76" s="36">
        <v>0</v>
      </c>
      <c r="CC76" s="36">
        <v>0</v>
      </c>
      <c r="CD76" s="36">
        <v>0</v>
      </c>
      <c r="CE76" s="36">
        <v>0</v>
      </c>
      <c r="CF76" s="36">
        <v>0</v>
      </c>
      <c r="CG76" s="36">
        <v>0</v>
      </c>
      <c r="CH76" s="36">
        <v>0</v>
      </c>
      <c r="CI76" s="36">
        <v>0</v>
      </c>
      <c r="CJ76" s="36">
        <v>0</v>
      </c>
      <c r="CK76" s="36">
        <v>0</v>
      </c>
      <c r="CL76" s="36">
        <v>0</v>
      </c>
      <c r="CM76" s="36">
        <v>0</v>
      </c>
      <c r="CN76" s="36">
        <v>0</v>
      </c>
      <c r="CO76" s="36">
        <v>0</v>
      </c>
      <c r="CP76" s="36">
        <v>0</v>
      </c>
      <c r="CQ76" s="36">
        <v>0</v>
      </c>
      <c r="CR76" s="36">
        <v>0</v>
      </c>
      <c r="CS76" s="36">
        <v>0</v>
      </c>
      <c r="CT76" s="36">
        <v>0</v>
      </c>
      <c r="CU76" s="36">
        <v>0</v>
      </c>
      <c r="CV76" s="36">
        <v>0</v>
      </c>
      <c r="CW76" s="36">
        <v>0</v>
      </c>
      <c r="CX76" s="36">
        <v>0</v>
      </c>
      <c r="CY76" s="36">
        <v>0</v>
      </c>
      <c r="CZ76" s="36">
        <v>0</v>
      </c>
      <c r="DA76" s="36">
        <v>0</v>
      </c>
      <c r="DB76" s="36">
        <v>0</v>
      </c>
      <c r="DC76" s="36">
        <v>0</v>
      </c>
      <c r="DD76" s="36">
        <v>0</v>
      </c>
      <c r="DE76" s="36">
        <v>0</v>
      </c>
      <c r="DF76" s="36">
        <v>0</v>
      </c>
      <c r="DG76" s="36">
        <v>0</v>
      </c>
      <c r="DH76" s="36">
        <v>0</v>
      </c>
      <c r="DI76" s="36">
        <v>0</v>
      </c>
      <c r="DJ76" s="36">
        <v>0</v>
      </c>
      <c r="DK76" s="36">
        <v>0</v>
      </c>
      <c r="DL76" s="36">
        <v>0</v>
      </c>
      <c r="DM76" s="36">
        <v>0</v>
      </c>
      <c r="DN76" s="36">
        <v>0</v>
      </c>
      <c r="DO76" s="36">
        <v>0</v>
      </c>
      <c r="DP76" s="36">
        <v>0</v>
      </c>
      <c r="DQ76" s="36">
        <v>0</v>
      </c>
      <c r="DR76" s="36">
        <v>0</v>
      </c>
      <c r="DS76" s="36">
        <v>0</v>
      </c>
      <c r="DT76" s="36">
        <v>0</v>
      </c>
      <c r="DU76" s="36">
        <v>0</v>
      </c>
      <c r="DV76" s="36">
        <v>0</v>
      </c>
      <c r="DW76" s="36">
        <v>0</v>
      </c>
      <c r="DX76" s="36">
        <v>0</v>
      </c>
      <c r="DY76" s="36">
        <v>0</v>
      </c>
      <c r="DZ76" s="36">
        <v>0</v>
      </c>
      <c r="EA76" s="36">
        <v>0</v>
      </c>
      <c r="EB76" s="36">
        <v>0</v>
      </c>
      <c r="EC76" s="36">
        <v>0</v>
      </c>
      <c r="ED76" s="36">
        <v>0</v>
      </c>
      <c r="EE76" s="36">
        <v>0</v>
      </c>
      <c r="EF76" s="36">
        <v>0</v>
      </c>
      <c r="EG76" s="36">
        <v>0</v>
      </c>
      <c r="EH76" s="36">
        <v>0</v>
      </c>
      <c r="EI76" s="36">
        <v>0</v>
      </c>
      <c r="EJ76" s="36">
        <v>0</v>
      </c>
      <c r="EK76" s="36">
        <v>0</v>
      </c>
      <c r="EL76" s="36">
        <v>0</v>
      </c>
      <c r="EM76" s="36">
        <v>0</v>
      </c>
      <c r="EN76" s="36">
        <v>0</v>
      </c>
      <c r="EO76" s="36">
        <v>0</v>
      </c>
      <c r="EP76" s="36">
        <v>0</v>
      </c>
      <c r="EQ76" s="36">
        <v>0</v>
      </c>
      <c r="ER76" s="36">
        <v>0</v>
      </c>
      <c r="ES76" s="36">
        <v>0</v>
      </c>
      <c r="ET76" s="36">
        <v>0</v>
      </c>
      <c r="EU76" s="36">
        <v>0</v>
      </c>
      <c r="EV76" s="36">
        <v>0</v>
      </c>
      <c r="EW76" s="36">
        <v>0</v>
      </c>
      <c r="EX76" s="36">
        <v>0</v>
      </c>
      <c r="EY76" s="36">
        <v>0</v>
      </c>
      <c r="EZ76" s="36">
        <v>0</v>
      </c>
      <c r="FA76" s="36">
        <v>0</v>
      </c>
      <c r="FB76" s="36">
        <v>0</v>
      </c>
      <c r="FC76" s="36">
        <v>0</v>
      </c>
      <c r="FD76" s="36">
        <v>0</v>
      </c>
      <c r="FE76" s="36">
        <v>0</v>
      </c>
      <c r="FF76" s="36">
        <v>0</v>
      </c>
      <c r="FG76" s="36">
        <v>0</v>
      </c>
      <c r="FH76" s="36">
        <v>0</v>
      </c>
      <c r="FI76" s="36">
        <v>0</v>
      </c>
      <c r="FJ76" s="36">
        <v>0</v>
      </c>
      <c r="FK76" s="36">
        <v>0</v>
      </c>
      <c r="FL76" s="36">
        <v>0</v>
      </c>
      <c r="FM76" s="36">
        <v>0</v>
      </c>
      <c r="FN76" s="36">
        <v>0</v>
      </c>
      <c r="FO76" s="36">
        <v>0</v>
      </c>
      <c r="FP76" s="36">
        <v>0</v>
      </c>
      <c r="FQ76" s="36">
        <v>0</v>
      </c>
      <c r="FR76" s="36">
        <v>0</v>
      </c>
      <c r="FS76" s="36">
        <v>0</v>
      </c>
      <c r="FT76" s="36">
        <v>0</v>
      </c>
      <c r="FU76" s="36">
        <v>0</v>
      </c>
      <c r="FV76" s="36">
        <v>0</v>
      </c>
      <c r="FW76" s="36">
        <v>0</v>
      </c>
      <c r="FX76" s="36">
        <v>0</v>
      </c>
      <c r="FY76" s="36">
        <v>0</v>
      </c>
      <c r="FZ76" s="36">
        <v>0</v>
      </c>
      <c r="GA76" s="36">
        <v>0</v>
      </c>
      <c r="GB76" s="36">
        <v>0</v>
      </c>
      <c r="GC76" s="36">
        <v>0</v>
      </c>
      <c r="GD76" s="36">
        <v>0</v>
      </c>
      <c r="GE76" s="36">
        <v>0</v>
      </c>
      <c r="GF76" s="36">
        <v>0</v>
      </c>
      <c r="GG76" s="42">
        <v>3066.4609955385508</v>
      </c>
      <c r="GH76" s="42">
        <v>3805.0852170762382</v>
      </c>
      <c r="GI76" s="42">
        <v>4455.4339188096765</v>
      </c>
      <c r="GJ76" s="42">
        <v>5317.3039870727889</v>
      </c>
      <c r="GK76" s="42">
        <v>6361.4883512269453</v>
      </c>
      <c r="GL76" s="42">
        <v>7557.849012771082</v>
      </c>
      <c r="GM76" s="42">
        <v>8770.669431448865</v>
      </c>
      <c r="GN76" s="42">
        <v>12991.789692135102</v>
      </c>
      <c r="GO76" s="42">
        <v>18451.435286868247</v>
      </c>
      <c r="GP76" s="42">
        <v>4588.7335043803823</v>
      </c>
      <c r="GQ76" s="42">
        <v>4651.1059345433841</v>
      </c>
      <c r="GR76" s="42">
        <v>4979.7896301607016</v>
      </c>
      <c r="GS76" s="42">
        <v>6077.7150028017977</v>
      </c>
      <c r="GT76" s="42">
        <v>7170.9955017642587</v>
      </c>
      <c r="GU76" s="36">
        <v>0</v>
      </c>
      <c r="GV76" s="36">
        <v>0</v>
      </c>
      <c r="GW76" s="36">
        <v>0</v>
      </c>
      <c r="GX76" s="36">
        <v>0</v>
      </c>
      <c r="GY76" s="36">
        <v>0</v>
      </c>
      <c r="GZ76" s="36">
        <v>0</v>
      </c>
      <c r="HA76" s="38">
        <v>0</v>
      </c>
      <c r="HB76" s="36">
        <v>11014.48142380955</v>
      </c>
      <c r="HC76" s="36">
        <f t="shared" si="1"/>
        <v>295471.90797732805</v>
      </c>
      <c r="HD76" s="36">
        <f>SUM(BU$5:BU$213)</f>
        <v>295471.90797732788</v>
      </c>
      <c r="HE76" s="41">
        <v>0</v>
      </c>
      <c r="HG76" s="43"/>
      <c r="HH76" s="43"/>
      <c r="HI76" s="43"/>
      <c r="HJ76" s="43"/>
      <c r="HK76" s="43"/>
      <c r="HL76" s="43"/>
      <c r="HM76" s="43"/>
      <c r="HN76" s="43"/>
      <c r="HO76" s="43"/>
      <c r="HP76" s="43"/>
      <c r="HQ76" s="43"/>
      <c r="HR76" s="43"/>
      <c r="HS76" s="43"/>
      <c r="HT76" s="43"/>
    </row>
    <row r="77" spans="1:228" hidden="1" outlineLevel="1" x14ac:dyDescent="0.2">
      <c r="A77" s="9" t="s">
        <v>686</v>
      </c>
      <c r="B77" s="36">
        <v>1039.4964054139787</v>
      </c>
      <c r="C77" s="36">
        <v>0</v>
      </c>
      <c r="D77" s="36">
        <v>12.641636941559939</v>
      </c>
      <c r="E77" s="36">
        <v>219.70551681665643</v>
      </c>
      <c r="F77" s="36">
        <v>886.02855880674849</v>
      </c>
      <c r="G77" s="36">
        <v>932.55771497301498</v>
      </c>
      <c r="H77" s="36">
        <v>470.87271832988978</v>
      </c>
      <c r="I77" s="36">
        <v>762.64648730800911</v>
      </c>
      <c r="J77" s="36">
        <v>1531.8219095953452</v>
      </c>
      <c r="K77" s="36">
        <v>66.471368523031671</v>
      </c>
      <c r="L77" s="36">
        <v>44.468903063173443</v>
      </c>
      <c r="M77" s="36">
        <v>11.642473436254839</v>
      </c>
      <c r="N77" s="36">
        <v>10.04909096699474</v>
      </c>
      <c r="O77" s="36">
        <v>127.94969676583365</v>
      </c>
      <c r="P77" s="36">
        <v>113.89410130737264</v>
      </c>
      <c r="Q77" s="36">
        <v>74.03180114540605</v>
      </c>
      <c r="R77" s="36">
        <v>301.61089566236234</v>
      </c>
      <c r="S77" s="36">
        <v>601.1222617052822</v>
      </c>
      <c r="T77" s="36">
        <v>340.42708450414466</v>
      </c>
      <c r="U77" s="36">
        <v>57.910085812203981</v>
      </c>
      <c r="V77" s="36">
        <v>233.67642101826331</v>
      </c>
      <c r="W77" s="36">
        <v>80.105410203221126</v>
      </c>
      <c r="X77" s="36">
        <v>105.62906330972193</v>
      </c>
      <c r="Y77" s="36">
        <v>1053.2262097522093</v>
      </c>
      <c r="Z77" s="36">
        <v>181.59546717122939</v>
      </c>
      <c r="AA77" s="36">
        <v>113.73538021851871</v>
      </c>
      <c r="AB77" s="36">
        <v>50.590807529279338</v>
      </c>
      <c r="AC77" s="36">
        <v>15.07316407711536</v>
      </c>
      <c r="AD77" s="36">
        <v>8.6683628239410826</v>
      </c>
      <c r="AE77" s="36">
        <v>70.845260226688396</v>
      </c>
      <c r="AF77" s="36">
        <v>24.128352775921197</v>
      </c>
      <c r="AG77" s="36">
        <v>33.31472946039068</v>
      </c>
      <c r="AH77" s="36">
        <v>43.518660920152868</v>
      </c>
      <c r="AI77" s="36">
        <v>2744.9424120906028</v>
      </c>
      <c r="AJ77" s="36">
        <v>2008.6482850146474</v>
      </c>
      <c r="AK77" s="36">
        <v>187.00336183737645</v>
      </c>
      <c r="AL77" s="36">
        <v>600.42380739262001</v>
      </c>
      <c r="AM77" s="36">
        <v>1742.4095307437813</v>
      </c>
      <c r="AN77" s="36">
        <v>468.42636181727971</v>
      </c>
      <c r="AO77" s="36">
        <v>974.18146899360454</v>
      </c>
      <c r="AP77" s="36">
        <v>1310.470459342881</v>
      </c>
      <c r="AQ77" s="36">
        <v>34.959547244929716</v>
      </c>
      <c r="AR77" s="36">
        <v>27.504881661412568</v>
      </c>
      <c r="AS77" s="36">
        <v>1099.3650432195871</v>
      </c>
      <c r="AT77" s="36">
        <v>340.16315454489836</v>
      </c>
      <c r="AU77" s="36">
        <v>45.253380402713837</v>
      </c>
      <c r="AV77" s="36">
        <v>167.40181698223671</v>
      </c>
      <c r="AW77" s="36">
        <v>337.86092415925748</v>
      </c>
      <c r="AX77" s="36">
        <v>1137.2479332252374</v>
      </c>
      <c r="AY77" s="36">
        <v>33.768843425629612</v>
      </c>
      <c r="AZ77" s="36">
        <v>71.070783609790553</v>
      </c>
      <c r="BA77" s="36">
        <v>24.593676655373731</v>
      </c>
      <c r="BB77" s="36">
        <v>238.34720201416383</v>
      </c>
      <c r="BC77" s="36">
        <v>2305.6552745553599</v>
      </c>
      <c r="BD77" s="36">
        <v>272.57116535949154</v>
      </c>
      <c r="BE77" s="36">
        <v>1111.6037683083584</v>
      </c>
      <c r="BF77" s="36">
        <v>433.00830845443159</v>
      </c>
      <c r="BG77" s="36">
        <v>31.366858881330479</v>
      </c>
      <c r="BH77" s="36">
        <v>208.78232353737044</v>
      </c>
      <c r="BI77" s="36">
        <v>14.06184237912767</v>
      </c>
      <c r="BJ77" s="36">
        <v>486.22039583974686</v>
      </c>
      <c r="BK77" s="36">
        <v>0</v>
      </c>
      <c r="BL77" s="36">
        <v>0</v>
      </c>
      <c r="BM77" s="36">
        <v>0</v>
      </c>
      <c r="BN77" s="36">
        <v>0</v>
      </c>
      <c r="BO77" s="36">
        <v>0</v>
      </c>
      <c r="BP77" s="36">
        <v>0</v>
      </c>
      <c r="BQ77" s="36">
        <v>0</v>
      </c>
      <c r="BR77" s="36">
        <v>0</v>
      </c>
      <c r="BS77" s="36">
        <v>0</v>
      </c>
      <c r="BT77" s="36">
        <v>0</v>
      </c>
      <c r="BU77" s="36">
        <v>0</v>
      </c>
      <c r="BV77" s="36">
        <v>0</v>
      </c>
      <c r="BW77" s="36">
        <v>0</v>
      </c>
      <c r="BX77" s="36">
        <v>0</v>
      </c>
      <c r="BY77" s="36">
        <v>0</v>
      </c>
      <c r="BZ77" s="36">
        <v>0</v>
      </c>
      <c r="CA77" s="36">
        <v>0</v>
      </c>
      <c r="CB77" s="36">
        <v>0</v>
      </c>
      <c r="CC77" s="36">
        <v>0</v>
      </c>
      <c r="CD77" s="36">
        <v>0</v>
      </c>
      <c r="CE77" s="36">
        <v>0</v>
      </c>
      <c r="CF77" s="36">
        <v>0</v>
      </c>
      <c r="CG77" s="36">
        <v>0</v>
      </c>
      <c r="CH77" s="36">
        <v>0</v>
      </c>
      <c r="CI77" s="36">
        <v>0</v>
      </c>
      <c r="CJ77" s="36">
        <v>0</v>
      </c>
      <c r="CK77" s="36">
        <v>0</v>
      </c>
      <c r="CL77" s="36">
        <v>0</v>
      </c>
      <c r="CM77" s="36">
        <v>0</v>
      </c>
      <c r="CN77" s="36">
        <v>0</v>
      </c>
      <c r="CO77" s="36">
        <v>0</v>
      </c>
      <c r="CP77" s="36">
        <v>0</v>
      </c>
      <c r="CQ77" s="36">
        <v>0</v>
      </c>
      <c r="CR77" s="36">
        <v>0</v>
      </c>
      <c r="CS77" s="36">
        <v>0</v>
      </c>
      <c r="CT77" s="36">
        <v>0</v>
      </c>
      <c r="CU77" s="36">
        <v>0</v>
      </c>
      <c r="CV77" s="36">
        <v>0</v>
      </c>
      <c r="CW77" s="36">
        <v>0</v>
      </c>
      <c r="CX77" s="36">
        <v>0</v>
      </c>
      <c r="CY77" s="36">
        <v>0</v>
      </c>
      <c r="CZ77" s="36">
        <v>0</v>
      </c>
      <c r="DA77" s="36">
        <v>0</v>
      </c>
      <c r="DB77" s="36">
        <v>0</v>
      </c>
      <c r="DC77" s="36">
        <v>0</v>
      </c>
      <c r="DD77" s="36">
        <v>0</v>
      </c>
      <c r="DE77" s="36">
        <v>0</v>
      </c>
      <c r="DF77" s="36">
        <v>0</v>
      </c>
      <c r="DG77" s="36">
        <v>0</v>
      </c>
      <c r="DH77" s="36">
        <v>0</v>
      </c>
      <c r="DI77" s="36">
        <v>0</v>
      </c>
      <c r="DJ77" s="36">
        <v>0</v>
      </c>
      <c r="DK77" s="36">
        <v>0</v>
      </c>
      <c r="DL77" s="36">
        <v>0</v>
      </c>
      <c r="DM77" s="36">
        <v>0</v>
      </c>
      <c r="DN77" s="36">
        <v>0</v>
      </c>
      <c r="DO77" s="36">
        <v>0</v>
      </c>
      <c r="DP77" s="36">
        <v>0</v>
      </c>
      <c r="DQ77" s="36">
        <v>0</v>
      </c>
      <c r="DR77" s="36">
        <v>0</v>
      </c>
      <c r="DS77" s="36">
        <v>0</v>
      </c>
      <c r="DT77" s="36">
        <v>0</v>
      </c>
      <c r="DU77" s="36">
        <v>0</v>
      </c>
      <c r="DV77" s="36">
        <v>0</v>
      </c>
      <c r="DW77" s="36">
        <v>0</v>
      </c>
      <c r="DX77" s="36">
        <v>0</v>
      </c>
      <c r="DY77" s="36">
        <v>0</v>
      </c>
      <c r="DZ77" s="36">
        <v>0</v>
      </c>
      <c r="EA77" s="36">
        <v>0</v>
      </c>
      <c r="EB77" s="36">
        <v>0</v>
      </c>
      <c r="EC77" s="36">
        <v>0</v>
      </c>
      <c r="ED77" s="36">
        <v>0</v>
      </c>
      <c r="EE77" s="36">
        <v>0</v>
      </c>
      <c r="EF77" s="36">
        <v>0</v>
      </c>
      <c r="EG77" s="36">
        <v>0</v>
      </c>
      <c r="EH77" s="36">
        <v>0</v>
      </c>
      <c r="EI77" s="36">
        <v>0</v>
      </c>
      <c r="EJ77" s="36">
        <v>0</v>
      </c>
      <c r="EK77" s="36">
        <v>0</v>
      </c>
      <c r="EL77" s="36">
        <v>0</v>
      </c>
      <c r="EM77" s="36">
        <v>0</v>
      </c>
      <c r="EN77" s="36">
        <v>0</v>
      </c>
      <c r="EO77" s="36">
        <v>0</v>
      </c>
      <c r="EP77" s="36">
        <v>0</v>
      </c>
      <c r="EQ77" s="36">
        <v>0</v>
      </c>
      <c r="ER77" s="36">
        <v>0</v>
      </c>
      <c r="ES77" s="36">
        <v>0</v>
      </c>
      <c r="ET77" s="36">
        <v>0</v>
      </c>
      <c r="EU77" s="36">
        <v>0</v>
      </c>
      <c r="EV77" s="36">
        <v>0</v>
      </c>
      <c r="EW77" s="36">
        <v>0</v>
      </c>
      <c r="EX77" s="36">
        <v>0</v>
      </c>
      <c r="EY77" s="36">
        <v>0</v>
      </c>
      <c r="EZ77" s="36">
        <v>0</v>
      </c>
      <c r="FA77" s="36">
        <v>0</v>
      </c>
      <c r="FB77" s="36">
        <v>0</v>
      </c>
      <c r="FC77" s="36">
        <v>0</v>
      </c>
      <c r="FD77" s="36">
        <v>0</v>
      </c>
      <c r="FE77" s="36">
        <v>0</v>
      </c>
      <c r="FF77" s="36">
        <v>0</v>
      </c>
      <c r="FG77" s="36">
        <v>0</v>
      </c>
      <c r="FH77" s="36">
        <v>0</v>
      </c>
      <c r="FI77" s="36">
        <v>0</v>
      </c>
      <c r="FJ77" s="36">
        <v>0</v>
      </c>
      <c r="FK77" s="36">
        <v>0</v>
      </c>
      <c r="FL77" s="36">
        <v>0</v>
      </c>
      <c r="FM77" s="36">
        <v>0</v>
      </c>
      <c r="FN77" s="36">
        <v>0</v>
      </c>
      <c r="FO77" s="36">
        <v>0</v>
      </c>
      <c r="FP77" s="36">
        <v>0</v>
      </c>
      <c r="FQ77" s="36">
        <v>0</v>
      </c>
      <c r="FR77" s="36">
        <v>0</v>
      </c>
      <c r="FS77" s="36">
        <v>0</v>
      </c>
      <c r="FT77" s="36">
        <v>0</v>
      </c>
      <c r="FU77" s="36">
        <v>0</v>
      </c>
      <c r="FV77" s="36">
        <v>0</v>
      </c>
      <c r="FW77" s="36">
        <v>0</v>
      </c>
      <c r="FX77" s="36">
        <v>0</v>
      </c>
      <c r="FY77" s="36">
        <v>0</v>
      </c>
      <c r="FZ77" s="36">
        <v>0</v>
      </c>
      <c r="GA77" s="36">
        <v>0</v>
      </c>
      <c r="GB77" s="36">
        <v>0</v>
      </c>
      <c r="GC77" s="36">
        <v>0</v>
      </c>
      <c r="GD77" s="36">
        <v>0</v>
      </c>
      <c r="GE77" s="36">
        <v>0</v>
      </c>
      <c r="GF77" s="36">
        <v>0</v>
      </c>
      <c r="GG77" s="42">
        <v>333.04547746152343</v>
      </c>
      <c r="GH77" s="42">
        <v>844.19381027136649</v>
      </c>
      <c r="GI77" s="42">
        <v>829.28786707067411</v>
      </c>
      <c r="GJ77" s="42">
        <v>1339.260836708984</v>
      </c>
      <c r="GK77" s="42">
        <v>2042.3650173602982</v>
      </c>
      <c r="GL77" s="42">
        <v>2321.4788271119069</v>
      </c>
      <c r="GM77" s="42">
        <v>2788.5857809469485</v>
      </c>
      <c r="GN77" s="42">
        <v>5280.7058364585801</v>
      </c>
      <c r="GO77" s="42">
        <v>8467.840880112346</v>
      </c>
      <c r="GP77" s="42">
        <v>2570.3004809656154</v>
      </c>
      <c r="GQ77" s="42">
        <v>2040.3025848537286</v>
      </c>
      <c r="GR77" s="42">
        <v>2469.1265697030935</v>
      </c>
      <c r="GS77" s="42">
        <v>2634.237940486717</v>
      </c>
      <c r="GT77" s="42">
        <v>3128.1030728163632</v>
      </c>
      <c r="GU77" s="36">
        <v>0</v>
      </c>
      <c r="GV77" s="36">
        <v>0</v>
      </c>
      <c r="GW77" s="36">
        <v>0</v>
      </c>
      <c r="GX77" s="36">
        <v>0</v>
      </c>
      <c r="GY77" s="36">
        <v>0</v>
      </c>
      <c r="GZ77" s="36">
        <v>0</v>
      </c>
      <c r="HA77" s="38">
        <v>255.39736363592237</v>
      </c>
      <c r="HB77" s="36">
        <v>0</v>
      </c>
      <c r="HC77" s="36">
        <f t="shared" si="1"/>
        <v>65421.00115822121</v>
      </c>
      <c r="HD77" s="36">
        <f>SUM(BV$5:BV$213)</f>
        <v>65421.00115822121</v>
      </c>
      <c r="HE77" s="41">
        <v>0</v>
      </c>
      <c r="HG77" s="43"/>
      <c r="HH77" s="43"/>
      <c r="HI77" s="43"/>
      <c r="HJ77" s="43"/>
      <c r="HK77" s="43"/>
      <c r="HL77" s="43"/>
      <c r="HM77" s="43"/>
      <c r="HN77" s="43"/>
      <c r="HO77" s="43"/>
      <c r="HP77" s="43"/>
      <c r="HQ77" s="43"/>
      <c r="HR77" s="43"/>
      <c r="HS77" s="43"/>
      <c r="HT77" s="43"/>
    </row>
    <row r="78" spans="1:228" hidden="1" outlineLevel="1" x14ac:dyDescent="0.2">
      <c r="A78" s="9" t="s">
        <v>693</v>
      </c>
      <c r="B78" s="36">
        <v>1593.601498596347</v>
      </c>
      <c r="C78" s="36">
        <v>0</v>
      </c>
      <c r="D78" s="36">
        <v>0</v>
      </c>
      <c r="E78" s="36">
        <v>0</v>
      </c>
      <c r="F78" s="36">
        <v>0</v>
      </c>
      <c r="G78" s="36">
        <v>0</v>
      </c>
      <c r="H78" s="36">
        <v>0</v>
      </c>
      <c r="I78" s="36">
        <v>15295.323039978684</v>
      </c>
      <c r="J78" s="36">
        <v>3.3031857602099701</v>
      </c>
      <c r="K78" s="36">
        <v>0</v>
      </c>
      <c r="L78" s="36">
        <v>0</v>
      </c>
      <c r="M78" s="36">
        <v>0</v>
      </c>
      <c r="N78" s="36">
        <v>0</v>
      </c>
      <c r="O78" s="36">
        <v>0</v>
      </c>
      <c r="P78" s="36">
        <v>0</v>
      </c>
      <c r="Q78" s="36">
        <v>33.14215832343335</v>
      </c>
      <c r="R78" s="36">
        <v>0</v>
      </c>
      <c r="S78" s="36">
        <v>26.600009253977881</v>
      </c>
      <c r="T78" s="36">
        <v>28.444774384421095</v>
      </c>
      <c r="U78" s="36">
        <v>0</v>
      </c>
      <c r="V78" s="36">
        <v>0</v>
      </c>
      <c r="W78" s="36">
        <v>0</v>
      </c>
      <c r="X78" s="36">
        <v>0</v>
      </c>
      <c r="Y78" s="36">
        <v>0</v>
      </c>
      <c r="Z78" s="36">
        <v>0</v>
      </c>
      <c r="AA78" s="36">
        <v>0</v>
      </c>
      <c r="AB78" s="36">
        <v>0</v>
      </c>
      <c r="AC78" s="36">
        <v>0</v>
      </c>
      <c r="AD78" s="36">
        <v>0</v>
      </c>
      <c r="AE78" s="36">
        <v>0</v>
      </c>
      <c r="AF78" s="36">
        <v>0</v>
      </c>
      <c r="AG78" s="36">
        <v>0</v>
      </c>
      <c r="AH78" s="36">
        <v>66.043904954466058</v>
      </c>
      <c r="AI78" s="36">
        <v>35.255134613094064</v>
      </c>
      <c r="AJ78" s="36">
        <v>40.082518028518855</v>
      </c>
      <c r="AK78" s="36">
        <v>0</v>
      </c>
      <c r="AL78" s="36">
        <v>0</v>
      </c>
      <c r="AM78" s="36">
        <v>0</v>
      </c>
      <c r="AN78" s="36">
        <v>0</v>
      </c>
      <c r="AO78" s="36">
        <v>7799.0127596524271</v>
      </c>
      <c r="AP78" s="36">
        <v>37.747448515079867</v>
      </c>
      <c r="AQ78" s="36">
        <v>38.525868196967295</v>
      </c>
      <c r="AR78" s="36">
        <v>80.632752644866741</v>
      </c>
      <c r="AS78" s="36">
        <v>0</v>
      </c>
      <c r="AT78" s="36">
        <v>0</v>
      </c>
      <c r="AU78" s="36">
        <v>0</v>
      </c>
      <c r="AV78" s="36">
        <v>0</v>
      </c>
      <c r="AW78" s="36">
        <v>0</v>
      </c>
      <c r="AX78" s="36">
        <v>0</v>
      </c>
      <c r="AY78" s="36">
        <v>0</v>
      </c>
      <c r="AZ78" s="36">
        <v>0</v>
      </c>
      <c r="BA78" s="36">
        <v>0</v>
      </c>
      <c r="BB78" s="36">
        <v>0</v>
      </c>
      <c r="BC78" s="36">
        <v>747.58662785269291</v>
      </c>
      <c r="BD78" s="36">
        <v>9.833285697448293</v>
      </c>
      <c r="BE78" s="36">
        <v>643.79548621952733</v>
      </c>
      <c r="BF78" s="36">
        <v>0</v>
      </c>
      <c r="BG78" s="36">
        <v>57.996534247214477</v>
      </c>
      <c r="BH78" s="36">
        <v>1167.7096099425085</v>
      </c>
      <c r="BI78" s="36">
        <v>0</v>
      </c>
      <c r="BJ78" s="36">
        <v>1994.7765036695048</v>
      </c>
      <c r="BK78" s="36">
        <v>0</v>
      </c>
      <c r="BL78" s="36">
        <v>0</v>
      </c>
      <c r="BM78" s="36">
        <v>0</v>
      </c>
      <c r="BN78" s="36">
        <v>0</v>
      </c>
      <c r="BO78" s="36">
        <v>0</v>
      </c>
      <c r="BP78" s="36">
        <v>0</v>
      </c>
      <c r="BQ78" s="36">
        <v>0</v>
      </c>
      <c r="BR78" s="36">
        <v>0</v>
      </c>
      <c r="BS78" s="36">
        <v>0</v>
      </c>
      <c r="BT78" s="36">
        <v>0</v>
      </c>
      <c r="BU78" s="36">
        <v>0</v>
      </c>
      <c r="BV78" s="36">
        <v>0</v>
      </c>
      <c r="BW78" s="36">
        <v>0</v>
      </c>
      <c r="BX78" s="36">
        <v>0</v>
      </c>
      <c r="BY78" s="36">
        <v>0</v>
      </c>
      <c r="BZ78" s="36">
        <v>0</v>
      </c>
      <c r="CA78" s="36">
        <v>0</v>
      </c>
      <c r="CB78" s="36">
        <v>0</v>
      </c>
      <c r="CC78" s="36">
        <v>0</v>
      </c>
      <c r="CD78" s="36">
        <v>0</v>
      </c>
      <c r="CE78" s="36">
        <v>0</v>
      </c>
      <c r="CF78" s="36">
        <v>0</v>
      </c>
      <c r="CG78" s="36">
        <v>0</v>
      </c>
      <c r="CH78" s="36">
        <v>0</v>
      </c>
      <c r="CI78" s="36">
        <v>0</v>
      </c>
      <c r="CJ78" s="36">
        <v>0</v>
      </c>
      <c r="CK78" s="36">
        <v>0</v>
      </c>
      <c r="CL78" s="36">
        <v>0</v>
      </c>
      <c r="CM78" s="36">
        <v>0</v>
      </c>
      <c r="CN78" s="36">
        <v>0</v>
      </c>
      <c r="CO78" s="36">
        <v>0</v>
      </c>
      <c r="CP78" s="36">
        <v>0</v>
      </c>
      <c r="CQ78" s="36">
        <v>0</v>
      </c>
      <c r="CR78" s="36">
        <v>0</v>
      </c>
      <c r="CS78" s="36">
        <v>0</v>
      </c>
      <c r="CT78" s="36">
        <v>0</v>
      </c>
      <c r="CU78" s="36">
        <v>0</v>
      </c>
      <c r="CV78" s="36">
        <v>0</v>
      </c>
      <c r="CW78" s="36">
        <v>0</v>
      </c>
      <c r="CX78" s="36">
        <v>0</v>
      </c>
      <c r="CY78" s="36">
        <v>0</v>
      </c>
      <c r="CZ78" s="36">
        <v>0</v>
      </c>
      <c r="DA78" s="36">
        <v>0</v>
      </c>
      <c r="DB78" s="36">
        <v>0</v>
      </c>
      <c r="DC78" s="36">
        <v>0</v>
      </c>
      <c r="DD78" s="36">
        <v>0</v>
      </c>
      <c r="DE78" s="36">
        <v>0</v>
      </c>
      <c r="DF78" s="36">
        <v>0</v>
      </c>
      <c r="DG78" s="36">
        <v>0</v>
      </c>
      <c r="DH78" s="36">
        <v>0</v>
      </c>
      <c r="DI78" s="36">
        <v>0</v>
      </c>
      <c r="DJ78" s="36">
        <v>0</v>
      </c>
      <c r="DK78" s="36">
        <v>0</v>
      </c>
      <c r="DL78" s="36">
        <v>0</v>
      </c>
      <c r="DM78" s="36">
        <v>0</v>
      </c>
      <c r="DN78" s="36">
        <v>0</v>
      </c>
      <c r="DO78" s="36">
        <v>0</v>
      </c>
      <c r="DP78" s="36">
        <v>0</v>
      </c>
      <c r="DQ78" s="36">
        <v>0</v>
      </c>
      <c r="DR78" s="36">
        <v>0</v>
      </c>
      <c r="DS78" s="36">
        <v>0</v>
      </c>
      <c r="DT78" s="36">
        <v>0</v>
      </c>
      <c r="DU78" s="36">
        <v>0</v>
      </c>
      <c r="DV78" s="36">
        <v>0</v>
      </c>
      <c r="DW78" s="36">
        <v>0</v>
      </c>
      <c r="DX78" s="36">
        <v>0</v>
      </c>
      <c r="DY78" s="36">
        <v>0</v>
      </c>
      <c r="DZ78" s="36">
        <v>0</v>
      </c>
      <c r="EA78" s="36">
        <v>0</v>
      </c>
      <c r="EB78" s="36">
        <v>0</v>
      </c>
      <c r="EC78" s="36">
        <v>0</v>
      </c>
      <c r="ED78" s="36">
        <v>0</v>
      </c>
      <c r="EE78" s="36">
        <v>0</v>
      </c>
      <c r="EF78" s="36">
        <v>0</v>
      </c>
      <c r="EG78" s="36">
        <v>0</v>
      </c>
      <c r="EH78" s="36">
        <v>0</v>
      </c>
      <c r="EI78" s="36">
        <v>0</v>
      </c>
      <c r="EJ78" s="36">
        <v>0</v>
      </c>
      <c r="EK78" s="36">
        <v>0</v>
      </c>
      <c r="EL78" s="36">
        <v>0</v>
      </c>
      <c r="EM78" s="36">
        <v>0</v>
      </c>
      <c r="EN78" s="36">
        <v>0</v>
      </c>
      <c r="EO78" s="36">
        <v>0</v>
      </c>
      <c r="EP78" s="36">
        <v>0</v>
      </c>
      <c r="EQ78" s="36">
        <v>0</v>
      </c>
      <c r="ER78" s="36">
        <v>0</v>
      </c>
      <c r="ES78" s="36">
        <v>0</v>
      </c>
      <c r="ET78" s="36">
        <v>0</v>
      </c>
      <c r="EU78" s="36">
        <v>0</v>
      </c>
      <c r="EV78" s="36">
        <v>0</v>
      </c>
      <c r="EW78" s="36">
        <v>0</v>
      </c>
      <c r="EX78" s="36">
        <v>0</v>
      </c>
      <c r="EY78" s="36">
        <v>0</v>
      </c>
      <c r="EZ78" s="36">
        <v>0</v>
      </c>
      <c r="FA78" s="36">
        <v>0</v>
      </c>
      <c r="FB78" s="36">
        <v>0</v>
      </c>
      <c r="FC78" s="36">
        <v>0</v>
      </c>
      <c r="FD78" s="36">
        <v>0</v>
      </c>
      <c r="FE78" s="36">
        <v>0</v>
      </c>
      <c r="FF78" s="36">
        <v>0</v>
      </c>
      <c r="FG78" s="36">
        <v>0</v>
      </c>
      <c r="FH78" s="36">
        <v>0</v>
      </c>
      <c r="FI78" s="36">
        <v>0</v>
      </c>
      <c r="FJ78" s="36">
        <v>0</v>
      </c>
      <c r="FK78" s="36">
        <v>0</v>
      </c>
      <c r="FL78" s="36">
        <v>0</v>
      </c>
      <c r="FM78" s="36">
        <v>0</v>
      </c>
      <c r="FN78" s="36">
        <v>0</v>
      </c>
      <c r="FO78" s="36">
        <v>0</v>
      </c>
      <c r="FP78" s="36">
        <v>0</v>
      </c>
      <c r="FQ78" s="36">
        <v>0</v>
      </c>
      <c r="FR78" s="36">
        <v>0</v>
      </c>
      <c r="FS78" s="36">
        <v>0</v>
      </c>
      <c r="FT78" s="36">
        <v>0</v>
      </c>
      <c r="FU78" s="36">
        <v>0</v>
      </c>
      <c r="FV78" s="36">
        <v>0</v>
      </c>
      <c r="FW78" s="36">
        <v>0</v>
      </c>
      <c r="FX78" s="36">
        <v>0</v>
      </c>
      <c r="FY78" s="36">
        <v>0</v>
      </c>
      <c r="FZ78" s="36">
        <v>0</v>
      </c>
      <c r="GA78" s="36">
        <v>0</v>
      </c>
      <c r="GB78" s="36">
        <v>0</v>
      </c>
      <c r="GC78" s="36">
        <v>0</v>
      </c>
      <c r="GD78" s="36">
        <v>0</v>
      </c>
      <c r="GE78" s="36">
        <v>0</v>
      </c>
      <c r="GF78" s="36">
        <v>0</v>
      </c>
      <c r="GG78" s="42">
        <v>4554.83360825415</v>
      </c>
      <c r="GH78" s="42">
        <v>6625.753134401175</v>
      </c>
      <c r="GI78" s="42">
        <v>7825.1190519990041</v>
      </c>
      <c r="GJ78" s="42">
        <v>8860.821740185138</v>
      </c>
      <c r="GK78" s="42">
        <v>9670.5833510977063</v>
      </c>
      <c r="GL78" s="42">
        <v>10891.111168299552</v>
      </c>
      <c r="GM78" s="42">
        <v>10931.856125492492</v>
      </c>
      <c r="GN78" s="42">
        <v>14683.185549507707</v>
      </c>
      <c r="GO78" s="42">
        <v>16386.778764526625</v>
      </c>
      <c r="GP78" s="42">
        <v>4494.6174979349817</v>
      </c>
      <c r="GQ78" s="42">
        <v>3517.0328803081634</v>
      </c>
      <c r="GR78" s="42">
        <v>3885.6934209036431</v>
      </c>
      <c r="GS78" s="42">
        <v>3721.2902852226898</v>
      </c>
      <c r="GT78" s="42">
        <v>4214.8885225823442</v>
      </c>
      <c r="GU78" s="36">
        <v>0</v>
      </c>
      <c r="GV78" s="36">
        <v>0</v>
      </c>
      <c r="GW78" s="36">
        <v>0</v>
      </c>
      <c r="GX78" s="36">
        <v>0</v>
      </c>
      <c r="GY78" s="36">
        <v>0</v>
      </c>
      <c r="GZ78" s="36">
        <v>0</v>
      </c>
      <c r="HA78" s="38">
        <v>106.03292878495995</v>
      </c>
      <c r="HB78" s="36">
        <v>7914.434777076016</v>
      </c>
      <c r="HC78" s="36">
        <f t="shared" si="1"/>
        <v>147983.4459071077</v>
      </c>
      <c r="HD78" s="36">
        <f>SUM(BW$5:BW$213)</f>
        <v>147983.4459071077</v>
      </c>
      <c r="HE78" s="41">
        <v>0</v>
      </c>
      <c r="HG78" s="43"/>
      <c r="HH78" s="43"/>
      <c r="HI78" s="43"/>
      <c r="HJ78" s="43"/>
      <c r="HK78" s="43"/>
      <c r="HL78" s="43"/>
      <c r="HM78" s="43"/>
      <c r="HN78" s="43"/>
      <c r="HO78" s="43"/>
      <c r="HP78" s="43"/>
      <c r="HQ78" s="43"/>
      <c r="HR78" s="43"/>
      <c r="HS78" s="43"/>
      <c r="HT78" s="43"/>
    </row>
    <row r="79" spans="1:228" hidden="1" outlineLevel="1" x14ac:dyDescent="0.2">
      <c r="A79" s="9" t="s">
        <v>700</v>
      </c>
      <c r="B79" s="36">
        <v>2203.072268204985</v>
      </c>
      <c r="C79" s="36">
        <v>0</v>
      </c>
      <c r="D79" s="36">
        <v>0</v>
      </c>
      <c r="E79" s="36">
        <v>0</v>
      </c>
      <c r="F79" s="36">
        <v>0</v>
      </c>
      <c r="G79" s="36">
        <v>0</v>
      </c>
      <c r="H79" s="36">
        <v>0</v>
      </c>
      <c r="I79" s="36">
        <v>3259.3861906625784</v>
      </c>
      <c r="J79" s="36">
        <v>0</v>
      </c>
      <c r="K79" s="36">
        <v>0</v>
      </c>
      <c r="L79" s="36">
        <v>0</v>
      </c>
      <c r="M79" s="36">
        <v>0</v>
      </c>
      <c r="N79" s="36">
        <v>0</v>
      </c>
      <c r="O79" s="36">
        <v>0</v>
      </c>
      <c r="P79" s="36">
        <v>0</v>
      </c>
      <c r="Q79" s="36">
        <v>0</v>
      </c>
      <c r="R79" s="36">
        <v>0</v>
      </c>
      <c r="S79" s="36">
        <v>0</v>
      </c>
      <c r="T79" s="36">
        <v>0.49444583720830249</v>
      </c>
      <c r="U79" s="36">
        <v>0</v>
      </c>
      <c r="V79" s="36">
        <v>0</v>
      </c>
      <c r="W79" s="36">
        <v>0</v>
      </c>
      <c r="X79" s="36">
        <v>0</v>
      </c>
      <c r="Y79" s="36">
        <v>0</v>
      </c>
      <c r="Z79" s="36">
        <v>1030.7382033409153</v>
      </c>
      <c r="AA79" s="36">
        <v>0</v>
      </c>
      <c r="AB79" s="36">
        <v>0</v>
      </c>
      <c r="AC79" s="36">
        <v>0</v>
      </c>
      <c r="AD79" s="36">
        <v>0</v>
      </c>
      <c r="AE79" s="36">
        <v>0</v>
      </c>
      <c r="AF79" s="36">
        <v>0</v>
      </c>
      <c r="AG79" s="36">
        <v>0</v>
      </c>
      <c r="AH79" s="36">
        <v>0</v>
      </c>
      <c r="AI79" s="36">
        <v>15.526261270816523</v>
      </c>
      <c r="AJ79" s="36">
        <v>17.890407260270024</v>
      </c>
      <c r="AK79" s="36">
        <v>0</v>
      </c>
      <c r="AL79" s="36">
        <v>0</v>
      </c>
      <c r="AM79" s="36">
        <v>0</v>
      </c>
      <c r="AN79" s="36">
        <v>0</v>
      </c>
      <c r="AO79" s="36">
        <v>725.90185034597243</v>
      </c>
      <c r="AP79" s="36">
        <v>1.9771466700532074</v>
      </c>
      <c r="AQ79" s="36">
        <v>0</v>
      </c>
      <c r="AR79" s="36">
        <v>90.035287025227746</v>
      </c>
      <c r="AS79" s="36">
        <v>0</v>
      </c>
      <c r="AT79" s="36">
        <v>0</v>
      </c>
      <c r="AU79" s="36">
        <v>0</v>
      </c>
      <c r="AV79" s="36">
        <v>0</v>
      </c>
      <c r="AW79" s="36">
        <v>0</v>
      </c>
      <c r="AX79" s="36">
        <v>0</v>
      </c>
      <c r="AY79" s="36">
        <v>0</v>
      </c>
      <c r="AZ79" s="36">
        <v>0</v>
      </c>
      <c r="BA79" s="36">
        <v>0</v>
      </c>
      <c r="BB79" s="36">
        <v>0</v>
      </c>
      <c r="BC79" s="36">
        <v>122.6598236219112</v>
      </c>
      <c r="BD79" s="36">
        <v>9.8023528316088377</v>
      </c>
      <c r="BE79" s="36">
        <v>164.02939340685191</v>
      </c>
      <c r="BF79" s="36">
        <v>0</v>
      </c>
      <c r="BG79" s="36">
        <v>0</v>
      </c>
      <c r="BH79" s="36">
        <v>0</v>
      </c>
      <c r="BI79" s="36">
        <v>0</v>
      </c>
      <c r="BJ79" s="36">
        <v>3348.3912270123051</v>
      </c>
      <c r="BK79" s="36">
        <v>0</v>
      </c>
      <c r="BL79" s="36">
        <v>0</v>
      </c>
      <c r="BM79" s="36">
        <v>0</v>
      </c>
      <c r="BN79" s="36">
        <v>0</v>
      </c>
      <c r="BO79" s="36">
        <v>0</v>
      </c>
      <c r="BP79" s="36">
        <v>0</v>
      </c>
      <c r="BQ79" s="36">
        <v>0</v>
      </c>
      <c r="BR79" s="36">
        <v>0</v>
      </c>
      <c r="BS79" s="36">
        <v>0</v>
      </c>
      <c r="BT79" s="36">
        <v>0</v>
      </c>
      <c r="BU79" s="36">
        <v>0</v>
      </c>
      <c r="BV79" s="36">
        <v>0</v>
      </c>
      <c r="BW79" s="36">
        <v>0</v>
      </c>
      <c r="BX79" s="36">
        <v>0</v>
      </c>
      <c r="BY79" s="36">
        <v>0</v>
      </c>
      <c r="BZ79" s="36">
        <v>0</v>
      </c>
      <c r="CA79" s="36">
        <v>0</v>
      </c>
      <c r="CB79" s="36">
        <v>0</v>
      </c>
      <c r="CC79" s="36">
        <v>0</v>
      </c>
      <c r="CD79" s="36">
        <v>0</v>
      </c>
      <c r="CE79" s="36">
        <v>0</v>
      </c>
      <c r="CF79" s="36">
        <v>0</v>
      </c>
      <c r="CG79" s="36">
        <v>0</v>
      </c>
      <c r="CH79" s="36">
        <v>0</v>
      </c>
      <c r="CI79" s="36">
        <v>0</v>
      </c>
      <c r="CJ79" s="36">
        <v>0</v>
      </c>
      <c r="CK79" s="36">
        <v>0</v>
      </c>
      <c r="CL79" s="36">
        <v>0</v>
      </c>
      <c r="CM79" s="36">
        <v>0</v>
      </c>
      <c r="CN79" s="36">
        <v>0</v>
      </c>
      <c r="CO79" s="36">
        <v>0</v>
      </c>
      <c r="CP79" s="36">
        <v>0</v>
      </c>
      <c r="CQ79" s="36">
        <v>0</v>
      </c>
      <c r="CR79" s="36">
        <v>0</v>
      </c>
      <c r="CS79" s="36">
        <v>0</v>
      </c>
      <c r="CT79" s="36">
        <v>0</v>
      </c>
      <c r="CU79" s="36">
        <v>0</v>
      </c>
      <c r="CV79" s="36">
        <v>0</v>
      </c>
      <c r="CW79" s="36">
        <v>0</v>
      </c>
      <c r="CX79" s="36">
        <v>0</v>
      </c>
      <c r="CY79" s="36">
        <v>0</v>
      </c>
      <c r="CZ79" s="36">
        <v>0</v>
      </c>
      <c r="DA79" s="36">
        <v>0</v>
      </c>
      <c r="DB79" s="36">
        <v>0</v>
      </c>
      <c r="DC79" s="36">
        <v>0</v>
      </c>
      <c r="DD79" s="36">
        <v>0</v>
      </c>
      <c r="DE79" s="36">
        <v>0</v>
      </c>
      <c r="DF79" s="36">
        <v>0</v>
      </c>
      <c r="DG79" s="36">
        <v>0</v>
      </c>
      <c r="DH79" s="36">
        <v>0</v>
      </c>
      <c r="DI79" s="36">
        <v>0</v>
      </c>
      <c r="DJ79" s="36">
        <v>0</v>
      </c>
      <c r="DK79" s="36">
        <v>0</v>
      </c>
      <c r="DL79" s="36">
        <v>0</v>
      </c>
      <c r="DM79" s="36">
        <v>0</v>
      </c>
      <c r="DN79" s="36">
        <v>0</v>
      </c>
      <c r="DO79" s="36">
        <v>0</v>
      </c>
      <c r="DP79" s="36">
        <v>0</v>
      </c>
      <c r="DQ79" s="36">
        <v>0</v>
      </c>
      <c r="DR79" s="36">
        <v>0</v>
      </c>
      <c r="DS79" s="36">
        <v>0</v>
      </c>
      <c r="DT79" s="36">
        <v>0</v>
      </c>
      <c r="DU79" s="36">
        <v>0</v>
      </c>
      <c r="DV79" s="36">
        <v>0</v>
      </c>
      <c r="DW79" s="36">
        <v>0</v>
      </c>
      <c r="DX79" s="36">
        <v>0</v>
      </c>
      <c r="DY79" s="36">
        <v>0</v>
      </c>
      <c r="DZ79" s="36">
        <v>0</v>
      </c>
      <c r="EA79" s="36">
        <v>0</v>
      </c>
      <c r="EB79" s="36">
        <v>0</v>
      </c>
      <c r="EC79" s="36">
        <v>0</v>
      </c>
      <c r="ED79" s="36">
        <v>0</v>
      </c>
      <c r="EE79" s="36">
        <v>0</v>
      </c>
      <c r="EF79" s="36">
        <v>0</v>
      </c>
      <c r="EG79" s="36">
        <v>0</v>
      </c>
      <c r="EH79" s="36">
        <v>0</v>
      </c>
      <c r="EI79" s="36">
        <v>0</v>
      </c>
      <c r="EJ79" s="36">
        <v>0</v>
      </c>
      <c r="EK79" s="36">
        <v>0</v>
      </c>
      <c r="EL79" s="36">
        <v>0</v>
      </c>
      <c r="EM79" s="36">
        <v>0</v>
      </c>
      <c r="EN79" s="36">
        <v>0</v>
      </c>
      <c r="EO79" s="36">
        <v>0</v>
      </c>
      <c r="EP79" s="36">
        <v>0</v>
      </c>
      <c r="EQ79" s="36">
        <v>0</v>
      </c>
      <c r="ER79" s="36">
        <v>0</v>
      </c>
      <c r="ES79" s="36">
        <v>0</v>
      </c>
      <c r="ET79" s="36">
        <v>0</v>
      </c>
      <c r="EU79" s="36">
        <v>0</v>
      </c>
      <c r="EV79" s="36">
        <v>0</v>
      </c>
      <c r="EW79" s="36">
        <v>0</v>
      </c>
      <c r="EX79" s="36">
        <v>0</v>
      </c>
      <c r="EY79" s="36">
        <v>0</v>
      </c>
      <c r="EZ79" s="36">
        <v>0</v>
      </c>
      <c r="FA79" s="36">
        <v>0</v>
      </c>
      <c r="FB79" s="36">
        <v>0</v>
      </c>
      <c r="FC79" s="36">
        <v>0</v>
      </c>
      <c r="FD79" s="36">
        <v>0</v>
      </c>
      <c r="FE79" s="36">
        <v>0</v>
      </c>
      <c r="FF79" s="36">
        <v>0</v>
      </c>
      <c r="FG79" s="36">
        <v>0</v>
      </c>
      <c r="FH79" s="36">
        <v>0</v>
      </c>
      <c r="FI79" s="36">
        <v>0</v>
      </c>
      <c r="FJ79" s="36">
        <v>0</v>
      </c>
      <c r="FK79" s="36">
        <v>0</v>
      </c>
      <c r="FL79" s="36">
        <v>0</v>
      </c>
      <c r="FM79" s="36">
        <v>0</v>
      </c>
      <c r="FN79" s="36">
        <v>0</v>
      </c>
      <c r="FO79" s="36">
        <v>0</v>
      </c>
      <c r="FP79" s="36">
        <v>0</v>
      </c>
      <c r="FQ79" s="36">
        <v>0</v>
      </c>
      <c r="FR79" s="36">
        <v>0</v>
      </c>
      <c r="FS79" s="36">
        <v>0</v>
      </c>
      <c r="FT79" s="36">
        <v>0</v>
      </c>
      <c r="FU79" s="36">
        <v>0</v>
      </c>
      <c r="FV79" s="36">
        <v>0</v>
      </c>
      <c r="FW79" s="36">
        <v>0</v>
      </c>
      <c r="FX79" s="36">
        <v>0</v>
      </c>
      <c r="FY79" s="36">
        <v>0</v>
      </c>
      <c r="FZ79" s="36">
        <v>0</v>
      </c>
      <c r="GA79" s="36">
        <v>0</v>
      </c>
      <c r="GB79" s="36">
        <v>0</v>
      </c>
      <c r="GC79" s="36">
        <v>0</v>
      </c>
      <c r="GD79" s="36">
        <v>0</v>
      </c>
      <c r="GE79" s="36">
        <v>0</v>
      </c>
      <c r="GF79" s="36">
        <v>0</v>
      </c>
      <c r="GG79" s="42">
        <v>719.07155005432026</v>
      </c>
      <c r="GH79" s="42">
        <v>831.30949959507359</v>
      </c>
      <c r="GI79" s="42">
        <v>940.80037056220488</v>
      </c>
      <c r="GJ79" s="42">
        <v>935.03487473792518</v>
      </c>
      <c r="GK79" s="42">
        <v>997.62677020328863</v>
      </c>
      <c r="GL79" s="42">
        <v>1224.8713584757636</v>
      </c>
      <c r="GM79" s="42">
        <v>1121.5227115633429</v>
      </c>
      <c r="GN79" s="42">
        <v>1327.9313113331655</v>
      </c>
      <c r="GO79" s="42">
        <v>1851.7198051452826</v>
      </c>
      <c r="GP79" s="42">
        <v>579.6476650191554</v>
      </c>
      <c r="GQ79" s="42">
        <v>372.57969031909084</v>
      </c>
      <c r="GR79" s="42">
        <v>458.67808035811908</v>
      </c>
      <c r="GS79" s="42">
        <v>716.22863663911403</v>
      </c>
      <c r="GT79" s="42">
        <v>541.92158542315838</v>
      </c>
      <c r="GU79" s="36">
        <v>0</v>
      </c>
      <c r="GV79" s="36">
        <v>0</v>
      </c>
      <c r="GW79" s="36">
        <v>0</v>
      </c>
      <c r="GX79" s="36">
        <v>0</v>
      </c>
      <c r="GY79" s="36">
        <v>0</v>
      </c>
      <c r="GZ79" s="36">
        <v>0</v>
      </c>
      <c r="HA79" s="38">
        <v>927.58694142589593</v>
      </c>
      <c r="HB79" s="36">
        <v>8230.4892095641335</v>
      </c>
      <c r="HC79" s="36">
        <f t="shared" si="1"/>
        <v>32766.924917909739</v>
      </c>
      <c r="HD79" s="36">
        <f>SUM(BX$5:BX$213)</f>
        <v>32766.924917909739</v>
      </c>
      <c r="HE79" s="41">
        <v>0</v>
      </c>
      <c r="HG79" s="43"/>
      <c r="HH79" s="43"/>
      <c r="HI79" s="43"/>
      <c r="HJ79" s="43"/>
      <c r="HK79" s="43"/>
      <c r="HL79" s="43"/>
      <c r="HM79" s="43"/>
      <c r="HN79" s="43"/>
      <c r="HO79" s="43"/>
      <c r="HP79" s="43"/>
      <c r="HQ79" s="43"/>
      <c r="HR79" s="43"/>
      <c r="HS79" s="43"/>
      <c r="HT79" s="43"/>
    </row>
    <row r="80" spans="1:228" hidden="1" outlineLevel="1" x14ac:dyDescent="0.2">
      <c r="A80" s="9" t="s">
        <v>704</v>
      </c>
      <c r="B80" s="36">
        <v>0</v>
      </c>
      <c r="C80" s="36">
        <v>0</v>
      </c>
      <c r="D80" s="36">
        <v>0</v>
      </c>
      <c r="E80" s="36">
        <v>0</v>
      </c>
      <c r="F80" s="36">
        <v>0</v>
      </c>
      <c r="G80" s="36">
        <v>0</v>
      </c>
      <c r="H80" s="36">
        <v>0</v>
      </c>
      <c r="I80" s="36">
        <v>1183.6274690288285</v>
      </c>
      <c r="J80" s="36">
        <v>0</v>
      </c>
      <c r="K80" s="36">
        <v>0</v>
      </c>
      <c r="L80" s="36">
        <v>0</v>
      </c>
      <c r="M80" s="36">
        <v>0</v>
      </c>
      <c r="N80" s="36">
        <v>0</v>
      </c>
      <c r="O80" s="36">
        <v>0</v>
      </c>
      <c r="P80" s="36">
        <v>0</v>
      </c>
      <c r="Q80" s="36">
        <v>0</v>
      </c>
      <c r="R80" s="36">
        <v>0</v>
      </c>
      <c r="S80" s="36">
        <v>0</v>
      </c>
      <c r="T80" s="36">
        <v>0</v>
      </c>
      <c r="U80" s="36">
        <v>0</v>
      </c>
      <c r="V80" s="36">
        <v>0</v>
      </c>
      <c r="W80" s="36">
        <v>0</v>
      </c>
      <c r="X80" s="36">
        <v>0</v>
      </c>
      <c r="Y80" s="36">
        <v>0</v>
      </c>
      <c r="Z80" s="36">
        <v>0</v>
      </c>
      <c r="AA80" s="36">
        <v>0</v>
      </c>
      <c r="AB80" s="36">
        <v>0</v>
      </c>
      <c r="AC80" s="36">
        <v>0</v>
      </c>
      <c r="AD80" s="36">
        <v>0</v>
      </c>
      <c r="AE80" s="36">
        <v>0</v>
      </c>
      <c r="AF80" s="36">
        <v>0</v>
      </c>
      <c r="AG80" s="36">
        <v>0</v>
      </c>
      <c r="AH80" s="36">
        <v>0</v>
      </c>
      <c r="AI80" s="36">
        <v>5.1624130317762056</v>
      </c>
      <c r="AJ80" s="36">
        <v>5.9690290194340108</v>
      </c>
      <c r="AK80" s="36">
        <v>0</v>
      </c>
      <c r="AL80" s="36">
        <v>0</v>
      </c>
      <c r="AM80" s="36">
        <v>0</v>
      </c>
      <c r="AN80" s="36">
        <v>0</v>
      </c>
      <c r="AO80" s="36">
        <v>2178.3004705572812</v>
      </c>
      <c r="AP80" s="36">
        <v>14.272606896808036</v>
      </c>
      <c r="AQ80" s="36">
        <v>0</v>
      </c>
      <c r="AR80" s="36">
        <v>28.031932940636281</v>
      </c>
      <c r="AS80" s="36">
        <v>0</v>
      </c>
      <c r="AT80" s="36">
        <v>0</v>
      </c>
      <c r="AU80" s="36">
        <v>0</v>
      </c>
      <c r="AV80" s="36">
        <v>0</v>
      </c>
      <c r="AW80" s="36">
        <v>0</v>
      </c>
      <c r="AX80" s="36">
        <v>0</v>
      </c>
      <c r="AY80" s="36">
        <v>0</v>
      </c>
      <c r="AZ80" s="36">
        <v>0</v>
      </c>
      <c r="BA80" s="36">
        <v>0</v>
      </c>
      <c r="BB80" s="36">
        <v>0</v>
      </c>
      <c r="BC80" s="36">
        <v>94.373241300435581</v>
      </c>
      <c r="BD80" s="36">
        <v>3.3497062416323575</v>
      </c>
      <c r="BE80" s="36">
        <v>357.00100855900052</v>
      </c>
      <c r="BF80" s="36">
        <v>0</v>
      </c>
      <c r="BG80" s="36">
        <v>21.416785858572553</v>
      </c>
      <c r="BH80" s="36">
        <v>426.44232697157088</v>
      </c>
      <c r="BI80" s="36">
        <v>0</v>
      </c>
      <c r="BJ80" s="36">
        <v>1021.7779509000187</v>
      </c>
      <c r="BK80" s="36">
        <v>0</v>
      </c>
      <c r="BL80" s="36">
        <v>0</v>
      </c>
      <c r="BM80" s="36">
        <v>0</v>
      </c>
      <c r="BN80" s="36">
        <v>0</v>
      </c>
      <c r="BO80" s="36">
        <v>0</v>
      </c>
      <c r="BP80" s="36">
        <v>0</v>
      </c>
      <c r="BQ80" s="36">
        <v>0</v>
      </c>
      <c r="BR80" s="36">
        <v>0</v>
      </c>
      <c r="BS80" s="36">
        <v>0</v>
      </c>
      <c r="BT80" s="36">
        <v>0</v>
      </c>
      <c r="BU80" s="36">
        <v>0</v>
      </c>
      <c r="BV80" s="36">
        <v>0</v>
      </c>
      <c r="BW80" s="36">
        <v>0</v>
      </c>
      <c r="BX80" s="36">
        <v>0</v>
      </c>
      <c r="BY80" s="36">
        <v>0</v>
      </c>
      <c r="BZ80" s="36">
        <v>0</v>
      </c>
      <c r="CA80" s="36">
        <v>0</v>
      </c>
      <c r="CB80" s="36">
        <v>0</v>
      </c>
      <c r="CC80" s="36">
        <v>0</v>
      </c>
      <c r="CD80" s="36">
        <v>0</v>
      </c>
      <c r="CE80" s="36">
        <v>0</v>
      </c>
      <c r="CF80" s="36">
        <v>0</v>
      </c>
      <c r="CG80" s="36">
        <v>0</v>
      </c>
      <c r="CH80" s="36">
        <v>0</v>
      </c>
      <c r="CI80" s="36">
        <v>0</v>
      </c>
      <c r="CJ80" s="36">
        <v>0</v>
      </c>
      <c r="CK80" s="36">
        <v>0</v>
      </c>
      <c r="CL80" s="36">
        <v>0</v>
      </c>
      <c r="CM80" s="36">
        <v>0</v>
      </c>
      <c r="CN80" s="36">
        <v>0</v>
      </c>
      <c r="CO80" s="36">
        <v>0</v>
      </c>
      <c r="CP80" s="36">
        <v>0</v>
      </c>
      <c r="CQ80" s="36">
        <v>0</v>
      </c>
      <c r="CR80" s="36">
        <v>0</v>
      </c>
      <c r="CS80" s="36">
        <v>0</v>
      </c>
      <c r="CT80" s="36">
        <v>0</v>
      </c>
      <c r="CU80" s="36">
        <v>0</v>
      </c>
      <c r="CV80" s="36">
        <v>0</v>
      </c>
      <c r="CW80" s="36">
        <v>0</v>
      </c>
      <c r="CX80" s="36">
        <v>0</v>
      </c>
      <c r="CY80" s="36">
        <v>0</v>
      </c>
      <c r="CZ80" s="36">
        <v>0</v>
      </c>
      <c r="DA80" s="36">
        <v>0</v>
      </c>
      <c r="DB80" s="36">
        <v>0</v>
      </c>
      <c r="DC80" s="36">
        <v>0</v>
      </c>
      <c r="DD80" s="36">
        <v>0</v>
      </c>
      <c r="DE80" s="36">
        <v>0</v>
      </c>
      <c r="DF80" s="36">
        <v>0</v>
      </c>
      <c r="DG80" s="36">
        <v>0</v>
      </c>
      <c r="DH80" s="36">
        <v>0</v>
      </c>
      <c r="DI80" s="36">
        <v>0</v>
      </c>
      <c r="DJ80" s="36">
        <v>0</v>
      </c>
      <c r="DK80" s="36">
        <v>0</v>
      </c>
      <c r="DL80" s="36">
        <v>0</v>
      </c>
      <c r="DM80" s="36">
        <v>0</v>
      </c>
      <c r="DN80" s="36">
        <v>0</v>
      </c>
      <c r="DO80" s="36">
        <v>0</v>
      </c>
      <c r="DP80" s="36">
        <v>0</v>
      </c>
      <c r="DQ80" s="36">
        <v>0</v>
      </c>
      <c r="DR80" s="36">
        <v>0</v>
      </c>
      <c r="DS80" s="36">
        <v>0</v>
      </c>
      <c r="DT80" s="36">
        <v>0</v>
      </c>
      <c r="DU80" s="36">
        <v>0</v>
      </c>
      <c r="DV80" s="36">
        <v>0</v>
      </c>
      <c r="DW80" s="36">
        <v>0</v>
      </c>
      <c r="DX80" s="36">
        <v>0</v>
      </c>
      <c r="DY80" s="36">
        <v>0</v>
      </c>
      <c r="DZ80" s="36">
        <v>0</v>
      </c>
      <c r="EA80" s="36">
        <v>0</v>
      </c>
      <c r="EB80" s="36">
        <v>0</v>
      </c>
      <c r="EC80" s="36">
        <v>0</v>
      </c>
      <c r="ED80" s="36">
        <v>0</v>
      </c>
      <c r="EE80" s="36">
        <v>0</v>
      </c>
      <c r="EF80" s="36">
        <v>0</v>
      </c>
      <c r="EG80" s="36">
        <v>0</v>
      </c>
      <c r="EH80" s="36">
        <v>0</v>
      </c>
      <c r="EI80" s="36">
        <v>0</v>
      </c>
      <c r="EJ80" s="36">
        <v>0</v>
      </c>
      <c r="EK80" s="36">
        <v>0</v>
      </c>
      <c r="EL80" s="36">
        <v>0</v>
      </c>
      <c r="EM80" s="36">
        <v>0</v>
      </c>
      <c r="EN80" s="36">
        <v>0</v>
      </c>
      <c r="EO80" s="36">
        <v>0</v>
      </c>
      <c r="EP80" s="36">
        <v>0</v>
      </c>
      <c r="EQ80" s="36">
        <v>0</v>
      </c>
      <c r="ER80" s="36">
        <v>0</v>
      </c>
      <c r="ES80" s="36">
        <v>0</v>
      </c>
      <c r="ET80" s="36">
        <v>0</v>
      </c>
      <c r="EU80" s="36">
        <v>0</v>
      </c>
      <c r="EV80" s="36">
        <v>0</v>
      </c>
      <c r="EW80" s="36">
        <v>0</v>
      </c>
      <c r="EX80" s="36">
        <v>0</v>
      </c>
      <c r="EY80" s="36">
        <v>0</v>
      </c>
      <c r="EZ80" s="36">
        <v>0</v>
      </c>
      <c r="FA80" s="36">
        <v>0</v>
      </c>
      <c r="FB80" s="36">
        <v>0</v>
      </c>
      <c r="FC80" s="36">
        <v>0</v>
      </c>
      <c r="FD80" s="36">
        <v>0</v>
      </c>
      <c r="FE80" s="36">
        <v>0</v>
      </c>
      <c r="FF80" s="36">
        <v>0</v>
      </c>
      <c r="FG80" s="36">
        <v>0</v>
      </c>
      <c r="FH80" s="36">
        <v>0</v>
      </c>
      <c r="FI80" s="36">
        <v>0</v>
      </c>
      <c r="FJ80" s="36">
        <v>0</v>
      </c>
      <c r="FK80" s="36">
        <v>0</v>
      </c>
      <c r="FL80" s="36">
        <v>0</v>
      </c>
      <c r="FM80" s="36">
        <v>0</v>
      </c>
      <c r="FN80" s="36">
        <v>0</v>
      </c>
      <c r="FO80" s="36">
        <v>0</v>
      </c>
      <c r="FP80" s="36">
        <v>0</v>
      </c>
      <c r="FQ80" s="36">
        <v>0</v>
      </c>
      <c r="FR80" s="36">
        <v>0</v>
      </c>
      <c r="FS80" s="36">
        <v>0</v>
      </c>
      <c r="FT80" s="36">
        <v>0</v>
      </c>
      <c r="FU80" s="36">
        <v>0</v>
      </c>
      <c r="FV80" s="36">
        <v>0</v>
      </c>
      <c r="FW80" s="36">
        <v>0</v>
      </c>
      <c r="FX80" s="36">
        <v>0</v>
      </c>
      <c r="FY80" s="36">
        <v>0</v>
      </c>
      <c r="FZ80" s="36">
        <v>0</v>
      </c>
      <c r="GA80" s="36">
        <v>0</v>
      </c>
      <c r="GB80" s="36">
        <v>0</v>
      </c>
      <c r="GC80" s="36">
        <v>0</v>
      </c>
      <c r="GD80" s="36">
        <v>0</v>
      </c>
      <c r="GE80" s="36">
        <v>0</v>
      </c>
      <c r="GF80" s="36">
        <v>0</v>
      </c>
      <c r="GG80" s="42">
        <v>1370.4000148517305</v>
      </c>
      <c r="GH80" s="42">
        <v>1580.2066537367459</v>
      </c>
      <c r="GI80" s="42">
        <v>1618.0295199499178</v>
      </c>
      <c r="GJ80" s="42">
        <v>1614.9870098526603</v>
      </c>
      <c r="GK80" s="42">
        <v>1616.1276537392357</v>
      </c>
      <c r="GL80" s="42">
        <v>1668.2356694730186</v>
      </c>
      <c r="GM80" s="42">
        <v>1637.4411091856011</v>
      </c>
      <c r="GN80" s="42">
        <v>1905.3447513769127</v>
      </c>
      <c r="GO80" s="42">
        <v>2377.2058334909175</v>
      </c>
      <c r="GP80" s="42">
        <v>641.57148065024739</v>
      </c>
      <c r="GQ80" s="42">
        <v>578.367935241532</v>
      </c>
      <c r="GR80" s="42">
        <v>845.55782050079142</v>
      </c>
      <c r="GS80" s="42">
        <v>603.76026508317807</v>
      </c>
      <c r="GT80" s="42">
        <v>705.09503407437978</v>
      </c>
      <c r="GU80" s="36">
        <v>0</v>
      </c>
      <c r="GV80" s="36">
        <v>0</v>
      </c>
      <c r="GW80" s="36">
        <v>0</v>
      </c>
      <c r="GX80" s="36">
        <v>0</v>
      </c>
      <c r="GY80" s="36">
        <v>0</v>
      </c>
      <c r="GZ80" s="36">
        <v>0</v>
      </c>
      <c r="HA80" s="38">
        <v>394.1457051318248</v>
      </c>
      <c r="HB80" s="36">
        <v>1765.6107466842643</v>
      </c>
      <c r="HC80" s="36">
        <f t="shared" si="1"/>
        <v>26261.812144328953</v>
      </c>
      <c r="HD80" s="36">
        <f>SUM(BY$5:BY$213)</f>
        <v>26261.812144328953</v>
      </c>
      <c r="HE80" s="41">
        <v>0</v>
      </c>
      <c r="HG80" s="43"/>
      <c r="HH80" s="43"/>
      <c r="HI80" s="43"/>
      <c r="HJ80" s="43"/>
      <c r="HK80" s="43"/>
      <c r="HL80" s="43"/>
      <c r="HM80" s="43"/>
      <c r="HN80" s="43"/>
      <c r="HO80" s="43"/>
      <c r="HP80" s="43"/>
      <c r="HQ80" s="43"/>
      <c r="HR80" s="43"/>
      <c r="HS80" s="43"/>
      <c r="HT80" s="43"/>
    </row>
    <row r="81" spans="1:228" hidden="1" outlineLevel="1" x14ac:dyDescent="0.2">
      <c r="A81" s="9" t="s">
        <v>709</v>
      </c>
      <c r="B81" s="36">
        <v>0</v>
      </c>
      <c r="C81" s="36">
        <v>0</v>
      </c>
      <c r="D81" s="36">
        <v>0</v>
      </c>
      <c r="E81" s="36">
        <v>0</v>
      </c>
      <c r="F81" s="36">
        <v>0</v>
      </c>
      <c r="G81" s="36">
        <v>0</v>
      </c>
      <c r="H81" s="36">
        <v>0</v>
      </c>
      <c r="I81" s="36">
        <v>10663.439766706631</v>
      </c>
      <c r="J81" s="36">
        <v>4047.0336679732918</v>
      </c>
      <c r="K81" s="36">
        <v>0</v>
      </c>
      <c r="L81" s="36">
        <v>0</v>
      </c>
      <c r="M81" s="36">
        <v>0</v>
      </c>
      <c r="N81" s="36">
        <v>0</v>
      </c>
      <c r="O81" s="36">
        <v>0</v>
      </c>
      <c r="P81" s="36">
        <v>0</v>
      </c>
      <c r="Q81" s="36">
        <v>0</v>
      </c>
      <c r="R81" s="36">
        <v>0</v>
      </c>
      <c r="S81" s="36">
        <v>0</v>
      </c>
      <c r="T81" s="36">
        <v>1.8889430666852456</v>
      </c>
      <c r="U81" s="36">
        <v>0</v>
      </c>
      <c r="V81" s="36">
        <v>0</v>
      </c>
      <c r="W81" s="36">
        <v>0</v>
      </c>
      <c r="X81" s="36">
        <v>0</v>
      </c>
      <c r="Y81" s="36">
        <v>0</v>
      </c>
      <c r="Z81" s="36">
        <v>0</v>
      </c>
      <c r="AA81" s="36">
        <v>0</v>
      </c>
      <c r="AB81" s="36">
        <v>0</v>
      </c>
      <c r="AC81" s="36">
        <v>0</v>
      </c>
      <c r="AD81" s="36">
        <v>0</v>
      </c>
      <c r="AE81" s="36">
        <v>0</v>
      </c>
      <c r="AF81" s="36">
        <v>0</v>
      </c>
      <c r="AG81" s="36">
        <v>0</v>
      </c>
      <c r="AH81" s="36">
        <v>0</v>
      </c>
      <c r="AI81" s="36">
        <v>8.0289187856952164</v>
      </c>
      <c r="AJ81" s="36">
        <v>9.2387062330898928</v>
      </c>
      <c r="AK81" s="36">
        <v>0</v>
      </c>
      <c r="AL81" s="36">
        <v>0</v>
      </c>
      <c r="AM81" s="36">
        <v>0</v>
      </c>
      <c r="AN81" s="36">
        <v>0</v>
      </c>
      <c r="AO81" s="36">
        <v>582.76400205848574</v>
      </c>
      <c r="AP81" s="36">
        <v>21.44152167099486</v>
      </c>
      <c r="AQ81" s="36">
        <v>0</v>
      </c>
      <c r="AR81" s="36">
        <v>0</v>
      </c>
      <c r="AS81" s="36">
        <v>0</v>
      </c>
      <c r="AT81" s="36">
        <v>0</v>
      </c>
      <c r="AU81" s="36">
        <v>0</v>
      </c>
      <c r="AV81" s="36">
        <v>0</v>
      </c>
      <c r="AW81" s="36">
        <v>0</v>
      </c>
      <c r="AX81" s="36">
        <v>0</v>
      </c>
      <c r="AY81" s="36">
        <v>0</v>
      </c>
      <c r="AZ81" s="36">
        <v>0</v>
      </c>
      <c r="BA81" s="36">
        <v>0</v>
      </c>
      <c r="BB81" s="36">
        <v>0</v>
      </c>
      <c r="BC81" s="36">
        <v>102.20251779405683</v>
      </c>
      <c r="BD81" s="36">
        <v>5.1272728838953707</v>
      </c>
      <c r="BE81" s="36">
        <v>218.09097728205694</v>
      </c>
      <c r="BF81" s="36">
        <v>0</v>
      </c>
      <c r="BG81" s="36">
        <v>31.830941772303248</v>
      </c>
      <c r="BH81" s="36">
        <v>632.10666194605164</v>
      </c>
      <c r="BI81" s="36">
        <v>0</v>
      </c>
      <c r="BJ81" s="36">
        <v>3759.4129708882938</v>
      </c>
      <c r="BK81" s="36">
        <v>0</v>
      </c>
      <c r="BL81" s="36">
        <v>0</v>
      </c>
      <c r="BM81" s="36">
        <v>0</v>
      </c>
      <c r="BN81" s="36">
        <v>0</v>
      </c>
      <c r="BO81" s="36">
        <v>0</v>
      </c>
      <c r="BP81" s="36">
        <v>0</v>
      </c>
      <c r="BQ81" s="36">
        <v>0</v>
      </c>
      <c r="BR81" s="36">
        <v>0</v>
      </c>
      <c r="BS81" s="36">
        <v>0</v>
      </c>
      <c r="BT81" s="36">
        <v>0</v>
      </c>
      <c r="BU81" s="36">
        <v>0</v>
      </c>
      <c r="BV81" s="36">
        <v>0</v>
      </c>
      <c r="BW81" s="36">
        <v>0</v>
      </c>
      <c r="BX81" s="36">
        <v>0</v>
      </c>
      <c r="BY81" s="36">
        <v>0</v>
      </c>
      <c r="BZ81" s="36">
        <v>0</v>
      </c>
      <c r="CA81" s="36">
        <v>0</v>
      </c>
      <c r="CB81" s="36">
        <v>0</v>
      </c>
      <c r="CC81" s="36">
        <v>0</v>
      </c>
      <c r="CD81" s="36">
        <v>0</v>
      </c>
      <c r="CE81" s="36">
        <v>0</v>
      </c>
      <c r="CF81" s="36">
        <v>0</v>
      </c>
      <c r="CG81" s="36">
        <v>0</v>
      </c>
      <c r="CH81" s="36">
        <v>0</v>
      </c>
      <c r="CI81" s="36">
        <v>0</v>
      </c>
      <c r="CJ81" s="36">
        <v>0</v>
      </c>
      <c r="CK81" s="36">
        <v>0</v>
      </c>
      <c r="CL81" s="36">
        <v>0</v>
      </c>
      <c r="CM81" s="36">
        <v>0</v>
      </c>
      <c r="CN81" s="36">
        <v>0</v>
      </c>
      <c r="CO81" s="36">
        <v>0</v>
      </c>
      <c r="CP81" s="36">
        <v>0</v>
      </c>
      <c r="CQ81" s="36">
        <v>0</v>
      </c>
      <c r="CR81" s="36">
        <v>0</v>
      </c>
      <c r="CS81" s="36">
        <v>0</v>
      </c>
      <c r="CT81" s="36">
        <v>0</v>
      </c>
      <c r="CU81" s="36">
        <v>0</v>
      </c>
      <c r="CV81" s="36">
        <v>0</v>
      </c>
      <c r="CW81" s="36">
        <v>0</v>
      </c>
      <c r="CX81" s="36">
        <v>0</v>
      </c>
      <c r="CY81" s="36">
        <v>0</v>
      </c>
      <c r="CZ81" s="36">
        <v>0</v>
      </c>
      <c r="DA81" s="36">
        <v>0</v>
      </c>
      <c r="DB81" s="36">
        <v>0</v>
      </c>
      <c r="DC81" s="36">
        <v>0</v>
      </c>
      <c r="DD81" s="36">
        <v>0</v>
      </c>
      <c r="DE81" s="36">
        <v>0</v>
      </c>
      <c r="DF81" s="36">
        <v>0</v>
      </c>
      <c r="DG81" s="36">
        <v>0</v>
      </c>
      <c r="DH81" s="36">
        <v>0</v>
      </c>
      <c r="DI81" s="36">
        <v>0</v>
      </c>
      <c r="DJ81" s="36">
        <v>0</v>
      </c>
      <c r="DK81" s="36">
        <v>0</v>
      </c>
      <c r="DL81" s="36">
        <v>0</v>
      </c>
      <c r="DM81" s="36">
        <v>0</v>
      </c>
      <c r="DN81" s="36">
        <v>0</v>
      </c>
      <c r="DO81" s="36">
        <v>0</v>
      </c>
      <c r="DP81" s="36">
        <v>0</v>
      </c>
      <c r="DQ81" s="36">
        <v>0</v>
      </c>
      <c r="DR81" s="36">
        <v>0</v>
      </c>
      <c r="DS81" s="36">
        <v>0</v>
      </c>
      <c r="DT81" s="36">
        <v>0</v>
      </c>
      <c r="DU81" s="36">
        <v>0</v>
      </c>
      <c r="DV81" s="36">
        <v>0</v>
      </c>
      <c r="DW81" s="36">
        <v>0</v>
      </c>
      <c r="DX81" s="36">
        <v>0</v>
      </c>
      <c r="DY81" s="36">
        <v>0</v>
      </c>
      <c r="DZ81" s="36">
        <v>0</v>
      </c>
      <c r="EA81" s="36">
        <v>0</v>
      </c>
      <c r="EB81" s="36">
        <v>0</v>
      </c>
      <c r="EC81" s="36">
        <v>0</v>
      </c>
      <c r="ED81" s="36">
        <v>0</v>
      </c>
      <c r="EE81" s="36">
        <v>0</v>
      </c>
      <c r="EF81" s="36">
        <v>0</v>
      </c>
      <c r="EG81" s="36">
        <v>0</v>
      </c>
      <c r="EH81" s="36">
        <v>0</v>
      </c>
      <c r="EI81" s="36">
        <v>0</v>
      </c>
      <c r="EJ81" s="36">
        <v>0</v>
      </c>
      <c r="EK81" s="36">
        <v>0</v>
      </c>
      <c r="EL81" s="36">
        <v>0</v>
      </c>
      <c r="EM81" s="36">
        <v>0</v>
      </c>
      <c r="EN81" s="36">
        <v>0</v>
      </c>
      <c r="EO81" s="36">
        <v>0</v>
      </c>
      <c r="EP81" s="36">
        <v>0</v>
      </c>
      <c r="EQ81" s="36">
        <v>0</v>
      </c>
      <c r="ER81" s="36">
        <v>0</v>
      </c>
      <c r="ES81" s="36">
        <v>0</v>
      </c>
      <c r="ET81" s="36">
        <v>0</v>
      </c>
      <c r="EU81" s="36">
        <v>0</v>
      </c>
      <c r="EV81" s="36">
        <v>0</v>
      </c>
      <c r="EW81" s="36">
        <v>0</v>
      </c>
      <c r="EX81" s="36">
        <v>0</v>
      </c>
      <c r="EY81" s="36">
        <v>0</v>
      </c>
      <c r="EZ81" s="36">
        <v>0</v>
      </c>
      <c r="FA81" s="36">
        <v>0</v>
      </c>
      <c r="FB81" s="36">
        <v>0</v>
      </c>
      <c r="FC81" s="36">
        <v>0</v>
      </c>
      <c r="FD81" s="36">
        <v>0</v>
      </c>
      <c r="FE81" s="36">
        <v>0</v>
      </c>
      <c r="FF81" s="36">
        <v>0</v>
      </c>
      <c r="FG81" s="36">
        <v>0</v>
      </c>
      <c r="FH81" s="36">
        <v>0</v>
      </c>
      <c r="FI81" s="36">
        <v>0</v>
      </c>
      <c r="FJ81" s="36">
        <v>0</v>
      </c>
      <c r="FK81" s="36">
        <v>0</v>
      </c>
      <c r="FL81" s="36">
        <v>0</v>
      </c>
      <c r="FM81" s="36">
        <v>0</v>
      </c>
      <c r="FN81" s="36">
        <v>0</v>
      </c>
      <c r="FO81" s="36">
        <v>0</v>
      </c>
      <c r="FP81" s="36">
        <v>0</v>
      </c>
      <c r="FQ81" s="36">
        <v>0</v>
      </c>
      <c r="FR81" s="36">
        <v>0</v>
      </c>
      <c r="FS81" s="36">
        <v>0</v>
      </c>
      <c r="FT81" s="36">
        <v>0</v>
      </c>
      <c r="FU81" s="36">
        <v>0</v>
      </c>
      <c r="FV81" s="36">
        <v>0</v>
      </c>
      <c r="FW81" s="36">
        <v>0</v>
      </c>
      <c r="FX81" s="36">
        <v>0</v>
      </c>
      <c r="FY81" s="36">
        <v>0</v>
      </c>
      <c r="FZ81" s="36">
        <v>0</v>
      </c>
      <c r="GA81" s="36">
        <v>0</v>
      </c>
      <c r="GB81" s="36">
        <v>0</v>
      </c>
      <c r="GC81" s="36">
        <v>0</v>
      </c>
      <c r="GD81" s="36">
        <v>0</v>
      </c>
      <c r="GE81" s="36">
        <v>0</v>
      </c>
      <c r="GF81" s="36">
        <v>0</v>
      </c>
      <c r="GG81" s="42">
        <v>348.61506006176785</v>
      </c>
      <c r="GH81" s="42">
        <v>582.079176233878</v>
      </c>
      <c r="GI81" s="42">
        <v>704.95940004450426</v>
      </c>
      <c r="GJ81" s="42">
        <v>848.65799829547507</v>
      </c>
      <c r="GK81" s="42">
        <v>907.1228963019812</v>
      </c>
      <c r="GL81" s="42">
        <v>1117.4254322350807</v>
      </c>
      <c r="GM81" s="42">
        <v>1158.8700965733954</v>
      </c>
      <c r="GN81" s="42">
        <v>1872.2934975517808</v>
      </c>
      <c r="GO81" s="42">
        <v>2548.2604089640968</v>
      </c>
      <c r="GP81" s="42">
        <v>940.40593591976665</v>
      </c>
      <c r="GQ81" s="42">
        <v>792.88290520208034</v>
      </c>
      <c r="GR81" s="42">
        <v>829.7611869967094</v>
      </c>
      <c r="GS81" s="42">
        <v>1196.1354578901876</v>
      </c>
      <c r="GT81" s="42">
        <v>1230.0861132903956</v>
      </c>
      <c r="GU81" s="36">
        <v>0</v>
      </c>
      <c r="GV81" s="36">
        <v>0</v>
      </c>
      <c r="GW81" s="36">
        <v>0</v>
      </c>
      <c r="GX81" s="36">
        <v>0</v>
      </c>
      <c r="GY81" s="36">
        <v>0</v>
      </c>
      <c r="GZ81" s="36">
        <v>0</v>
      </c>
      <c r="HA81" s="38">
        <v>2506.1531086256291</v>
      </c>
      <c r="HB81" s="36">
        <v>11375.70247474897</v>
      </c>
      <c r="HC81" s="36">
        <f t="shared" si="1"/>
        <v>49042.018017997238</v>
      </c>
      <c r="HD81" s="36">
        <f>SUM(BZ$5:BZ$213)</f>
        <v>49042.018017997238</v>
      </c>
      <c r="HE81" s="41">
        <v>0</v>
      </c>
      <c r="HG81" s="43"/>
      <c r="HH81" s="43"/>
      <c r="HI81" s="43"/>
      <c r="HJ81" s="43"/>
      <c r="HK81" s="43"/>
      <c r="HL81" s="43"/>
      <c r="HM81" s="43"/>
      <c r="HN81" s="43"/>
      <c r="HO81" s="43"/>
      <c r="HP81" s="43"/>
      <c r="HQ81" s="43"/>
      <c r="HR81" s="43"/>
      <c r="HS81" s="43"/>
      <c r="HT81" s="43"/>
    </row>
    <row r="82" spans="1:228" hidden="1" outlineLevel="1" x14ac:dyDescent="0.2">
      <c r="A82" s="9" t="s">
        <v>714</v>
      </c>
      <c r="B82" s="36">
        <v>0</v>
      </c>
      <c r="C82" s="36">
        <v>0</v>
      </c>
      <c r="D82" s="36">
        <v>0</v>
      </c>
      <c r="E82" s="36">
        <v>0</v>
      </c>
      <c r="F82" s="36">
        <v>0</v>
      </c>
      <c r="G82" s="36">
        <v>0</v>
      </c>
      <c r="H82" s="36">
        <v>0</v>
      </c>
      <c r="I82" s="36">
        <v>33931.244778696651</v>
      </c>
      <c r="J82" s="36">
        <v>0</v>
      </c>
      <c r="K82" s="36">
        <v>0</v>
      </c>
      <c r="L82" s="36">
        <v>0</v>
      </c>
      <c r="M82" s="36">
        <v>0</v>
      </c>
      <c r="N82" s="36">
        <v>0</v>
      </c>
      <c r="O82" s="36">
        <v>0</v>
      </c>
      <c r="P82" s="36">
        <v>0</v>
      </c>
      <c r="Q82" s="36">
        <v>0</v>
      </c>
      <c r="R82" s="36">
        <v>186.70433959189367</v>
      </c>
      <c r="S82" s="36">
        <v>43.578653034762013</v>
      </c>
      <c r="T82" s="36">
        <v>4853.7283205399472</v>
      </c>
      <c r="U82" s="36">
        <v>0</v>
      </c>
      <c r="V82" s="36">
        <v>0</v>
      </c>
      <c r="W82" s="36">
        <v>0</v>
      </c>
      <c r="X82" s="36">
        <v>0</v>
      </c>
      <c r="Y82" s="36">
        <v>0</v>
      </c>
      <c r="Z82" s="36">
        <v>0</v>
      </c>
      <c r="AA82" s="36">
        <v>0</v>
      </c>
      <c r="AB82" s="36">
        <v>0</v>
      </c>
      <c r="AC82" s="36">
        <v>0</v>
      </c>
      <c r="AD82" s="36">
        <v>0</v>
      </c>
      <c r="AE82" s="36">
        <v>0</v>
      </c>
      <c r="AF82" s="36">
        <v>0</v>
      </c>
      <c r="AG82" s="36">
        <v>30.46163631382251</v>
      </c>
      <c r="AH82" s="36">
        <v>308.67597200177903</v>
      </c>
      <c r="AI82" s="36">
        <v>14.469027037495193</v>
      </c>
      <c r="AJ82" s="36">
        <v>16.488692346086623</v>
      </c>
      <c r="AK82" s="36">
        <v>0</v>
      </c>
      <c r="AL82" s="36">
        <v>0</v>
      </c>
      <c r="AM82" s="36">
        <v>0</v>
      </c>
      <c r="AN82" s="36">
        <v>0</v>
      </c>
      <c r="AO82" s="36">
        <v>357.60815503155686</v>
      </c>
      <c r="AP82" s="36">
        <v>0</v>
      </c>
      <c r="AQ82" s="36">
        <v>0</v>
      </c>
      <c r="AR82" s="36">
        <v>0</v>
      </c>
      <c r="AS82" s="36">
        <v>0</v>
      </c>
      <c r="AT82" s="36">
        <v>0</v>
      </c>
      <c r="AU82" s="36">
        <v>0</v>
      </c>
      <c r="AV82" s="36">
        <v>0</v>
      </c>
      <c r="AW82" s="36">
        <v>0</v>
      </c>
      <c r="AX82" s="36">
        <v>0</v>
      </c>
      <c r="AY82" s="36">
        <v>0</v>
      </c>
      <c r="AZ82" s="36">
        <v>0</v>
      </c>
      <c r="BA82" s="36">
        <v>0</v>
      </c>
      <c r="BB82" s="36">
        <v>0</v>
      </c>
      <c r="BC82" s="36">
        <v>202.69125491011894</v>
      </c>
      <c r="BD82" s="36">
        <v>9.1890538623354487</v>
      </c>
      <c r="BE82" s="36">
        <v>156.28698411743818</v>
      </c>
      <c r="BF82" s="36">
        <v>0</v>
      </c>
      <c r="BG82" s="36">
        <v>0</v>
      </c>
      <c r="BH82" s="36">
        <v>0</v>
      </c>
      <c r="BI82" s="36">
        <v>0</v>
      </c>
      <c r="BJ82" s="36">
        <v>4377.8596307409653</v>
      </c>
      <c r="BK82" s="36">
        <v>0</v>
      </c>
      <c r="BL82" s="36">
        <v>0</v>
      </c>
      <c r="BM82" s="36">
        <v>0</v>
      </c>
      <c r="BN82" s="36">
        <v>0</v>
      </c>
      <c r="BO82" s="36">
        <v>0</v>
      </c>
      <c r="BP82" s="36">
        <v>0</v>
      </c>
      <c r="BQ82" s="36">
        <v>0</v>
      </c>
      <c r="BR82" s="36">
        <v>0</v>
      </c>
      <c r="BS82" s="36">
        <v>0</v>
      </c>
      <c r="BT82" s="36">
        <v>0</v>
      </c>
      <c r="BU82" s="36">
        <v>0</v>
      </c>
      <c r="BV82" s="36">
        <v>0</v>
      </c>
      <c r="BW82" s="36">
        <v>0</v>
      </c>
      <c r="BX82" s="36">
        <v>0</v>
      </c>
      <c r="BY82" s="36">
        <v>0</v>
      </c>
      <c r="BZ82" s="36">
        <v>0</v>
      </c>
      <c r="CA82" s="36">
        <v>0</v>
      </c>
      <c r="CB82" s="36">
        <v>0</v>
      </c>
      <c r="CC82" s="36">
        <v>0</v>
      </c>
      <c r="CD82" s="36">
        <v>0</v>
      </c>
      <c r="CE82" s="36">
        <v>0</v>
      </c>
      <c r="CF82" s="36">
        <v>0</v>
      </c>
      <c r="CG82" s="36">
        <v>0</v>
      </c>
      <c r="CH82" s="36">
        <v>0</v>
      </c>
      <c r="CI82" s="36">
        <v>0</v>
      </c>
      <c r="CJ82" s="36">
        <v>0</v>
      </c>
      <c r="CK82" s="36">
        <v>0</v>
      </c>
      <c r="CL82" s="36">
        <v>0</v>
      </c>
      <c r="CM82" s="36">
        <v>0</v>
      </c>
      <c r="CN82" s="36">
        <v>0</v>
      </c>
      <c r="CO82" s="36">
        <v>0</v>
      </c>
      <c r="CP82" s="36">
        <v>0</v>
      </c>
      <c r="CQ82" s="36">
        <v>0</v>
      </c>
      <c r="CR82" s="36">
        <v>0</v>
      </c>
      <c r="CS82" s="36">
        <v>0</v>
      </c>
      <c r="CT82" s="36">
        <v>0</v>
      </c>
      <c r="CU82" s="36">
        <v>0</v>
      </c>
      <c r="CV82" s="36">
        <v>0</v>
      </c>
      <c r="CW82" s="36">
        <v>0</v>
      </c>
      <c r="CX82" s="36">
        <v>0</v>
      </c>
      <c r="CY82" s="36">
        <v>0</v>
      </c>
      <c r="CZ82" s="36">
        <v>0</v>
      </c>
      <c r="DA82" s="36">
        <v>0</v>
      </c>
      <c r="DB82" s="36">
        <v>0</v>
      </c>
      <c r="DC82" s="36">
        <v>0</v>
      </c>
      <c r="DD82" s="36">
        <v>0</v>
      </c>
      <c r="DE82" s="36">
        <v>0</v>
      </c>
      <c r="DF82" s="36">
        <v>0</v>
      </c>
      <c r="DG82" s="36">
        <v>0</v>
      </c>
      <c r="DH82" s="36">
        <v>0</v>
      </c>
      <c r="DI82" s="36">
        <v>0</v>
      </c>
      <c r="DJ82" s="36">
        <v>0</v>
      </c>
      <c r="DK82" s="36">
        <v>0</v>
      </c>
      <c r="DL82" s="36">
        <v>0</v>
      </c>
      <c r="DM82" s="36">
        <v>0</v>
      </c>
      <c r="DN82" s="36">
        <v>0</v>
      </c>
      <c r="DO82" s="36">
        <v>0</v>
      </c>
      <c r="DP82" s="36">
        <v>0</v>
      </c>
      <c r="DQ82" s="36">
        <v>0</v>
      </c>
      <c r="DR82" s="36">
        <v>0</v>
      </c>
      <c r="DS82" s="36">
        <v>0</v>
      </c>
      <c r="DT82" s="36">
        <v>0</v>
      </c>
      <c r="DU82" s="36">
        <v>0</v>
      </c>
      <c r="DV82" s="36">
        <v>0</v>
      </c>
      <c r="DW82" s="36">
        <v>0</v>
      </c>
      <c r="DX82" s="36">
        <v>0</v>
      </c>
      <c r="DY82" s="36">
        <v>0</v>
      </c>
      <c r="DZ82" s="36">
        <v>0</v>
      </c>
      <c r="EA82" s="36">
        <v>0</v>
      </c>
      <c r="EB82" s="36">
        <v>0</v>
      </c>
      <c r="EC82" s="36">
        <v>0</v>
      </c>
      <c r="ED82" s="36">
        <v>0</v>
      </c>
      <c r="EE82" s="36">
        <v>0</v>
      </c>
      <c r="EF82" s="36">
        <v>0</v>
      </c>
      <c r="EG82" s="36">
        <v>0</v>
      </c>
      <c r="EH82" s="36">
        <v>0</v>
      </c>
      <c r="EI82" s="36">
        <v>0</v>
      </c>
      <c r="EJ82" s="36">
        <v>0</v>
      </c>
      <c r="EK82" s="36">
        <v>0</v>
      </c>
      <c r="EL82" s="36">
        <v>0</v>
      </c>
      <c r="EM82" s="36">
        <v>0</v>
      </c>
      <c r="EN82" s="36">
        <v>0</v>
      </c>
      <c r="EO82" s="36">
        <v>0</v>
      </c>
      <c r="EP82" s="36">
        <v>0</v>
      </c>
      <c r="EQ82" s="36">
        <v>0</v>
      </c>
      <c r="ER82" s="36">
        <v>0</v>
      </c>
      <c r="ES82" s="36">
        <v>0</v>
      </c>
      <c r="ET82" s="36">
        <v>0</v>
      </c>
      <c r="EU82" s="36">
        <v>0</v>
      </c>
      <c r="EV82" s="36">
        <v>0</v>
      </c>
      <c r="EW82" s="36">
        <v>0</v>
      </c>
      <c r="EX82" s="36">
        <v>0</v>
      </c>
      <c r="EY82" s="36">
        <v>0</v>
      </c>
      <c r="EZ82" s="36">
        <v>0</v>
      </c>
      <c r="FA82" s="36">
        <v>0</v>
      </c>
      <c r="FB82" s="36">
        <v>0</v>
      </c>
      <c r="FC82" s="36">
        <v>0</v>
      </c>
      <c r="FD82" s="36">
        <v>0</v>
      </c>
      <c r="FE82" s="36">
        <v>0</v>
      </c>
      <c r="FF82" s="36">
        <v>0</v>
      </c>
      <c r="FG82" s="36">
        <v>0</v>
      </c>
      <c r="FH82" s="36">
        <v>0</v>
      </c>
      <c r="FI82" s="36">
        <v>0</v>
      </c>
      <c r="FJ82" s="36">
        <v>0</v>
      </c>
      <c r="FK82" s="36">
        <v>0</v>
      </c>
      <c r="FL82" s="36">
        <v>0</v>
      </c>
      <c r="FM82" s="36">
        <v>0</v>
      </c>
      <c r="FN82" s="36">
        <v>0</v>
      </c>
      <c r="FO82" s="36">
        <v>0</v>
      </c>
      <c r="FP82" s="36">
        <v>0</v>
      </c>
      <c r="FQ82" s="36">
        <v>0</v>
      </c>
      <c r="FR82" s="36">
        <v>0</v>
      </c>
      <c r="FS82" s="36">
        <v>0</v>
      </c>
      <c r="FT82" s="36">
        <v>0</v>
      </c>
      <c r="FU82" s="36">
        <v>0</v>
      </c>
      <c r="FV82" s="36">
        <v>0</v>
      </c>
      <c r="FW82" s="36">
        <v>0</v>
      </c>
      <c r="FX82" s="36">
        <v>0</v>
      </c>
      <c r="FY82" s="36">
        <v>0</v>
      </c>
      <c r="FZ82" s="36">
        <v>0</v>
      </c>
      <c r="GA82" s="36">
        <v>0</v>
      </c>
      <c r="GB82" s="36">
        <v>0</v>
      </c>
      <c r="GC82" s="36">
        <v>0</v>
      </c>
      <c r="GD82" s="36">
        <v>0</v>
      </c>
      <c r="GE82" s="36">
        <v>0</v>
      </c>
      <c r="GF82" s="36">
        <v>0</v>
      </c>
      <c r="GG82" s="42">
        <v>788.73219214673247</v>
      </c>
      <c r="GH82" s="42">
        <v>962.35387658313823</v>
      </c>
      <c r="GI82" s="42">
        <v>978.84297189132963</v>
      </c>
      <c r="GJ82" s="42">
        <v>1068.2692583474445</v>
      </c>
      <c r="GK82" s="42">
        <v>1032.6604619006432</v>
      </c>
      <c r="GL82" s="42">
        <v>1009.0018337998495</v>
      </c>
      <c r="GM82" s="42">
        <v>1024.5030871493373</v>
      </c>
      <c r="GN82" s="42">
        <v>1113.2118792825702</v>
      </c>
      <c r="GO82" s="42">
        <v>1464.5939728409205</v>
      </c>
      <c r="GP82" s="42">
        <v>261.74416581895252</v>
      </c>
      <c r="GQ82" s="42">
        <v>196.70854442804145</v>
      </c>
      <c r="GR82" s="42">
        <v>211.44825144849824</v>
      </c>
      <c r="GS82" s="42">
        <v>313.33588979018714</v>
      </c>
      <c r="GT82" s="42">
        <v>223.12785967305339</v>
      </c>
      <c r="GU82" s="36">
        <v>0</v>
      </c>
      <c r="GV82" s="36">
        <v>0</v>
      </c>
      <c r="GW82" s="36">
        <v>0</v>
      </c>
      <c r="GX82" s="36">
        <v>0</v>
      </c>
      <c r="GY82" s="36">
        <v>0</v>
      </c>
      <c r="GZ82" s="36">
        <v>0</v>
      </c>
      <c r="HA82" s="38">
        <v>2045.9086073425642</v>
      </c>
      <c r="HB82" s="36">
        <v>4706.1339496558476</v>
      </c>
      <c r="HC82" s="36">
        <f t="shared" si="1"/>
        <v>61889.563300323956</v>
      </c>
      <c r="HD82" s="36">
        <f>SUM(CA$5:CA$213)</f>
        <v>61889.563300323956</v>
      </c>
      <c r="HE82" s="41">
        <v>0</v>
      </c>
      <c r="HG82" s="43"/>
      <c r="HH82" s="43"/>
      <c r="HI82" s="43"/>
      <c r="HJ82" s="43"/>
      <c r="HK82" s="43"/>
      <c r="HL82" s="43"/>
      <c r="HM82" s="43"/>
      <c r="HN82" s="43"/>
      <c r="HO82" s="43"/>
      <c r="HP82" s="43"/>
      <c r="HQ82" s="43"/>
      <c r="HR82" s="43"/>
      <c r="HS82" s="43"/>
      <c r="HT82" s="43"/>
    </row>
    <row r="83" spans="1:228" hidden="1" outlineLevel="1" x14ac:dyDescent="0.2">
      <c r="A83" s="9" t="s">
        <v>719</v>
      </c>
      <c r="B83" s="36">
        <v>2011.5998409654349</v>
      </c>
      <c r="C83" s="36">
        <v>0</v>
      </c>
      <c r="D83" s="36">
        <v>0</v>
      </c>
      <c r="E83" s="36">
        <v>0</v>
      </c>
      <c r="F83" s="36">
        <v>0</v>
      </c>
      <c r="G83" s="36">
        <v>0</v>
      </c>
      <c r="H83" s="36">
        <v>0</v>
      </c>
      <c r="I83" s="36">
        <v>14518.148784839366</v>
      </c>
      <c r="J83" s="36">
        <v>196.04061075064513</v>
      </c>
      <c r="K83" s="36">
        <v>0</v>
      </c>
      <c r="L83" s="36">
        <v>0</v>
      </c>
      <c r="M83" s="36">
        <v>0</v>
      </c>
      <c r="N83" s="36">
        <v>0</v>
      </c>
      <c r="O83" s="36">
        <v>0</v>
      </c>
      <c r="P83" s="36">
        <v>0</v>
      </c>
      <c r="Q83" s="36">
        <v>0</v>
      </c>
      <c r="R83" s="36">
        <v>0</v>
      </c>
      <c r="S83" s="36">
        <v>0</v>
      </c>
      <c r="T83" s="36">
        <v>182.91579321152173</v>
      </c>
      <c r="U83" s="36">
        <v>0</v>
      </c>
      <c r="V83" s="36">
        <v>0</v>
      </c>
      <c r="W83" s="36">
        <v>0</v>
      </c>
      <c r="X83" s="36">
        <v>0</v>
      </c>
      <c r="Y83" s="36">
        <v>0</v>
      </c>
      <c r="Z83" s="36">
        <v>0</v>
      </c>
      <c r="AA83" s="36">
        <v>0</v>
      </c>
      <c r="AB83" s="36">
        <v>0</v>
      </c>
      <c r="AC83" s="36">
        <v>0</v>
      </c>
      <c r="AD83" s="36">
        <v>0</v>
      </c>
      <c r="AE83" s="36">
        <v>0</v>
      </c>
      <c r="AF83" s="36">
        <v>0</v>
      </c>
      <c r="AG83" s="36">
        <v>0</v>
      </c>
      <c r="AH83" s="36">
        <v>0</v>
      </c>
      <c r="AI83" s="36">
        <v>38.466287936676906</v>
      </c>
      <c r="AJ83" s="36">
        <v>44.126235199840146</v>
      </c>
      <c r="AK83" s="36">
        <v>0</v>
      </c>
      <c r="AL83" s="36">
        <v>0</v>
      </c>
      <c r="AM83" s="36">
        <v>0</v>
      </c>
      <c r="AN83" s="36">
        <v>0</v>
      </c>
      <c r="AO83" s="36">
        <v>2131.8626855405982</v>
      </c>
      <c r="AP83" s="36">
        <v>0</v>
      </c>
      <c r="AQ83" s="36">
        <v>0</v>
      </c>
      <c r="AR83" s="36">
        <v>0</v>
      </c>
      <c r="AS83" s="36">
        <v>0</v>
      </c>
      <c r="AT83" s="36">
        <v>0</v>
      </c>
      <c r="AU83" s="36">
        <v>0</v>
      </c>
      <c r="AV83" s="36">
        <v>0</v>
      </c>
      <c r="AW83" s="36">
        <v>0</v>
      </c>
      <c r="AX83" s="36">
        <v>0</v>
      </c>
      <c r="AY83" s="36">
        <v>0</v>
      </c>
      <c r="AZ83" s="36">
        <v>0</v>
      </c>
      <c r="BA83" s="36">
        <v>0</v>
      </c>
      <c r="BB83" s="36">
        <v>0</v>
      </c>
      <c r="BC83" s="36">
        <v>473.71920303047176</v>
      </c>
      <c r="BD83" s="36">
        <v>17.175808948797272</v>
      </c>
      <c r="BE83" s="36">
        <v>1052.4177724002284</v>
      </c>
      <c r="BF83" s="36">
        <v>0</v>
      </c>
      <c r="BG83" s="36">
        <v>104.94352831506482</v>
      </c>
      <c r="BH83" s="36">
        <v>2088.4220221894025</v>
      </c>
      <c r="BI83" s="36">
        <v>0</v>
      </c>
      <c r="BJ83" s="36">
        <v>3573.6911877604553</v>
      </c>
      <c r="BK83" s="36">
        <v>0</v>
      </c>
      <c r="BL83" s="36">
        <v>0</v>
      </c>
      <c r="BM83" s="36">
        <v>0</v>
      </c>
      <c r="BN83" s="36">
        <v>0</v>
      </c>
      <c r="BO83" s="36">
        <v>0</v>
      </c>
      <c r="BP83" s="36">
        <v>0</v>
      </c>
      <c r="BQ83" s="36">
        <v>0</v>
      </c>
      <c r="BR83" s="36">
        <v>0</v>
      </c>
      <c r="BS83" s="36">
        <v>0</v>
      </c>
      <c r="BT83" s="36">
        <v>0</v>
      </c>
      <c r="BU83" s="36">
        <v>0</v>
      </c>
      <c r="BV83" s="36">
        <v>0</v>
      </c>
      <c r="BW83" s="36">
        <v>0</v>
      </c>
      <c r="BX83" s="36">
        <v>0</v>
      </c>
      <c r="BY83" s="36">
        <v>0</v>
      </c>
      <c r="BZ83" s="36">
        <v>0</v>
      </c>
      <c r="CA83" s="36">
        <v>0</v>
      </c>
      <c r="CB83" s="36">
        <v>0</v>
      </c>
      <c r="CC83" s="36">
        <v>0</v>
      </c>
      <c r="CD83" s="36">
        <v>0</v>
      </c>
      <c r="CE83" s="36">
        <v>0</v>
      </c>
      <c r="CF83" s="36">
        <v>0</v>
      </c>
      <c r="CG83" s="36">
        <v>0</v>
      </c>
      <c r="CH83" s="36">
        <v>0</v>
      </c>
      <c r="CI83" s="36">
        <v>0</v>
      </c>
      <c r="CJ83" s="36">
        <v>0</v>
      </c>
      <c r="CK83" s="36">
        <v>0</v>
      </c>
      <c r="CL83" s="36">
        <v>0</v>
      </c>
      <c r="CM83" s="36">
        <v>0</v>
      </c>
      <c r="CN83" s="36">
        <v>0</v>
      </c>
      <c r="CO83" s="36">
        <v>0</v>
      </c>
      <c r="CP83" s="36">
        <v>0</v>
      </c>
      <c r="CQ83" s="36">
        <v>0</v>
      </c>
      <c r="CR83" s="36">
        <v>0</v>
      </c>
      <c r="CS83" s="36">
        <v>0</v>
      </c>
      <c r="CT83" s="36">
        <v>0</v>
      </c>
      <c r="CU83" s="36">
        <v>0</v>
      </c>
      <c r="CV83" s="36">
        <v>0</v>
      </c>
      <c r="CW83" s="36">
        <v>0</v>
      </c>
      <c r="CX83" s="36">
        <v>0</v>
      </c>
      <c r="CY83" s="36">
        <v>0</v>
      </c>
      <c r="CZ83" s="36">
        <v>0</v>
      </c>
      <c r="DA83" s="36">
        <v>0</v>
      </c>
      <c r="DB83" s="36">
        <v>0</v>
      </c>
      <c r="DC83" s="36">
        <v>0</v>
      </c>
      <c r="DD83" s="36">
        <v>0</v>
      </c>
      <c r="DE83" s="36">
        <v>0</v>
      </c>
      <c r="DF83" s="36">
        <v>0</v>
      </c>
      <c r="DG83" s="36">
        <v>0</v>
      </c>
      <c r="DH83" s="36">
        <v>0</v>
      </c>
      <c r="DI83" s="36">
        <v>0</v>
      </c>
      <c r="DJ83" s="36">
        <v>0</v>
      </c>
      <c r="DK83" s="36">
        <v>0</v>
      </c>
      <c r="DL83" s="36">
        <v>0</v>
      </c>
      <c r="DM83" s="36">
        <v>0</v>
      </c>
      <c r="DN83" s="36">
        <v>0</v>
      </c>
      <c r="DO83" s="36">
        <v>0</v>
      </c>
      <c r="DP83" s="36">
        <v>0</v>
      </c>
      <c r="DQ83" s="36">
        <v>0</v>
      </c>
      <c r="DR83" s="36">
        <v>0</v>
      </c>
      <c r="DS83" s="36">
        <v>0</v>
      </c>
      <c r="DT83" s="36">
        <v>0</v>
      </c>
      <c r="DU83" s="36">
        <v>0</v>
      </c>
      <c r="DV83" s="36">
        <v>0</v>
      </c>
      <c r="DW83" s="36">
        <v>0</v>
      </c>
      <c r="DX83" s="36">
        <v>0</v>
      </c>
      <c r="DY83" s="36">
        <v>0</v>
      </c>
      <c r="DZ83" s="36">
        <v>0</v>
      </c>
      <c r="EA83" s="36">
        <v>0</v>
      </c>
      <c r="EB83" s="36">
        <v>0</v>
      </c>
      <c r="EC83" s="36">
        <v>0</v>
      </c>
      <c r="ED83" s="36">
        <v>0</v>
      </c>
      <c r="EE83" s="36">
        <v>0</v>
      </c>
      <c r="EF83" s="36">
        <v>0</v>
      </c>
      <c r="EG83" s="36">
        <v>0</v>
      </c>
      <c r="EH83" s="36">
        <v>0</v>
      </c>
      <c r="EI83" s="36">
        <v>0</v>
      </c>
      <c r="EJ83" s="36">
        <v>0</v>
      </c>
      <c r="EK83" s="36">
        <v>0</v>
      </c>
      <c r="EL83" s="36">
        <v>0</v>
      </c>
      <c r="EM83" s="36">
        <v>0</v>
      </c>
      <c r="EN83" s="36">
        <v>0</v>
      </c>
      <c r="EO83" s="36">
        <v>0</v>
      </c>
      <c r="EP83" s="36">
        <v>0</v>
      </c>
      <c r="EQ83" s="36">
        <v>0</v>
      </c>
      <c r="ER83" s="36">
        <v>0</v>
      </c>
      <c r="ES83" s="36">
        <v>0</v>
      </c>
      <c r="ET83" s="36">
        <v>0</v>
      </c>
      <c r="EU83" s="36">
        <v>0</v>
      </c>
      <c r="EV83" s="36">
        <v>0</v>
      </c>
      <c r="EW83" s="36">
        <v>0</v>
      </c>
      <c r="EX83" s="36">
        <v>0</v>
      </c>
      <c r="EY83" s="36">
        <v>0</v>
      </c>
      <c r="EZ83" s="36">
        <v>0</v>
      </c>
      <c r="FA83" s="36">
        <v>0</v>
      </c>
      <c r="FB83" s="36">
        <v>0</v>
      </c>
      <c r="FC83" s="36">
        <v>0</v>
      </c>
      <c r="FD83" s="36">
        <v>0</v>
      </c>
      <c r="FE83" s="36">
        <v>0</v>
      </c>
      <c r="FF83" s="36">
        <v>0</v>
      </c>
      <c r="FG83" s="36">
        <v>0</v>
      </c>
      <c r="FH83" s="36">
        <v>0</v>
      </c>
      <c r="FI83" s="36">
        <v>0</v>
      </c>
      <c r="FJ83" s="36">
        <v>0</v>
      </c>
      <c r="FK83" s="36">
        <v>0</v>
      </c>
      <c r="FL83" s="36">
        <v>0</v>
      </c>
      <c r="FM83" s="36">
        <v>0</v>
      </c>
      <c r="FN83" s="36">
        <v>0</v>
      </c>
      <c r="FO83" s="36">
        <v>0</v>
      </c>
      <c r="FP83" s="36">
        <v>0</v>
      </c>
      <c r="FQ83" s="36">
        <v>0</v>
      </c>
      <c r="FR83" s="36">
        <v>0</v>
      </c>
      <c r="FS83" s="36">
        <v>0</v>
      </c>
      <c r="FT83" s="36">
        <v>0</v>
      </c>
      <c r="FU83" s="36">
        <v>0</v>
      </c>
      <c r="FV83" s="36">
        <v>0</v>
      </c>
      <c r="FW83" s="36">
        <v>0</v>
      </c>
      <c r="FX83" s="36">
        <v>0</v>
      </c>
      <c r="FY83" s="36">
        <v>0</v>
      </c>
      <c r="FZ83" s="36">
        <v>0</v>
      </c>
      <c r="GA83" s="36">
        <v>0</v>
      </c>
      <c r="GB83" s="36">
        <v>0</v>
      </c>
      <c r="GC83" s="36">
        <v>0</v>
      </c>
      <c r="GD83" s="36">
        <v>0</v>
      </c>
      <c r="GE83" s="36">
        <v>0</v>
      </c>
      <c r="GF83" s="36">
        <v>0</v>
      </c>
      <c r="GG83" s="42">
        <v>2376.770135961367</v>
      </c>
      <c r="GH83" s="42">
        <v>3223.7868507951589</v>
      </c>
      <c r="GI83" s="42">
        <v>3964.3605922832517</v>
      </c>
      <c r="GJ83" s="42">
        <v>4258.4570326138428</v>
      </c>
      <c r="GK83" s="42">
        <v>4514.0973967055106</v>
      </c>
      <c r="GL83" s="42">
        <v>5209.2422114715273</v>
      </c>
      <c r="GM83" s="42">
        <v>5470.4290980633541</v>
      </c>
      <c r="GN83" s="42">
        <v>7156.6688744329495</v>
      </c>
      <c r="GO83" s="42">
        <v>9125.602649768507</v>
      </c>
      <c r="GP83" s="42">
        <v>2486.4783221964863</v>
      </c>
      <c r="GQ83" s="42">
        <v>2461.5160192410012</v>
      </c>
      <c r="GR83" s="42">
        <v>2384.6297534088144</v>
      </c>
      <c r="GS83" s="42">
        <v>2632.6237645643682</v>
      </c>
      <c r="GT83" s="42">
        <v>2877.7795326427981</v>
      </c>
      <c r="GU83" s="36">
        <v>0</v>
      </c>
      <c r="GV83" s="36">
        <v>0</v>
      </c>
      <c r="GW83" s="36">
        <v>0</v>
      </c>
      <c r="GX83" s="36">
        <v>0</v>
      </c>
      <c r="GY83" s="36">
        <v>0</v>
      </c>
      <c r="GZ83" s="36">
        <v>0</v>
      </c>
      <c r="HA83" s="38">
        <v>568.26692276494578</v>
      </c>
      <c r="HB83" s="36">
        <v>4915.2044531004494</v>
      </c>
      <c r="HC83" s="36">
        <f t="shared" si="1"/>
        <v>90059.44337110284</v>
      </c>
      <c r="HD83" s="36">
        <f>SUM(CB$5:CB$213)</f>
        <v>90059.44337110284</v>
      </c>
      <c r="HE83" s="41">
        <v>0</v>
      </c>
      <c r="HG83" s="43"/>
      <c r="HH83" s="43"/>
      <c r="HI83" s="43"/>
      <c r="HJ83" s="43"/>
      <c r="HK83" s="43"/>
      <c r="HL83" s="43"/>
      <c r="HM83" s="43"/>
      <c r="HN83" s="43"/>
      <c r="HO83" s="43"/>
      <c r="HP83" s="43"/>
      <c r="HQ83" s="43"/>
      <c r="HR83" s="43"/>
      <c r="HS83" s="43"/>
      <c r="HT83" s="43"/>
    </row>
    <row r="84" spans="1:228" hidden="1" outlineLevel="1" x14ac:dyDescent="0.2">
      <c r="A84" s="9" t="s">
        <v>723</v>
      </c>
      <c r="B84" s="36">
        <v>0</v>
      </c>
      <c r="C84" s="36">
        <v>0</v>
      </c>
      <c r="D84" s="36">
        <v>0</v>
      </c>
      <c r="E84" s="36">
        <v>0</v>
      </c>
      <c r="F84" s="36">
        <v>0</v>
      </c>
      <c r="G84" s="36">
        <v>0</v>
      </c>
      <c r="H84" s="36">
        <v>0</v>
      </c>
      <c r="I84" s="36">
        <v>10027.890914674867</v>
      </c>
      <c r="J84" s="36">
        <v>217.6427153582581</v>
      </c>
      <c r="K84" s="36">
        <v>1.6143948722383794</v>
      </c>
      <c r="L84" s="36">
        <v>0.4012800337350958</v>
      </c>
      <c r="M84" s="36">
        <v>0</v>
      </c>
      <c r="N84" s="36">
        <v>0</v>
      </c>
      <c r="O84" s="36">
        <v>1.4340135034937562</v>
      </c>
      <c r="P84" s="36">
        <v>102.17991822200381</v>
      </c>
      <c r="Q84" s="36">
        <v>0</v>
      </c>
      <c r="R84" s="36">
        <v>0</v>
      </c>
      <c r="S84" s="36">
        <v>1.3039569608471018</v>
      </c>
      <c r="T84" s="36">
        <v>19.242417811150247</v>
      </c>
      <c r="U84" s="36">
        <v>0</v>
      </c>
      <c r="V84" s="36">
        <v>0</v>
      </c>
      <c r="W84" s="36">
        <v>0</v>
      </c>
      <c r="X84" s="36">
        <v>0</v>
      </c>
      <c r="Y84" s="36">
        <v>0</v>
      </c>
      <c r="Z84" s="36">
        <v>0</v>
      </c>
      <c r="AA84" s="36">
        <v>0</v>
      </c>
      <c r="AB84" s="36">
        <v>0</v>
      </c>
      <c r="AC84" s="36">
        <v>0</v>
      </c>
      <c r="AD84" s="36">
        <v>0</v>
      </c>
      <c r="AE84" s="36">
        <v>0</v>
      </c>
      <c r="AF84" s="36">
        <v>0</v>
      </c>
      <c r="AG84" s="36">
        <v>4.2852846762310435</v>
      </c>
      <c r="AH84" s="36">
        <v>0</v>
      </c>
      <c r="AI84" s="36">
        <v>8.0723119056606869</v>
      </c>
      <c r="AJ84" s="36">
        <v>9.4157730719940975</v>
      </c>
      <c r="AK84" s="36">
        <v>0</v>
      </c>
      <c r="AL84" s="36">
        <v>0</v>
      </c>
      <c r="AM84" s="36">
        <v>0</v>
      </c>
      <c r="AN84" s="36">
        <v>0</v>
      </c>
      <c r="AO84" s="36">
        <v>462.70402801958591</v>
      </c>
      <c r="AP84" s="36">
        <v>8.1336449888548296E-2</v>
      </c>
      <c r="AQ84" s="36">
        <v>0</v>
      </c>
      <c r="AR84" s="36">
        <v>0</v>
      </c>
      <c r="AS84" s="36">
        <v>0</v>
      </c>
      <c r="AT84" s="36">
        <v>0</v>
      </c>
      <c r="AU84" s="36">
        <v>0</v>
      </c>
      <c r="AV84" s="36">
        <v>0</v>
      </c>
      <c r="AW84" s="36">
        <v>0</v>
      </c>
      <c r="AX84" s="36">
        <v>0</v>
      </c>
      <c r="AY84" s="36">
        <v>0</v>
      </c>
      <c r="AZ84" s="36">
        <v>0</v>
      </c>
      <c r="BA84" s="36">
        <v>0</v>
      </c>
      <c r="BB84" s="36">
        <v>0</v>
      </c>
      <c r="BC84" s="36">
        <v>361.37056241578745</v>
      </c>
      <c r="BD84" s="36">
        <v>5.4895823796950065</v>
      </c>
      <c r="BE84" s="36">
        <v>97.00954290887961</v>
      </c>
      <c r="BF84" s="36">
        <v>0</v>
      </c>
      <c r="BG84" s="36">
        <v>0</v>
      </c>
      <c r="BH84" s="36">
        <v>0</v>
      </c>
      <c r="BI84" s="36">
        <v>0</v>
      </c>
      <c r="BJ84" s="36">
        <v>995.21210152632523</v>
      </c>
      <c r="BK84" s="36">
        <v>0</v>
      </c>
      <c r="BL84" s="36">
        <v>0</v>
      </c>
      <c r="BM84" s="36">
        <v>0</v>
      </c>
      <c r="BN84" s="36">
        <v>0</v>
      </c>
      <c r="BO84" s="36">
        <v>0</v>
      </c>
      <c r="BP84" s="36">
        <v>0</v>
      </c>
      <c r="BQ84" s="36">
        <v>0</v>
      </c>
      <c r="BR84" s="36">
        <v>0</v>
      </c>
      <c r="BS84" s="36">
        <v>0</v>
      </c>
      <c r="BT84" s="36">
        <v>0</v>
      </c>
      <c r="BU84" s="36">
        <v>0</v>
      </c>
      <c r="BV84" s="36">
        <v>0</v>
      </c>
      <c r="BW84" s="36">
        <v>0</v>
      </c>
      <c r="BX84" s="36">
        <v>0</v>
      </c>
      <c r="BY84" s="36">
        <v>0</v>
      </c>
      <c r="BZ84" s="36">
        <v>0</v>
      </c>
      <c r="CA84" s="36">
        <v>0</v>
      </c>
      <c r="CB84" s="36">
        <v>0</v>
      </c>
      <c r="CC84" s="36">
        <v>0</v>
      </c>
      <c r="CD84" s="36">
        <v>0</v>
      </c>
      <c r="CE84" s="36">
        <v>0</v>
      </c>
      <c r="CF84" s="36">
        <v>0</v>
      </c>
      <c r="CG84" s="36">
        <v>0</v>
      </c>
      <c r="CH84" s="36">
        <v>0</v>
      </c>
      <c r="CI84" s="36">
        <v>0</v>
      </c>
      <c r="CJ84" s="36">
        <v>0</v>
      </c>
      <c r="CK84" s="36">
        <v>0</v>
      </c>
      <c r="CL84" s="36">
        <v>0</v>
      </c>
      <c r="CM84" s="36">
        <v>0</v>
      </c>
      <c r="CN84" s="36">
        <v>0</v>
      </c>
      <c r="CO84" s="36">
        <v>0</v>
      </c>
      <c r="CP84" s="36">
        <v>0</v>
      </c>
      <c r="CQ84" s="36">
        <v>0</v>
      </c>
      <c r="CR84" s="36">
        <v>0</v>
      </c>
      <c r="CS84" s="36">
        <v>0</v>
      </c>
      <c r="CT84" s="36">
        <v>0</v>
      </c>
      <c r="CU84" s="36">
        <v>0</v>
      </c>
      <c r="CV84" s="36">
        <v>0</v>
      </c>
      <c r="CW84" s="36">
        <v>0</v>
      </c>
      <c r="CX84" s="36">
        <v>0</v>
      </c>
      <c r="CY84" s="36">
        <v>0</v>
      </c>
      <c r="CZ84" s="36">
        <v>0</v>
      </c>
      <c r="DA84" s="36">
        <v>0</v>
      </c>
      <c r="DB84" s="36">
        <v>0</v>
      </c>
      <c r="DC84" s="36">
        <v>0</v>
      </c>
      <c r="DD84" s="36">
        <v>0</v>
      </c>
      <c r="DE84" s="36">
        <v>0</v>
      </c>
      <c r="DF84" s="36">
        <v>0</v>
      </c>
      <c r="DG84" s="36">
        <v>0</v>
      </c>
      <c r="DH84" s="36">
        <v>0</v>
      </c>
      <c r="DI84" s="36">
        <v>0</v>
      </c>
      <c r="DJ84" s="36">
        <v>0</v>
      </c>
      <c r="DK84" s="36">
        <v>0</v>
      </c>
      <c r="DL84" s="36">
        <v>0</v>
      </c>
      <c r="DM84" s="36">
        <v>0</v>
      </c>
      <c r="DN84" s="36">
        <v>0</v>
      </c>
      <c r="DO84" s="36">
        <v>0</v>
      </c>
      <c r="DP84" s="36">
        <v>0</v>
      </c>
      <c r="DQ84" s="36">
        <v>0</v>
      </c>
      <c r="DR84" s="36">
        <v>0</v>
      </c>
      <c r="DS84" s="36">
        <v>0</v>
      </c>
      <c r="DT84" s="36">
        <v>0</v>
      </c>
      <c r="DU84" s="36">
        <v>0</v>
      </c>
      <c r="DV84" s="36">
        <v>0</v>
      </c>
      <c r="DW84" s="36">
        <v>0</v>
      </c>
      <c r="DX84" s="36">
        <v>0</v>
      </c>
      <c r="DY84" s="36">
        <v>0</v>
      </c>
      <c r="DZ84" s="36">
        <v>0</v>
      </c>
      <c r="EA84" s="36">
        <v>0</v>
      </c>
      <c r="EB84" s="36">
        <v>0</v>
      </c>
      <c r="EC84" s="36">
        <v>0</v>
      </c>
      <c r="ED84" s="36">
        <v>0</v>
      </c>
      <c r="EE84" s="36">
        <v>0</v>
      </c>
      <c r="EF84" s="36">
        <v>0</v>
      </c>
      <c r="EG84" s="36">
        <v>0</v>
      </c>
      <c r="EH84" s="36">
        <v>0</v>
      </c>
      <c r="EI84" s="36">
        <v>0</v>
      </c>
      <c r="EJ84" s="36">
        <v>0</v>
      </c>
      <c r="EK84" s="36">
        <v>0</v>
      </c>
      <c r="EL84" s="36">
        <v>0</v>
      </c>
      <c r="EM84" s="36">
        <v>0</v>
      </c>
      <c r="EN84" s="36">
        <v>0</v>
      </c>
      <c r="EO84" s="36">
        <v>0</v>
      </c>
      <c r="EP84" s="36">
        <v>0</v>
      </c>
      <c r="EQ84" s="36">
        <v>0</v>
      </c>
      <c r="ER84" s="36">
        <v>0</v>
      </c>
      <c r="ES84" s="36">
        <v>0</v>
      </c>
      <c r="ET84" s="36">
        <v>0</v>
      </c>
      <c r="EU84" s="36">
        <v>0</v>
      </c>
      <c r="EV84" s="36">
        <v>0</v>
      </c>
      <c r="EW84" s="36">
        <v>0</v>
      </c>
      <c r="EX84" s="36">
        <v>0</v>
      </c>
      <c r="EY84" s="36">
        <v>0</v>
      </c>
      <c r="EZ84" s="36">
        <v>0</v>
      </c>
      <c r="FA84" s="36">
        <v>0</v>
      </c>
      <c r="FB84" s="36">
        <v>0</v>
      </c>
      <c r="FC84" s="36">
        <v>0</v>
      </c>
      <c r="FD84" s="36">
        <v>0</v>
      </c>
      <c r="FE84" s="36">
        <v>0</v>
      </c>
      <c r="FF84" s="36">
        <v>0</v>
      </c>
      <c r="FG84" s="36">
        <v>0</v>
      </c>
      <c r="FH84" s="36">
        <v>0</v>
      </c>
      <c r="FI84" s="36">
        <v>0</v>
      </c>
      <c r="FJ84" s="36">
        <v>0</v>
      </c>
      <c r="FK84" s="36">
        <v>0</v>
      </c>
      <c r="FL84" s="36">
        <v>0</v>
      </c>
      <c r="FM84" s="36">
        <v>0</v>
      </c>
      <c r="FN84" s="36">
        <v>0</v>
      </c>
      <c r="FO84" s="36">
        <v>0</v>
      </c>
      <c r="FP84" s="36">
        <v>0</v>
      </c>
      <c r="FQ84" s="36">
        <v>0</v>
      </c>
      <c r="FR84" s="36">
        <v>0</v>
      </c>
      <c r="FS84" s="36">
        <v>0</v>
      </c>
      <c r="FT84" s="36">
        <v>0</v>
      </c>
      <c r="FU84" s="36">
        <v>0</v>
      </c>
      <c r="FV84" s="36">
        <v>0</v>
      </c>
      <c r="FW84" s="36">
        <v>0</v>
      </c>
      <c r="FX84" s="36">
        <v>0</v>
      </c>
      <c r="FY84" s="36">
        <v>0</v>
      </c>
      <c r="FZ84" s="36">
        <v>0</v>
      </c>
      <c r="GA84" s="36">
        <v>0</v>
      </c>
      <c r="GB84" s="36">
        <v>0</v>
      </c>
      <c r="GC84" s="36">
        <v>0</v>
      </c>
      <c r="GD84" s="36">
        <v>0</v>
      </c>
      <c r="GE84" s="36">
        <v>0</v>
      </c>
      <c r="GF84" s="36">
        <v>0</v>
      </c>
      <c r="GG84" s="42">
        <v>6367.6395750469392</v>
      </c>
      <c r="GH84" s="42">
        <v>7209.1440273771923</v>
      </c>
      <c r="GI84" s="42">
        <v>6597.8950132231075</v>
      </c>
      <c r="GJ84" s="42">
        <v>5964.5105411403065</v>
      </c>
      <c r="GK84" s="42">
        <v>5318.0121050949047</v>
      </c>
      <c r="GL84" s="42">
        <v>4758.2507706489869</v>
      </c>
      <c r="GM84" s="42">
        <v>4167.8749854627968</v>
      </c>
      <c r="GN84" s="42">
        <v>4137.0287546578547</v>
      </c>
      <c r="GO84" s="42">
        <v>3796.5220347952977</v>
      </c>
      <c r="GP84" s="42">
        <v>826.39451587672329</v>
      </c>
      <c r="GQ84" s="42">
        <v>705.18107057072996</v>
      </c>
      <c r="GR84" s="42">
        <v>595.60186051123071</v>
      </c>
      <c r="GS84" s="42">
        <v>563.59236451864342</v>
      </c>
      <c r="GT84" s="42">
        <v>704.07043843560973</v>
      </c>
      <c r="GU84" s="36">
        <v>0</v>
      </c>
      <c r="GV84" s="36">
        <v>0</v>
      </c>
      <c r="GW84" s="36">
        <v>0</v>
      </c>
      <c r="GX84" s="36">
        <v>0</v>
      </c>
      <c r="GY84" s="36">
        <v>0</v>
      </c>
      <c r="GZ84" s="36">
        <v>0</v>
      </c>
      <c r="HA84" s="38">
        <v>158.25004145524872</v>
      </c>
      <c r="HB84" s="36">
        <v>10268.707465790349</v>
      </c>
      <c r="HC84" s="36">
        <f t="shared" si="1"/>
        <v>74454.02569939656</v>
      </c>
      <c r="HD84" s="36">
        <f>SUM(CC$5:CC$213)</f>
        <v>74454.02569939656</v>
      </c>
      <c r="HE84" s="41">
        <v>0</v>
      </c>
      <c r="HG84" s="43"/>
      <c r="HH84" s="43"/>
      <c r="HI84" s="43"/>
      <c r="HJ84" s="43"/>
      <c r="HK84" s="43"/>
      <c r="HL84" s="43"/>
      <c r="HM84" s="43"/>
      <c r="HN84" s="43"/>
      <c r="HO84" s="43"/>
      <c r="HP84" s="43"/>
      <c r="HQ84" s="43"/>
      <c r="HR84" s="43"/>
      <c r="HS84" s="43"/>
      <c r="HT84" s="43"/>
    </row>
    <row r="85" spans="1:228" hidden="1" outlineLevel="1" x14ac:dyDescent="0.2">
      <c r="A85" s="9" t="s">
        <v>737</v>
      </c>
      <c r="B85" s="36">
        <v>29858.900160722907</v>
      </c>
      <c r="C85" s="36">
        <v>0</v>
      </c>
      <c r="D85" s="36">
        <v>0</v>
      </c>
      <c r="E85" s="36">
        <v>0</v>
      </c>
      <c r="F85" s="36">
        <v>0</v>
      </c>
      <c r="G85" s="36">
        <v>0</v>
      </c>
      <c r="H85" s="36">
        <v>0</v>
      </c>
      <c r="I85" s="36">
        <v>1110.1895120584625</v>
      </c>
      <c r="J85" s="36">
        <v>0</v>
      </c>
      <c r="K85" s="36">
        <v>0</v>
      </c>
      <c r="L85" s="36">
        <v>0</v>
      </c>
      <c r="M85" s="36">
        <v>0</v>
      </c>
      <c r="N85" s="36">
        <v>0</v>
      </c>
      <c r="O85" s="36">
        <v>0</v>
      </c>
      <c r="P85" s="36">
        <v>0</v>
      </c>
      <c r="Q85" s="36">
        <v>0</v>
      </c>
      <c r="R85" s="36">
        <v>0</v>
      </c>
      <c r="S85" s="36">
        <v>0</v>
      </c>
      <c r="T85" s="36">
        <v>0</v>
      </c>
      <c r="U85" s="36">
        <v>0</v>
      </c>
      <c r="V85" s="36">
        <v>0</v>
      </c>
      <c r="W85" s="36">
        <v>0</v>
      </c>
      <c r="X85" s="36">
        <v>0</v>
      </c>
      <c r="Y85" s="36">
        <v>0</v>
      </c>
      <c r="Z85" s="36">
        <v>0</v>
      </c>
      <c r="AA85" s="36">
        <v>0</v>
      </c>
      <c r="AB85" s="36">
        <v>0</v>
      </c>
      <c r="AC85" s="36">
        <v>0</v>
      </c>
      <c r="AD85" s="36">
        <v>0</v>
      </c>
      <c r="AE85" s="36">
        <v>0</v>
      </c>
      <c r="AF85" s="36">
        <v>0</v>
      </c>
      <c r="AG85" s="36">
        <v>0</v>
      </c>
      <c r="AH85" s="36">
        <v>0</v>
      </c>
      <c r="AI85" s="36">
        <v>53.825594949382449</v>
      </c>
      <c r="AJ85" s="36">
        <v>62.72292478034273</v>
      </c>
      <c r="AK85" s="36">
        <v>0</v>
      </c>
      <c r="AL85" s="36">
        <v>0</v>
      </c>
      <c r="AM85" s="36">
        <v>0</v>
      </c>
      <c r="AN85" s="36">
        <v>0</v>
      </c>
      <c r="AO85" s="36">
        <v>0</v>
      </c>
      <c r="AP85" s="36">
        <v>0</v>
      </c>
      <c r="AQ85" s="36">
        <v>0</v>
      </c>
      <c r="AR85" s="36">
        <v>0</v>
      </c>
      <c r="AS85" s="36">
        <v>0</v>
      </c>
      <c r="AT85" s="36">
        <v>0</v>
      </c>
      <c r="AU85" s="36">
        <v>0</v>
      </c>
      <c r="AV85" s="36">
        <v>0</v>
      </c>
      <c r="AW85" s="36">
        <v>0</v>
      </c>
      <c r="AX85" s="36">
        <v>0</v>
      </c>
      <c r="AY85" s="36">
        <v>0</v>
      </c>
      <c r="AZ85" s="36">
        <v>0</v>
      </c>
      <c r="BA85" s="36">
        <v>0</v>
      </c>
      <c r="BB85" s="36">
        <v>0</v>
      </c>
      <c r="BC85" s="36">
        <v>674.14393916758195</v>
      </c>
      <c r="BD85" s="36">
        <v>3.4954486702005387</v>
      </c>
      <c r="BE85" s="36">
        <v>856.96273692190789</v>
      </c>
      <c r="BF85" s="36">
        <v>0</v>
      </c>
      <c r="BG85" s="36">
        <v>0</v>
      </c>
      <c r="BH85" s="36">
        <v>76.898478256164083</v>
      </c>
      <c r="BI85" s="36">
        <v>0</v>
      </c>
      <c r="BJ85" s="36">
        <v>1799.4496954788856</v>
      </c>
      <c r="BK85" s="36">
        <v>0</v>
      </c>
      <c r="BL85" s="36">
        <v>0</v>
      </c>
      <c r="BM85" s="36">
        <v>0</v>
      </c>
      <c r="BN85" s="36">
        <v>0</v>
      </c>
      <c r="BO85" s="36">
        <v>0</v>
      </c>
      <c r="BP85" s="36">
        <v>0</v>
      </c>
      <c r="BQ85" s="36">
        <v>0</v>
      </c>
      <c r="BR85" s="36">
        <v>0</v>
      </c>
      <c r="BS85" s="36">
        <v>0</v>
      </c>
      <c r="BT85" s="36">
        <v>0</v>
      </c>
      <c r="BU85" s="36">
        <v>0</v>
      </c>
      <c r="BV85" s="36">
        <v>0</v>
      </c>
      <c r="BW85" s="36">
        <v>0</v>
      </c>
      <c r="BX85" s="36">
        <v>0</v>
      </c>
      <c r="BY85" s="36">
        <v>0</v>
      </c>
      <c r="BZ85" s="36">
        <v>0</v>
      </c>
      <c r="CA85" s="36">
        <v>0</v>
      </c>
      <c r="CB85" s="36">
        <v>0</v>
      </c>
      <c r="CC85" s="36">
        <v>0</v>
      </c>
      <c r="CD85" s="36">
        <v>0</v>
      </c>
      <c r="CE85" s="36">
        <v>0</v>
      </c>
      <c r="CF85" s="36">
        <v>0</v>
      </c>
      <c r="CG85" s="36">
        <v>0</v>
      </c>
      <c r="CH85" s="36">
        <v>0</v>
      </c>
      <c r="CI85" s="36">
        <v>0</v>
      </c>
      <c r="CJ85" s="36">
        <v>0</v>
      </c>
      <c r="CK85" s="36">
        <v>0</v>
      </c>
      <c r="CL85" s="36">
        <v>0</v>
      </c>
      <c r="CM85" s="36">
        <v>0</v>
      </c>
      <c r="CN85" s="36">
        <v>0</v>
      </c>
      <c r="CO85" s="36">
        <v>0</v>
      </c>
      <c r="CP85" s="36">
        <v>0</v>
      </c>
      <c r="CQ85" s="36">
        <v>0</v>
      </c>
      <c r="CR85" s="36">
        <v>0</v>
      </c>
      <c r="CS85" s="36">
        <v>0</v>
      </c>
      <c r="CT85" s="36">
        <v>0</v>
      </c>
      <c r="CU85" s="36">
        <v>0</v>
      </c>
      <c r="CV85" s="36">
        <v>0</v>
      </c>
      <c r="CW85" s="36">
        <v>0</v>
      </c>
      <c r="CX85" s="36">
        <v>0</v>
      </c>
      <c r="CY85" s="36">
        <v>0</v>
      </c>
      <c r="CZ85" s="36">
        <v>0</v>
      </c>
      <c r="DA85" s="36">
        <v>0</v>
      </c>
      <c r="DB85" s="36">
        <v>0</v>
      </c>
      <c r="DC85" s="36">
        <v>0</v>
      </c>
      <c r="DD85" s="36">
        <v>0</v>
      </c>
      <c r="DE85" s="36">
        <v>0</v>
      </c>
      <c r="DF85" s="36">
        <v>0</v>
      </c>
      <c r="DG85" s="36">
        <v>0</v>
      </c>
      <c r="DH85" s="36">
        <v>0</v>
      </c>
      <c r="DI85" s="36">
        <v>0</v>
      </c>
      <c r="DJ85" s="36">
        <v>0</v>
      </c>
      <c r="DK85" s="36">
        <v>0</v>
      </c>
      <c r="DL85" s="36">
        <v>0</v>
      </c>
      <c r="DM85" s="36">
        <v>0</v>
      </c>
      <c r="DN85" s="36">
        <v>0</v>
      </c>
      <c r="DO85" s="36">
        <v>0</v>
      </c>
      <c r="DP85" s="36">
        <v>0</v>
      </c>
      <c r="DQ85" s="36">
        <v>0</v>
      </c>
      <c r="DR85" s="36">
        <v>0</v>
      </c>
      <c r="DS85" s="36">
        <v>0</v>
      </c>
      <c r="DT85" s="36">
        <v>0</v>
      </c>
      <c r="DU85" s="36">
        <v>0</v>
      </c>
      <c r="DV85" s="36">
        <v>0</v>
      </c>
      <c r="DW85" s="36">
        <v>0</v>
      </c>
      <c r="DX85" s="36">
        <v>0</v>
      </c>
      <c r="DY85" s="36">
        <v>0</v>
      </c>
      <c r="DZ85" s="36">
        <v>0</v>
      </c>
      <c r="EA85" s="36">
        <v>0</v>
      </c>
      <c r="EB85" s="36">
        <v>0</v>
      </c>
      <c r="EC85" s="36">
        <v>0</v>
      </c>
      <c r="ED85" s="36">
        <v>0</v>
      </c>
      <c r="EE85" s="36">
        <v>0</v>
      </c>
      <c r="EF85" s="36">
        <v>0</v>
      </c>
      <c r="EG85" s="36">
        <v>0</v>
      </c>
      <c r="EH85" s="36">
        <v>0</v>
      </c>
      <c r="EI85" s="36">
        <v>0</v>
      </c>
      <c r="EJ85" s="36">
        <v>0</v>
      </c>
      <c r="EK85" s="36">
        <v>0</v>
      </c>
      <c r="EL85" s="36">
        <v>0</v>
      </c>
      <c r="EM85" s="36">
        <v>0</v>
      </c>
      <c r="EN85" s="36">
        <v>0</v>
      </c>
      <c r="EO85" s="36">
        <v>0</v>
      </c>
      <c r="EP85" s="36">
        <v>0</v>
      </c>
      <c r="EQ85" s="36">
        <v>0</v>
      </c>
      <c r="ER85" s="36">
        <v>0</v>
      </c>
      <c r="ES85" s="36">
        <v>0</v>
      </c>
      <c r="ET85" s="36">
        <v>0</v>
      </c>
      <c r="EU85" s="36">
        <v>0</v>
      </c>
      <c r="EV85" s="36">
        <v>0</v>
      </c>
      <c r="EW85" s="36">
        <v>0</v>
      </c>
      <c r="EX85" s="36">
        <v>0</v>
      </c>
      <c r="EY85" s="36">
        <v>0</v>
      </c>
      <c r="EZ85" s="36">
        <v>0</v>
      </c>
      <c r="FA85" s="36">
        <v>0</v>
      </c>
      <c r="FB85" s="36">
        <v>0</v>
      </c>
      <c r="FC85" s="36">
        <v>0</v>
      </c>
      <c r="FD85" s="36">
        <v>0</v>
      </c>
      <c r="FE85" s="36">
        <v>0</v>
      </c>
      <c r="FF85" s="36">
        <v>0</v>
      </c>
      <c r="FG85" s="36">
        <v>0</v>
      </c>
      <c r="FH85" s="36">
        <v>0</v>
      </c>
      <c r="FI85" s="36">
        <v>0</v>
      </c>
      <c r="FJ85" s="36">
        <v>0</v>
      </c>
      <c r="FK85" s="36">
        <v>0</v>
      </c>
      <c r="FL85" s="36">
        <v>0</v>
      </c>
      <c r="FM85" s="36">
        <v>0</v>
      </c>
      <c r="FN85" s="36">
        <v>0</v>
      </c>
      <c r="FO85" s="36">
        <v>0</v>
      </c>
      <c r="FP85" s="36">
        <v>0</v>
      </c>
      <c r="FQ85" s="36">
        <v>0</v>
      </c>
      <c r="FR85" s="36">
        <v>0</v>
      </c>
      <c r="FS85" s="36">
        <v>0</v>
      </c>
      <c r="FT85" s="36">
        <v>0</v>
      </c>
      <c r="FU85" s="36">
        <v>0</v>
      </c>
      <c r="FV85" s="36">
        <v>0</v>
      </c>
      <c r="FW85" s="36">
        <v>0</v>
      </c>
      <c r="FX85" s="36">
        <v>0</v>
      </c>
      <c r="FY85" s="36">
        <v>0</v>
      </c>
      <c r="FZ85" s="36">
        <v>0</v>
      </c>
      <c r="GA85" s="36">
        <v>0</v>
      </c>
      <c r="GB85" s="36">
        <v>0</v>
      </c>
      <c r="GC85" s="36">
        <v>0</v>
      </c>
      <c r="GD85" s="36">
        <v>0</v>
      </c>
      <c r="GE85" s="36">
        <v>0</v>
      </c>
      <c r="GF85" s="36">
        <v>0</v>
      </c>
      <c r="GG85" s="42">
        <v>22.648262417776191</v>
      </c>
      <c r="GH85" s="42">
        <v>35.21755485588502</v>
      </c>
      <c r="GI85" s="42">
        <v>68.000017467880696</v>
      </c>
      <c r="GJ85" s="42">
        <v>122.94550592221785</v>
      </c>
      <c r="GK85" s="42">
        <v>146.32621325680728</v>
      </c>
      <c r="GL85" s="42">
        <v>281.21525971385876</v>
      </c>
      <c r="GM85" s="42">
        <v>374.84468915140013</v>
      </c>
      <c r="GN85" s="42">
        <v>778.67375857848117</v>
      </c>
      <c r="GO85" s="42">
        <v>2053.5145645823172</v>
      </c>
      <c r="GP85" s="42">
        <v>505.78615290825172</v>
      </c>
      <c r="GQ85" s="42">
        <v>833.36100330393708</v>
      </c>
      <c r="GR85" s="42">
        <v>999.71155431392287</v>
      </c>
      <c r="GS85" s="42">
        <v>1020.1335040226406</v>
      </c>
      <c r="GT85" s="42">
        <v>1067.1201469274556</v>
      </c>
      <c r="GU85" s="36">
        <v>0</v>
      </c>
      <c r="GV85" s="36">
        <v>0</v>
      </c>
      <c r="GW85" s="36">
        <v>0</v>
      </c>
      <c r="GX85" s="36">
        <v>0</v>
      </c>
      <c r="GY85" s="36">
        <v>0</v>
      </c>
      <c r="GZ85" s="36">
        <v>0</v>
      </c>
      <c r="HA85" s="38">
        <v>-51.344117914646631</v>
      </c>
      <c r="HB85" s="36">
        <v>3120.6719958659774</v>
      </c>
      <c r="HC85" s="36">
        <f t="shared" si="1"/>
        <v>45875.414556379983</v>
      </c>
      <c r="HD85" s="36">
        <f>SUM(CD$5:CD$213)</f>
        <v>45875.414556379983</v>
      </c>
      <c r="HE85" s="41">
        <v>0</v>
      </c>
      <c r="HG85" s="43"/>
      <c r="HH85" s="43"/>
      <c r="HI85" s="43"/>
      <c r="HJ85" s="43"/>
      <c r="HK85" s="43"/>
      <c r="HL85" s="43"/>
      <c r="HM85" s="43"/>
      <c r="HN85" s="43"/>
      <c r="HO85" s="43"/>
      <c r="HP85" s="43"/>
      <c r="HQ85" s="43"/>
      <c r="HR85" s="43"/>
      <c r="HS85" s="43"/>
      <c r="HT85" s="43"/>
    </row>
    <row r="86" spans="1:228" hidden="1" outlineLevel="1" x14ac:dyDescent="0.2">
      <c r="A86" s="9" t="s">
        <v>744</v>
      </c>
      <c r="B86" s="36">
        <v>0</v>
      </c>
      <c r="C86" s="36">
        <v>0</v>
      </c>
      <c r="D86" s="36">
        <v>0</v>
      </c>
      <c r="E86" s="36">
        <v>0</v>
      </c>
      <c r="F86" s="36">
        <v>0</v>
      </c>
      <c r="G86" s="36">
        <v>0</v>
      </c>
      <c r="H86" s="36">
        <v>0</v>
      </c>
      <c r="I86" s="36">
        <v>1696.5380635226752</v>
      </c>
      <c r="J86" s="36">
        <v>0</v>
      </c>
      <c r="K86" s="36">
        <v>0</v>
      </c>
      <c r="L86" s="36">
        <v>0</v>
      </c>
      <c r="M86" s="36">
        <v>0</v>
      </c>
      <c r="N86" s="36">
        <v>0</v>
      </c>
      <c r="O86" s="36">
        <v>0</v>
      </c>
      <c r="P86" s="36">
        <v>0</v>
      </c>
      <c r="Q86" s="36">
        <v>0</v>
      </c>
      <c r="R86" s="36">
        <v>0</v>
      </c>
      <c r="S86" s="36">
        <v>0</v>
      </c>
      <c r="T86" s="36">
        <v>0</v>
      </c>
      <c r="U86" s="36">
        <v>0</v>
      </c>
      <c r="V86" s="36">
        <v>0</v>
      </c>
      <c r="W86" s="36">
        <v>0</v>
      </c>
      <c r="X86" s="36">
        <v>0</v>
      </c>
      <c r="Y86" s="36">
        <v>0</v>
      </c>
      <c r="Z86" s="36">
        <v>0</v>
      </c>
      <c r="AA86" s="36">
        <v>0</v>
      </c>
      <c r="AB86" s="36">
        <v>0</v>
      </c>
      <c r="AC86" s="36">
        <v>0</v>
      </c>
      <c r="AD86" s="36">
        <v>0</v>
      </c>
      <c r="AE86" s="36">
        <v>0</v>
      </c>
      <c r="AF86" s="36">
        <v>0</v>
      </c>
      <c r="AG86" s="36">
        <v>0</v>
      </c>
      <c r="AH86" s="36">
        <v>0</v>
      </c>
      <c r="AI86" s="36">
        <v>93.319444080774687</v>
      </c>
      <c r="AJ86" s="36">
        <v>106.08403983093311</v>
      </c>
      <c r="AK86" s="36">
        <v>0</v>
      </c>
      <c r="AL86" s="36">
        <v>0</v>
      </c>
      <c r="AM86" s="36">
        <v>0</v>
      </c>
      <c r="AN86" s="36">
        <v>0</v>
      </c>
      <c r="AO86" s="36">
        <v>2918.2160113201235</v>
      </c>
      <c r="AP86" s="36">
        <v>133.68850777178102</v>
      </c>
      <c r="AQ86" s="36">
        <v>133.86911961284784</v>
      </c>
      <c r="AR86" s="36">
        <v>280.3543433680012</v>
      </c>
      <c r="AS86" s="36">
        <v>0</v>
      </c>
      <c r="AT86" s="36">
        <v>0</v>
      </c>
      <c r="AU86" s="36">
        <v>0</v>
      </c>
      <c r="AV86" s="36">
        <v>0</v>
      </c>
      <c r="AW86" s="36">
        <v>0</v>
      </c>
      <c r="AX86" s="36">
        <v>0</v>
      </c>
      <c r="AY86" s="36">
        <v>0</v>
      </c>
      <c r="AZ86" s="36">
        <v>0</v>
      </c>
      <c r="BA86" s="36">
        <v>0</v>
      </c>
      <c r="BB86" s="36">
        <v>0</v>
      </c>
      <c r="BC86" s="36">
        <v>980.72960259556498</v>
      </c>
      <c r="BD86" s="36">
        <v>30.351588327382252</v>
      </c>
      <c r="BE86" s="36">
        <v>1548.4293875333328</v>
      </c>
      <c r="BF86" s="36">
        <v>0</v>
      </c>
      <c r="BG86" s="36">
        <v>199.53484973487127</v>
      </c>
      <c r="BH86" s="36">
        <v>3978.870418563572</v>
      </c>
      <c r="BI86" s="36">
        <v>0</v>
      </c>
      <c r="BJ86" s="36">
        <v>719.75225781026018</v>
      </c>
      <c r="BK86" s="36">
        <v>0</v>
      </c>
      <c r="BL86" s="36">
        <v>0</v>
      </c>
      <c r="BM86" s="36">
        <v>0</v>
      </c>
      <c r="BN86" s="36">
        <v>0</v>
      </c>
      <c r="BO86" s="36">
        <v>0</v>
      </c>
      <c r="BP86" s="36">
        <v>0</v>
      </c>
      <c r="BQ86" s="36">
        <v>0</v>
      </c>
      <c r="BR86" s="36">
        <v>0</v>
      </c>
      <c r="BS86" s="36">
        <v>0</v>
      </c>
      <c r="BT86" s="36">
        <v>0</v>
      </c>
      <c r="BU86" s="36">
        <v>0</v>
      </c>
      <c r="BV86" s="36">
        <v>0</v>
      </c>
      <c r="BW86" s="36">
        <v>0</v>
      </c>
      <c r="BX86" s="36">
        <v>0</v>
      </c>
      <c r="BY86" s="36">
        <v>0</v>
      </c>
      <c r="BZ86" s="36">
        <v>0</v>
      </c>
      <c r="CA86" s="36">
        <v>0</v>
      </c>
      <c r="CB86" s="36">
        <v>0</v>
      </c>
      <c r="CC86" s="36">
        <v>0</v>
      </c>
      <c r="CD86" s="36">
        <v>0</v>
      </c>
      <c r="CE86" s="36">
        <v>0</v>
      </c>
      <c r="CF86" s="36">
        <v>0</v>
      </c>
      <c r="CG86" s="36">
        <v>0</v>
      </c>
      <c r="CH86" s="36">
        <v>0</v>
      </c>
      <c r="CI86" s="36">
        <v>0</v>
      </c>
      <c r="CJ86" s="36">
        <v>0</v>
      </c>
      <c r="CK86" s="36">
        <v>0</v>
      </c>
      <c r="CL86" s="36">
        <v>0</v>
      </c>
      <c r="CM86" s="36">
        <v>0</v>
      </c>
      <c r="CN86" s="36">
        <v>0</v>
      </c>
      <c r="CO86" s="36">
        <v>0</v>
      </c>
      <c r="CP86" s="36">
        <v>0</v>
      </c>
      <c r="CQ86" s="36">
        <v>0</v>
      </c>
      <c r="CR86" s="36">
        <v>0</v>
      </c>
      <c r="CS86" s="36">
        <v>0</v>
      </c>
      <c r="CT86" s="36">
        <v>0</v>
      </c>
      <c r="CU86" s="36">
        <v>0</v>
      </c>
      <c r="CV86" s="36">
        <v>0</v>
      </c>
      <c r="CW86" s="36">
        <v>0</v>
      </c>
      <c r="CX86" s="36">
        <v>0</v>
      </c>
      <c r="CY86" s="36">
        <v>0</v>
      </c>
      <c r="CZ86" s="36">
        <v>0</v>
      </c>
      <c r="DA86" s="36">
        <v>0</v>
      </c>
      <c r="DB86" s="36">
        <v>0</v>
      </c>
      <c r="DC86" s="36">
        <v>0</v>
      </c>
      <c r="DD86" s="36">
        <v>0</v>
      </c>
      <c r="DE86" s="36">
        <v>0</v>
      </c>
      <c r="DF86" s="36">
        <v>0</v>
      </c>
      <c r="DG86" s="36">
        <v>0</v>
      </c>
      <c r="DH86" s="36">
        <v>0</v>
      </c>
      <c r="DI86" s="36">
        <v>0</v>
      </c>
      <c r="DJ86" s="36">
        <v>0</v>
      </c>
      <c r="DK86" s="36">
        <v>0</v>
      </c>
      <c r="DL86" s="36">
        <v>0</v>
      </c>
      <c r="DM86" s="36">
        <v>0</v>
      </c>
      <c r="DN86" s="36">
        <v>0</v>
      </c>
      <c r="DO86" s="36">
        <v>0</v>
      </c>
      <c r="DP86" s="36">
        <v>0</v>
      </c>
      <c r="DQ86" s="36">
        <v>0</v>
      </c>
      <c r="DR86" s="36">
        <v>0</v>
      </c>
      <c r="DS86" s="36">
        <v>0</v>
      </c>
      <c r="DT86" s="36">
        <v>0</v>
      </c>
      <c r="DU86" s="36">
        <v>0</v>
      </c>
      <c r="DV86" s="36">
        <v>0</v>
      </c>
      <c r="DW86" s="36">
        <v>0</v>
      </c>
      <c r="DX86" s="36">
        <v>0</v>
      </c>
      <c r="DY86" s="36">
        <v>0</v>
      </c>
      <c r="DZ86" s="36">
        <v>0</v>
      </c>
      <c r="EA86" s="36">
        <v>0</v>
      </c>
      <c r="EB86" s="36">
        <v>0</v>
      </c>
      <c r="EC86" s="36">
        <v>0</v>
      </c>
      <c r="ED86" s="36">
        <v>0</v>
      </c>
      <c r="EE86" s="36">
        <v>0</v>
      </c>
      <c r="EF86" s="36">
        <v>0</v>
      </c>
      <c r="EG86" s="36">
        <v>0</v>
      </c>
      <c r="EH86" s="36">
        <v>0</v>
      </c>
      <c r="EI86" s="36">
        <v>0</v>
      </c>
      <c r="EJ86" s="36">
        <v>0</v>
      </c>
      <c r="EK86" s="36">
        <v>0</v>
      </c>
      <c r="EL86" s="36">
        <v>0</v>
      </c>
      <c r="EM86" s="36">
        <v>0</v>
      </c>
      <c r="EN86" s="36">
        <v>0</v>
      </c>
      <c r="EO86" s="36">
        <v>0</v>
      </c>
      <c r="EP86" s="36">
        <v>0</v>
      </c>
      <c r="EQ86" s="36">
        <v>0</v>
      </c>
      <c r="ER86" s="36">
        <v>0</v>
      </c>
      <c r="ES86" s="36">
        <v>0</v>
      </c>
      <c r="ET86" s="36">
        <v>0</v>
      </c>
      <c r="EU86" s="36">
        <v>0</v>
      </c>
      <c r="EV86" s="36">
        <v>0</v>
      </c>
      <c r="EW86" s="36">
        <v>0</v>
      </c>
      <c r="EX86" s="36">
        <v>0</v>
      </c>
      <c r="EY86" s="36">
        <v>0</v>
      </c>
      <c r="EZ86" s="36">
        <v>0</v>
      </c>
      <c r="FA86" s="36">
        <v>0</v>
      </c>
      <c r="FB86" s="36">
        <v>0</v>
      </c>
      <c r="FC86" s="36">
        <v>0</v>
      </c>
      <c r="FD86" s="36">
        <v>0</v>
      </c>
      <c r="FE86" s="36">
        <v>0</v>
      </c>
      <c r="FF86" s="36">
        <v>0</v>
      </c>
      <c r="FG86" s="36">
        <v>0</v>
      </c>
      <c r="FH86" s="36">
        <v>0</v>
      </c>
      <c r="FI86" s="36">
        <v>0</v>
      </c>
      <c r="FJ86" s="36">
        <v>0</v>
      </c>
      <c r="FK86" s="36">
        <v>0</v>
      </c>
      <c r="FL86" s="36">
        <v>0</v>
      </c>
      <c r="FM86" s="36">
        <v>0</v>
      </c>
      <c r="FN86" s="36">
        <v>0</v>
      </c>
      <c r="FO86" s="36">
        <v>0</v>
      </c>
      <c r="FP86" s="36">
        <v>0</v>
      </c>
      <c r="FQ86" s="36">
        <v>0</v>
      </c>
      <c r="FR86" s="36">
        <v>0</v>
      </c>
      <c r="FS86" s="36">
        <v>0</v>
      </c>
      <c r="FT86" s="36">
        <v>0</v>
      </c>
      <c r="FU86" s="36">
        <v>0</v>
      </c>
      <c r="FV86" s="36">
        <v>0</v>
      </c>
      <c r="FW86" s="36">
        <v>0</v>
      </c>
      <c r="FX86" s="36">
        <v>0</v>
      </c>
      <c r="FY86" s="36">
        <v>0</v>
      </c>
      <c r="FZ86" s="36">
        <v>0</v>
      </c>
      <c r="GA86" s="36">
        <v>0</v>
      </c>
      <c r="GB86" s="36">
        <v>0</v>
      </c>
      <c r="GC86" s="36">
        <v>0</v>
      </c>
      <c r="GD86" s="36">
        <v>0</v>
      </c>
      <c r="GE86" s="36">
        <v>0</v>
      </c>
      <c r="GF86" s="36">
        <v>0</v>
      </c>
      <c r="GG86" s="42">
        <v>2305.9950696341039</v>
      </c>
      <c r="GH86" s="42">
        <v>2847.0895985549573</v>
      </c>
      <c r="GI86" s="42">
        <v>3094.9981167476158</v>
      </c>
      <c r="GJ86" s="42">
        <v>3293.1032750081436</v>
      </c>
      <c r="GK86" s="42">
        <v>3364.7532217036055</v>
      </c>
      <c r="GL86" s="42">
        <v>3534.3863663610837</v>
      </c>
      <c r="GM86" s="42">
        <v>3460.6480368436783</v>
      </c>
      <c r="GN86" s="42">
        <v>3595.3696780609548</v>
      </c>
      <c r="GO86" s="42">
        <v>3909.4909959019774</v>
      </c>
      <c r="GP86" s="42">
        <v>841.26256920402363</v>
      </c>
      <c r="GQ86" s="42">
        <v>830.31753502007109</v>
      </c>
      <c r="GR86" s="42">
        <v>741.76983593749685</v>
      </c>
      <c r="GS86" s="42">
        <v>745.95408777939861</v>
      </c>
      <c r="GT86" s="42">
        <v>773.78156378189328</v>
      </c>
      <c r="GU86" s="36">
        <v>0</v>
      </c>
      <c r="GV86" s="36">
        <v>0</v>
      </c>
      <c r="GW86" s="36">
        <v>0</v>
      </c>
      <c r="GX86" s="36">
        <v>0</v>
      </c>
      <c r="GY86" s="36">
        <v>0</v>
      </c>
      <c r="GZ86" s="36">
        <v>0</v>
      </c>
      <c r="HA86" s="38">
        <v>927.24998942158709</v>
      </c>
      <c r="HB86" s="36">
        <v>2148.5441706866859</v>
      </c>
      <c r="HC86" s="36">
        <f t="shared" si="1"/>
        <v>49234.451744719394</v>
      </c>
      <c r="HD86" s="36">
        <f>SUM(CE$5:CE$213)</f>
        <v>49234.451744719394</v>
      </c>
      <c r="HE86" s="41">
        <v>0</v>
      </c>
      <c r="HG86" s="43"/>
      <c r="HH86" s="43"/>
      <c r="HI86" s="43"/>
      <c r="HJ86" s="43"/>
      <c r="HK86" s="43"/>
      <c r="HL86" s="43"/>
      <c r="HM86" s="43"/>
      <c r="HN86" s="43"/>
      <c r="HO86" s="43"/>
      <c r="HP86" s="43"/>
      <c r="HQ86" s="43"/>
      <c r="HR86" s="43"/>
      <c r="HS86" s="43"/>
      <c r="HT86" s="43"/>
    </row>
    <row r="87" spans="1:228" hidden="1" outlineLevel="1" x14ac:dyDescent="0.2">
      <c r="A87" s="9" t="s">
        <v>749</v>
      </c>
      <c r="B87" s="36">
        <v>0</v>
      </c>
      <c r="C87" s="36">
        <v>0</v>
      </c>
      <c r="D87" s="36">
        <v>0</v>
      </c>
      <c r="E87" s="36">
        <v>0</v>
      </c>
      <c r="F87" s="36">
        <v>0</v>
      </c>
      <c r="G87" s="36">
        <v>0</v>
      </c>
      <c r="H87" s="36">
        <v>0</v>
      </c>
      <c r="I87" s="36">
        <v>2456.5934279485577</v>
      </c>
      <c r="J87" s="36">
        <v>13382.618854979115</v>
      </c>
      <c r="K87" s="36">
        <v>0</v>
      </c>
      <c r="L87" s="36">
        <v>0</v>
      </c>
      <c r="M87" s="36">
        <v>0</v>
      </c>
      <c r="N87" s="36">
        <v>0</v>
      </c>
      <c r="O87" s="36">
        <v>0</v>
      </c>
      <c r="P87" s="36">
        <v>0</v>
      </c>
      <c r="Q87" s="36">
        <v>0</v>
      </c>
      <c r="R87" s="36">
        <v>0</v>
      </c>
      <c r="S87" s="36">
        <v>0</v>
      </c>
      <c r="T87" s="36">
        <v>25.32423141167855</v>
      </c>
      <c r="U87" s="36">
        <v>0</v>
      </c>
      <c r="V87" s="36">
        <v>0</v>
      </c>
      <c r="W87" s="36">
        <v>0</v>
      </c>
      <c r="X87" s="36">
        <v>0</v>
      </c>
      <c r="Y87" s="36">
        <v>0</v>
      </c>
      <c r="Z87" s="36">
        <v>0</v>
      </c>
      <c r="AA87" s="36">
        <v>0</v>
      </c>
      <c r="AB87" s="36">
        <v>0</v>
      </c>
      <c r="AC87" s="36">
        <v>0</v>
      </c>
      <c r="AD87" s="36">
        <v>0</v>
      </c>
      <c r="AE87" s="36">
        <v>0</v>
      </c>
      <c r="AF87" s="36">
        <v>0</v>
      </c>
      <c r="AG87" s="36">
        <v>0</v>
      </c>
      <c r="AH87" s="36">
        <v>0</v>
      </c>
      <c r="AI87" s="36">
        <v>2.8984283060336233</v>
      </c>
      <c r="AJ87" s="36">
        <v>3.361347857615538</v>
      </c>
      <c r="AK87" s="36">
        <v>0</v>
      </c>
      <c r="AL87" s="36">
        <v>0</v>
      </c>
      <c r="AM87" s="36">
        <v>0</v>
      </c>
      <c r="AN87" s="36">
        <v>0</v>
      </c>
      <c r="AO87" s="36">
        <v>95.326230640887516</v>
      </c>
      <c r="AP87" s="36">
        <v>0</v>
      </c>
      <c r="AQ87" s="36">
        <v>0</v>
      </c>
      <c r="AR87" s="36">
        <v>0</v>
      </c>
      <c r="AS87" s="36">
        <v>0</v>
      </c>
      <c r="AT87" s="36">
        <v>0</v>
      </c>
      <c r="AU87" s="36">
        <v>0</v>
      </c>
      <c r="AV87" s="36">
        <v>0</v>
      </c>
      <c r="AW87" s="36">
        <v>0</v>
      </c>
      <c r="AX87" s="36">
        <v>0</v>
      </c>
      <c r="AY87" s="36">
        <v>0</v>
      </c>
      <c r="AZ87" s="36">
        <v>0</v>
      </c>
      <c r="BA87" s="36">
        <v>0</v>
      </c>
      <c r="BB87" s="36">
        <v>0</v>
      </c>
      <c r="BC87" s="36">
        <v>107.13965748807331</v>
      </c>
      <c r="BD87" s="36">
        <v>1.9451696054903966</v>
      </c>
      <c r="BE87" s="36">
        <v>34.159280219565467</v>
      </c>
      <c r="BF87" s="36">
        <v>0</v>
      </c>
      <c r="BG87" s="36">
        <v>0</v>
      </c>
      <c r="BH87" s="36">
        <v>0</v>
      </c>
      <c r="BI87" s="36">
        <v>0</v>
      </c>
      <c r="BJ87" s="36">
        <v>712.49251607661961</v>
      </c>
      <c r="BK87" s="36">
        <v>0</v>
      </c>
      <c r="BL87" s="36">
        <v>0</v>
      </c>
      <c r="BM87" s="36">
        <v>0</v>
      </c>
      <c r="BN87" s="36">
        <v>0</v>
      </c>
      <c r="BO87" s="36">
        <v>0</v>
      </c>
      <c r="BP87" s="36">
        <v>0</v>
      </c>
      <c r="BQ87" s="36">
        <v>0</v>
      </c>
      <c r="BR87" s="36">
        <v>0</v>
      </c>
      <c r="BS87" s="36">
        <v>0</v>
      </c>
      <c r="BT87" s="36">
        <v>0</v>
      </c>
      <c r="BU87" s="36">
        <v>0</v>
      </c>
      <c r="BV87" s="36">
        <v>0</v>
      </c>
      <c r="BW87" s="36">
        <v>0</v>
      </c>
      <c r="BX87" s="36">
        <v>0</v>
      </c>
      <c r="BY87" s="36">
        <v>0</v>
      </c>
      <c r="BZ87" s="36">
        <v>0</v>
      </c>
      <c r="CA87" s="36">
        <v>0</v>
      </c>
      <c r="CB87" s="36">
        <v>0</v>
      </c>
      <c r="CC87" s="36">
        <v>0</v>
      </c>
      <c r="CD87" s="36">
        <v>0</v>
      </c>
      <c r="CE87" s="36">
        <v>0</v>
      </c>
      <c r="CF87" s="36">
        <v>0</v>
      </c>
      <c r="CG87" s="36">
        <v>0</v>
      </c>
      <c r="CH87" s="36">
        <v>0</v>
      </c>
      <c r="CI87" s="36">
        <v>0</v>
      </c>
      <c r="CJ87" s="36">
        <v>0</v>
      </c>
      <c r="CK87" s="36">
        <v>0</v>
      </c>
      <c r="CL87" s="36">
        <v>0</v>
      </c>
      <c r="CM87" s="36">
        <v>0</v>
      </c>
      <c r="CN87" s="36">
        <v>0</v>
      </c>
      <c r="CO87" s="36">
        <v>0</v>
      </c>
      <c r="CP87" s="36">
        <v>0</v>
      </c>
      <c r="CQ87" s="36">
        <v>0</v>
      </c>
      <c r="CR87" s="36">
        <v>0</v>
      </c>
      <c r="CS87" s="36">
        <v>0</v>
      </c>
      <c r="CT87" s="36">
        <v>0</v>
      </c>
      <c r="CU87" s="36">
        <v>0</v>
      </c>
      <c r="CV87" s="36">
        <v>0</v>
      </c>
      <c r="CW87" s="36">
        <v>0</v>
      </c>
      <c r="CX87" s="36">
        <v>0</v>
      </c>
      <c r="CY87" s="36">
        <v>0</v>
      </c>
      <c r="CZ87" s="36">
        <v>0</v>
      </c>
      <c r="DA87" s="36">
        <v>0</v>
      </c>
      <c r="DB87" s="36">
        <v>0</v>
      </c>
      <c r="DC87" s="36">
        <v>0</v>
      </c>
      <c r="DD87" s="36">
        <v>0</v>
      </c>
      <c r="DE87" s="36">
        <v>0</v>
      </c>
      <c r="DF87" s="36">
        <v>0</v>
      </c>
      <c r="DG87" s="36">
        <v>0</v>
      </c>
      <c r="DH87" s="36">
        <v>0</v>
      </c>
      <c r="DI87" s="36">
        <v>0</v>
      </c>
      <c r="DJ87" s="36">
        <v>0</v>
      </c>
      <c r="DK87" s="36">
        <v>0</v>
      </c>
      <c r="DL87" s="36">
        <v>0</v>
      </c>
      <c r="DM87" s="36">
        <v>0</v>
      </c>
      <c r="DN87" s="36">
        <v>0</v>
      </c>
      <c r="DO87" s="36">
        <v>0</v>
      </c>
      <c r="DP87" s="36">
        <v>0</v>
      </c>
      <c r="DQ87" s="36">
        <v>0</v>
      </c>
      <c r="DR87" s="36">
        <v>0</v>
      </c>
      <c r="DS87" s="36">
        <v>0</v>
      </c>
      <c r="DT87" s="36">
        <v>0</v>
      </c>
      <c r="DU87" s="36">
        <v>0</v>
      </c>
      <c r="DV87" s="36">
        <v>0</v>
      </c>
      <c r="DW87" s="36">
        <v>0</v>
      </c>
      <c r="DX87" s="36">
        <v>0</v>
      </c>
      <c r="DY87" s="36">
        <v>0</v>
      </c>
      <c r="DZ87" s="36">
        <v>0</v>
      </c>
      <c r="EA87" s="36">
        <v>0</v>
      </c>
      <c r="EB87" s="36">
        <v>0</v>
      </c>
      <c r="EC87" s="36">
        <v>0</v>
      </c>
      <c r="ED87" s="36">
        <v>0</v>
      </c>
      <c r="EE87" s="36">
        <v>0</v>
      </c>
      <c r="EF87" s="36">
        <v>0</v>
      </c>
      <c r="EG87" s="36">
        <v>0</v>
      </c>
      <c r="EH87" s="36">
        <v>0</v>
      </c>
      <c r="EI87" s="36">
        <v>0</v>
      </c>
      <c r="EJ87" s="36">
        <v>0</v>
      </c>
      <c r="EK87" s="36">
        <v>0</v>
      </c>
      <c r="EL87" s="36">
        <v>0</v>
      </c>
      <c r="EM87" s="36">
        <v>0</v>
      </c>
      <c r="EN87" s="36">
        <v>0</v>
      </c>
      <c r="EO87" s="36">
        <v>0</v>
      </c>
      <c r="EP87" s="36">
        <v>0</v>
      </c>
      <c r="EQ87" s="36">
        <v>0</v>
      </c>
      <c r="ER87" s="36">
        <v>0</v>
      </c>
      <c r="ES87" s="36">
        <v>0</v>
      </c>
      <c r="ET87" s="36">
        <v>0</v>
      </c>
      <c r="EU87" s="36">
        <v>0</v>
      </c>
      <c r="EV87" s="36">
        <v>0</v>
      </c>
      <c r="EW87" s="36">
        <v>0</v>
      </c>
      <c r="EX87" s="36">
        <v>0</v>
      </c>
      <c r="EY87" s="36">
        <v>0</v>
      </c>
      <c r="EZ87" s="36">
        <v>0</v>
      </c>
      <c r="FA87" s="36">
        <v>0</v>
      </c>
      <c r="FB87" s="36">
        <v>0</v>
      </c>
      <c r="FC87" s="36">
        <v>0</v>
      </c>
      <c r="FD87" s="36">
        <v>0</v>
      </c>
      <c r="FE87" s="36">
        <v>0</v>
      </c>
      <c r="FF87" s="36">
        <v>0</v>
      </c>
      <c r="FG87" s="36">
        <v>0</v>
      </c>
      <c r="FH87" s="36">
        <v>0</v>
      </c>
      <c r="FI87" s="36">
        <v>0</v>
      </c>
      <c r="FJ87" s="36">
        <v>0</v>
      </c>
      <c r="FK87" s="36">
        <v>0</v>
      </c>
      <c r="FL87" s="36">
        <v>0</v>
      </c>
      <c r="FM87" s="36">
        <v>0</v>
      </c>
      <c r="FN87" s="36">
        <v>0</v>
      </c>
      <c r="FO87" s="36">
        <v>0</v>
      </c>
      <c r="FP87" s="36">
        <v>0</v>
      </c>
      <c r="FQ87" s="36">
        <v>0</v>
      </c>
      <c r="FR87" s="36">
        <v>0</v>
      </c>
      <c r="FS87" s="36">
        <v>0</v>
      </c>
      <c r="FT87" s="36">
        <v>0</v>
      </c>
      <c r="FU87" s="36">
        <v>0</v>
      </c>
      <c r="FV87" s="36">
        <v>0</v>
      </c>
      <c r="FW87" s="36">
        <v>0</v>
      </c>
      <c r="FX87" s="36">
        <v>0</v>
      </c>
      <c r="FY87" s="36">
        <v>0</v>
      </c>
      <c r="FZ87" s="36">
        <v>0</v>
      </c>
      <c r="GA87" s="36">
        <v>0</v>
      </c>
      <c r="GB87" s="36">
        <v>0</v>
      </c>
      <c r="GC87" s="36">
        <v>0</v>
      </c>
      <c r="GD87" s="36">
        <v>0</v>
      </c>
      <c r="GE87" s="36">
        <v>0</v>
      </c>
      <c r="GF87" s="36">
        <v>0</v>
      </c>
      <c r="GG87" s="42">
        <v>959.39000320851085</v>
      </c>
      <c r="GH87" s="42">
        <v>1200.1187827583899</v>
      </c>
      <c r="GI87" s="42">
        <v>1139.8125255368329</v>
      </c>
      <c r="GJ87" s="42">
        <v>1064.3022251678426</v>
      </c>
      <c r="GK87" s="42">
        <v>1054.0117418144332</v>
      </c>
      <c r="GL87" s="42">
        <v>933.4732155946806</v>
      </c>
      <c r="GM87" s="42">
        <v>801.18024992314145</v>
      </c>
      <c r="GN87" s="42">
        <v>763.09427780371311</v>
      </c>
      <c r="GO87" s="42">
        <v>732.45193746400935</v>
      </c>
      <c r="GP87" s="42">
        <v>160.60951500555313</v>
      </c>
      <c r="GQ87" s="42">
        <v>120.68719463195833</v>
      </c>
      <c r="GR87" s="42">
        <v>107.55459322443272</v>
      </c>
      <c r="GS87" s="42">
        <v>137.1354152299983</v>
      </c>
      <c r="GT87" s="42">
        <v>116.96278825989776</v>
      </c>
      <c r="GU87" s="36">
        <v>0</v>
      </c>
      <c r="GV87" s="36">
        <v>0</v>
      </c>
      <c r="GW87" s="36">
        <v>0</v>
      </c>
      <c r="GX87" s="36">
        <v>0</v>
      </c>
      <c r="GY87" s="36">
        <v>0</v>
      </c>
      <c r="GZ87" s="36">
        <v>0</v>
      </c>
      <c r="HA87" s="38">
        <v>371.54487820779832</v>
      </c>
      <c r="HB87" s="36">
        <v>3084.3155350046368</v>
      </c>
      <c r="HC87" s="36">
        <f t="shared" si="1"/>
        <v>29568.504023369456</v>
      </c>
      <c r="HD87" s="36">
        <f>SUM(CF$5:CF$213)</f>
        <v>29568.504023369456</v>
      </c>
      <c r="HE87" s="41">
        <v>0</v>
      </c>
      <c r="HG87" s="43"/>
      <c r="HH87" s="43"/>
      <c r="HI87" s="43"/>
      <c r="HJ87" s="43"/>
      <c r="HK87" s="43"/>
      <c r="HL87" s="43"/>
      <c r="HM87" s="43"/>
      <c r="HN87" s="43"/>
      <c r="HO87" s="43"/>
      <c r="HP87" s="43"/>
      <c r="HQ87" s="43"/>
      <c r="HR87" s="43"/>
      <c r="HS87" s="43"/>
      <c r="HT87" s="43"/>
    </row>
    <row r="88" spans="1:228" hidden="1" outlineLevel="1" x14ac:dyDescent="0.2">
      <c r="A88" s="9" t="s">
        <v>753</v>
      </c>
      <c r="B88" s="36">
        <v>0</v>
      </c>
      <c r="C88" s="36">
        <v>0</v>
      </c>
      <c r="D88" s="36">
        <v>0</v>
      </c>
      <c r="E88" s="36">
        <v>0</v>
      </c>
      <c r="F88" s="36">
        <v>0</v>
      </c>
      <c r="G88" s="36">
        <v>0</v>
      </c>
      <c r="H88" s="36">
        <v>0</v>
      </c>
      <c r="I88" s="36">
        <v>1196.5501553660451</v>
      </c>
      <c r="J88" s="36">
        <v>0</v>
      </c>
      <c r="K88" s="36">
        <v>0</v>
      </c>
      <c r="L88" s="36">
        <v>0</v>
      </c>
      <c r="M88" s="36">
        <v>0</v>
      </c>
      <c r="N88" s="36">
        <v>0</v>
      </c>
      <c r="O88" s="36">
        <v>0</v>
      </c>
      <c r="P88" s="36">
        <v>0</v>
      </c>
      <c r="Q88" s="36">
        <v>0</v>
      </c>
      <c r="R88" s="36">
        <v>0</v>
      </c>
      <c r="S88" s="36">
        <v>0</v>
      </c>
      <c r="T88" s="36">
        <v>0</v>
      </c>
      <c r="U88" s="36">
        <v>0</v>
      </c>
      <c r="V88" s="36">
        <v>0</v>
      </c>
      <c r="W88" s="36">
        <v>0</v>
      </c>
      <c r="X88" s="36">
        <v>0</v>
      </c>
      <c r="Y88" s="36">
        <v>0</v>
      </c>
      <c r="Z88" s="36">
        <v>0</v>
      </c>
      <c r="AA88" s="36">
        <v>0</v>
      </c>
      <c r="AB88" s="36">
        <v>0</v>
      </c>
      <c r="AC88" s="36">
        <v>0</v>
      </c>
      <c r="AD88" s="36">
        <v>0</v>
      </c>
      <c r="AE88" s="36">
        <v>0</v>
      </c>
      <c r="AF88" s="36">
        <v>0</v>
      </c>
      <c r="AG88" s="36">
        <v>0</v>
      </c>
      <c r="AH88" s="36">
        <v>0</v>
      </c>
      <c r="AI88" s="36">
        <v>4.9797223337185432</v>
      </c>
      <c r="AJ88" s="36">
        <v>5.7164373184028934</v>
      </c>
      <c r="AK88" s="36">
        <v>0</v>
      </c>
      <c r="AL88" s="36">
        <v>0</v>
      </c>
      <c r="AM88" s="36">
        <v>0</v>
      </c>
      <c r="AN88" s="36">
        <v>0</v>
      </c>
      <c r="AO88" s="36">
        <v>618.12820947780472</v>
      </c>
      <c r="AP88" s="36">
        <v>0</v>
      </c>
      <c r="AQ88" s="36">
        <v>0</v>
      </c>
      <c r="AR88" s="36">
        <v>0</v>
      </c>
      <c r="AS88" s="36">
        <v>0</v>
      </c>
      <c r="AT88" s="36">
        <v>0</v>
      </c>
      <c r="AU88" s="36">
        <v>0</v>
      </c>
      <c r="AV88" s="36">
        <v>0</v>
      </c>
      <c r="AW88" s="36">
        <v>0</v>
      </c>
      <c r="AX88" s="36">
        <v>0</v>
      </c>
      <c r="AY88" s="36">
        <v>0</v>
      </c>
      <c r="AZ88" s="36">
        <v>0</v>
      </c>
      <c r="BA88" s="36">
        <v>0</v>
      </c>
      <c r="BB88" s="36">
        <v>0</v>
      </c>
      <c r="BC88" s="36">
        <v>92.177812617341687</v>
      </c>
      <c r="BD88" s="36">
        <v>3.2120055832277816</v>
      </c>
      <c r="BE88" s="36">
        <v>38.817558583407717</v>
      </c>
      <c r="BF88" s="36">
        <v>0</v>
      </c>
      <c r="BG88" s="36">
        <v>0</v>
      </c>
      <c r="BH88" s="36">
        <v>0</v>
      </c>
      <c r="BI88" s="36">
        <v>0</v>
      </c>
      <c r="BJ88" s="36">
        <v>384.75631696476455</v>
      </c>
      <c r="BK88" s="36">
        <v>0</v>
      </c>
      <c r="BL88" s="36">
        <v>0</v>
      </c>
      <c r="BM88" s="36">
        <v>0</v>
      </c>
      <c r="BN88" s="36">
        <v>0</v>
      </c>
      <c r="BO88" s="36">
        <v>0</v>
      </c>
      <c r="BP88" s="36">
        <v>0</v>
      </c>
      <c r="BQ88" s="36">
        <v>0</v>
      </c>
      <c r="BR88" s="36">
        <v>0</v>
      </c>
      <c r="BS88" s="36">
        <v>0</v>
      </c>
      <c r="BT88" s="36">
        <v>0</v>
      </c>
      <c r="BU88" s="36">
        <v>0</v>
      </c>
      <c r="BV88" s="36">
        <v>0</v>
      </c>
      <c r="BW88" s="36">
        <v>0</v>
      </c>
      <c r="BX88" s="36">
        <v>0</v>
      </c>
      <c r="BY88" s="36">
        <v>0</v>
      </c>
      <c r="BZ88" s="36">
        <v>0</v>
      </c>
      <c r="CA88" s="36">
        <v>0</v>
      </c>
      <c r="CB88" s="36">
        <v>0</v>
      </c>
      <c r="CC88" s="36">
        <v>0</v>
      </c>
      <c r="CD88" s="36">
        <v>0</v>
      </c>
      <c r="CE88" s="36">
        <v>0</v>
      </c>
      <c r="CF88" s="36">
        <v>0</v>
      </c>
      <c r="CG88" s="36">
        <v>0</v>
      </c>
      <c r="CH88" s="36">
        <v>0</v>
      </c>
      <c r="CI88" s="36">
        <v>0</v>
      </c>
      <c r="CJ88" s="36">
        <v>0</v>
      </c>
      <c r="CK88" s="36">
        <v>0</v>
      </c>
      <c r="CL88" s="36">
        <v>0</v>
      </c>
      <c r="CM88" s="36">
        <v>0</v>
      </c>
      <c r="CN88" s="36">
        <v>0</v>
      </c>
      <c r="CO88" s="36">
        <v>0</v>
      </c>
      <c r="CP88" s="36">
        <v>0</v>
      </c>
      <c r="CQ88" s="36">
        <v>0</v>
      </c>
      <c r="CR88" s="36">
        <v>0</v>
      </c>
      <c r="CS88" s="36">
        <v>0</v>
      </c>
      <c r="CT88" s="36">
        <v>0</v>
      </c>
      <c r="CU88" s="36">
        <v>0</v>
      </c>
      <c r="CV88" s="36">
        <v>0</v>
      </c>
      <c r="CW88" s="36">
        <v>0</v>
      </c>
      <c r="CX88" s="36">
        <v>0</v>
      </c>
      <c r="CY88" s="36">
        <v>0</v>
      </c>
      <c r="CZ88" s="36">
        <v>0</v>
      </c>
      <c r="DA88" s="36">
        <v>0</v>
      </c>
      <c r="DB88" s="36">
        <v>0</v>
      </c>
      <c r="DC88" s="36">
        <v>0</v>
      </c>
      <c r="DD88" s="36">
        <v>0</v>
      </c>
      <c r="DE88" s="36">
        <v>0</v>
      </c>
      <c r="DF88" s="36">
        <v>0</v>
      </c>
      <c r="DG88" s="36">
        <v>0</v>
      </c>
      <c r="DH88" s="36">
        <v>0</v>
      </c>
      <c r="DI88" s="36">
        <v>0</v>
      </c>
      <c r="DJ88" s="36">
        <v>0</v>
      </c>
      <c r="DK88" s="36">
        <v>0</v>
      </c>
      <c r="DL88" s="36">
        <v>0</v>
      </c>
      <c r="DM88" s="36">
        <v>0</v>
      </c>
      <c r="DN88" s="36">
        <v>0</v>
      </c>
      <c r="DO88" s="36">
        <v>0</v>
      </c>
      <c r="DP88" s="36">
        <v>0</v>
      </c>
      <c r="DQ88" s="36">
        <v>0</v>
      </c>
      <c r="DR88" s="36">
        <v>0</v>
      </c>
      <c r="DS88" s="36">
        <v>0</v>
      </c>
      <c r="DT88" s="36">
        <v>0</v>
      </c>
      <c r="DU88" s="36">
        <v>0</v>
      </c>
      <c r="DV88" s="36">
        <v>0</v>
      </c>
      <c r="DW88" s="36">
        <v>0</v>
      </c>
      <c r="DX88" s="36">
        <v>0</v>
      </c>
      <c r="DY88" s="36">
        <v>0</v>
      </c>
      <c r="DZ88" s="36">
        <v>0</v>
      </c>
      <c r="EA88" s="36">
        <v>0</v>
      </c>
      <c r="EB88" s="36">
        <v>0</v>
      </c>
      <c r="EC88" s="36">
        <v>0</v>
      </c>
      <c r="ED88" s="36">
        <v>0</v>
      </c>
      <c r="EE88" s="36">
        <v>0</v>
      </c>
      <c r="EF88" s="36">
        <v>0</v>
      </c>
      <c r="EG88" s="36">
        <v>0</v>
      </c>
      <c r="EH88" s="36">
        <v>0</v>
      </c>
      <c r="EI88" s="36">
        <v>0</v>
      </c>
      <c r="EJ88" s="36">
        <v>0</v>
      </c>
      <c r="EK88" s="36">
        <v>0</v>
      </c>
      <c r="EL88" s="36">
        <v>0</v>
      </c>
      <c r="EM88" s="36">
        <v>0</v>
      </c>
      <c r="EN88" s="36">
        <v>0</v>
      </c>
      <c r="EO88" s="36">
        <v>0</v>
      </c>
      <c r="EP88" s="36">
        <v>0</v>
      </c>
      <c r="EQ88" s="36">
        <v>0</v>
      </c>
      <c r="ER88" s="36">
        <v>0</v>
      </c>
      <c r="ES88" s="36">
        <v>0</v>
      </c>
      <c r="ET88" s="36">
        <v>0</v>
      </c>
      <c r="EU88" s="36">
        <v>0</v>
      </c>
      <c r="EV88" s="36">
        <v>0</v>
      </c>
      <c r="EW88" s="36">
        <v>0</v>
      </c>
      <c r="EX88" s="36">
        <v>0</v>
      </c>
      <c r="EY88" s="36">
        <v>0</v>
      </c>
      <c r="EZ88" s="36">
        <v>0</v>
      </c>
      <c r="FA88" s="36">
        <v>0</v>
      </c>
      <c r="FB88" s="36">
        <v>0</v>
      </c>
      <c r="FC88" s="36">
        <v>0</v>
      </c>
      <c r="FD88" s="36">
        <v>0</v>
      </c>
      <c r="FE88" s="36">
        <v>0</v>
      </c>
      <c r="FF88" s="36">
        <v>0</v>
      </c>
      <c r="FG88" s="36">
        <v>0</v>
      </c>
      <c r="FH88" s="36">
        <v>0</v>
      </c>
      <c r="FI88" s="36">
        <v>0</v>
      </c>
      <c r="FJ88" s="36">
        <v>0</v>
      </c>
      <c r="FK88" s="36">
        <v>0</v>
      </c>
      <c r="FL88" s="36">
        <v>0</v>
      </c>
      <c r="FM88" s="36">
        <v>0</v>
      </c>
      <c r="FN88" s="36">
        <v>0</v>
      </c>
      <c r="FO88" s="36">
        <v>0</v>
      </c>
      <c r="FP88" s="36">
        <v>0</v>
      </c>
      <c r="FQ88" s="36">
        <v>0</v>
      </c>
      <c r="FR88" s="36">
        <v>0</v>
      </c>
      <c r="FS88" s="36">
        <v>0</v>
      </c>
      <c r="FT88" s="36">
        <v>0</v>
      </c>
      <c r="FU88" s="36">
        <v>0</v>
      </c>
      <c r="FV88" s="36">
        <v>0</v>
      </c>
      <c r="FW88" s="36">
        <v>0</v>
      </c>
      <c r="FX88" s="36">
        <v>0</v>
      </c>
      <c r="FY88" s="36">
        <v>0</v>
      </c>
      <c r="FZ88" s="36">
        <v>0</v>
      </c>
      <c r="GA88" s="36">
        <v>0</v>
      </c>
      <c r="GB88" s="36">
        <v>0</v>
      </c>
      <c r="GC88" s="36">
        <v>0</v>
      </c>
      <c r="GD88" s="36">
        <v>0</v>
      </c>
      <c r="GE88" s="36">
        <v>0</v>
      </c>
      <c r="GF88" s="36">
        <v>0</v>
      </c>
      <c r="GG88" s="42">
        <v>421.87375770690591</v>
      </c>
      <c r="GH88" s="42">
        <v>762.4459678982729</v>
      </c>
      <c r="GI88" s="42">
        <v>701.74632838960042</v>
      </c>
      <c r="GJ88" s="42">
        <v>931.7892486199562</v>
      </c>
      <c r="GK88" s="42">
        <v>1042.8618107279799</v>
      </c>
      <c r="GL88" s="42">
        <v>1519.9628638129598</v>
      </c>
      <c r="GM88" s="42">
        <v>1495.2986592972773</v>
      </c>
      <c r="GN88" s="42">
        <v>2466.3152021702208</v>
      </c>
      <c r="GO88" s="42">
        <v>4426.7196527913738</v>
      </c>
      <c r="GP88" s="42">
        <v>1496.0329657328773</v>
      </c>
      <c r="GQ88" s="42">
        <v>1174.0962166413576</v>
      </c>
      <c r="GR88" s="42">
        <v>1620.8514475120005</v>
      </c>
      <c r="GS88" s="42">
        <v>2927.6727868097496</v>
      </c>
      <c r="GT88" s="42">
        <v>2528.9236644655543</v>
      </c>
      <c r="GU88" s="36">
        <v>0</v>
      </c>
      <c r="GV88" s="36">
        <v>0</v>
      </c>
      <c r="GW88" s="36">
        <v>0</v>
      </c>
      <c r="GX88" s="36">
        <v>0</v>
      </c>
      <c r="GY88" s="36">
        <v>0</v>
      </c>
      <c r="GZ88" s="36">
        <v>0</v>
      </c>
      <c r="HA88" s="38">
        <v>68.67284432213637</v>
      </c>
      <c r="HB88" s="36">
        <v>2745.0917999245717</v>
      </c>
      <c r="HC88" s="36">
        <f t="shared" si="1"/>
        <v>28674.693435067507</v>
      </c>
      <c r="HD88" s="36">
        <f>SUM(CG$5:CG$213)</f>
        <v>28674.693435067507</v>
      </c>
      <c r="HE88" s="41">
        <v>0</v>
      </c>
      <c r="HG88" s="43"/>
      <c r="HH88" s="43"/>
      <c r="HI88" s="43"/>
      <c r="HJ88" s="43"/>
      <c r="HK88" s="43"/>
      <c r="HL88" s="43"/>
      <c r="HM88" s="43"/>
      <c r="HN88" s="43"/>
      <c r="HO88" s="43"/>
      <c r="HP88" s="43"/>
      <c r="HQ88" s="43"/>
      <c r="HR88" s="43"/>
      <c r="HS88" s="43"/>
      <c r="HT88" s="43"/>
    </row>
    <row r="89" spans="1:228" hidden="1" outlineLevel="1" x14ac:dyDescent="0.2">
      <c r="A89" s="9" t="s">
        <v>758</v>
      </c>
      <c r="B89" s="36">
        <v>0</v>
      </c>
      <c r="C89" s="36">
        <v>0</v>
      </c>
      <c r="D89" s="36">
        <v>0</v>
      </c>
      <c r="E89" s="36">
        <v>0</v>
      </c>
      <c r="F89" s="36">
        <v>0</v>
      </c>
      <c r="G89" s="36">
        <v>0</v>
      </c>
      <c r="H89" s="36">
        <v>0</v>
      </c>
      <c r="I89" s="36">
        <v>18512.312917647825</v>
      </c>
      <c r="J89" s="36">
        <v>4077.9881239641982</v>
      </c>
      <c r="K89" s="36">
        <v>0</v>
      </c>
      <c r="L89" s="36">
        <v>0</v>
      </c>
      <c r="M89" s="36">
        <v>0</v>
      </c>
      <c r="N89" s="36">
        <v>0</v>
      </c>
      <c r="O89" s="36">
        <v>0</v>
      </c>
      <c r="P89" s="36">
        <v>0</v>
      </c>
      <c r="Q89" s="36">
        <v>0</v>
      </c>
      <c r="R89" s="36">
        <v>0</v>
      </c>
      <c r="S89" s="36">
        <v>0</v>
      </c>
      <c r="T89" s="36">
        <v>748.05758909100678</v>
      </c>
      <c r="U89" s="36">
        <v>0</v>
      </c>
      <c r="V89" s="36">
        <v>0</v>
      </c>
      <c r="W89" s="36">
        <v>0</v>
      </c>
      <c r="X89" s="36">
        <v>0</v>
      </c>
      <c r="Y89" s="36">
        <v>0</v>
      </c>
      <c r="Z89" s="36">
        <v>0</v>
      </c>
      <c r="AA89" s="36">
        <v>0</v>
      </c>
      <c r="AB89" s="36">
        <v>0</v>
      </c>
      <c r="AC89" s="36">
        <v>0</v>
      </c>
      <c r="AD89" s="36">
        <v>0</v>
      </c>
      <c r="AE89" s="36">
        <v>0</v>
      </c>
      <c r="AF89" s="36">
        <v>0</v>
      </c>
      <c r="AG89" s="36">
        <v>36.718114400859754</v>
      </c>
      <c r="AH89" s="36">
        <v>0</v>
      </c>
      <c r="AI89" s="36">
        <v>16.119675883200379</v>
      </c>
      <c r="AJ89" s="36">
        <v>18.412977014265834</v>
      </c>
      <c r="AK89" s="36">
        <v>0</v>
      </c>
      <c r="AL89" s="36">
        <v>0</v>
      </c>
      <c r="AM89" s="36">
        <v>0</v>
      </c>
      <c r="AN89" s="36">
        <v>0</v>
      </c>
      <c r="AO89" s="36">
        <v>4390.9031140690504</v>
      </c>
      <c r="AP89" s="36">
        <v>41.486924438986591</v>
      </c>
      <c r="AQ89" s="36">
        <v>41.429690966298246</v>
      </c>
      <c r="AR89" s="36">
        <v>340.54334784766957</v>
      </c>
      <c r="AS89" s="36">
        <v>0</v>
      </c>
      <c r="AT89" s="36">
        <v>0</v>
      </c>
      <c r="AU89" s="36">
        <v>0</v>
      </c>
      <c r="AV89" s="36">
        <v>0</v>
      </c>
      <c r="AW89" s="36">
        <v>0</v>
      </c>
      <c r="AX89" s="36">
        <v>0</v>
      </c>
      <c r="AY89" s="36">
        <v>0</v>
      </c>
      <c r="AZ89" s="36">
        <v>0</v>
      </c>
      <c r="BA89" s="36">
        <v>0</v>
      </c>
      <c r="BB89" s="36">
        <v>0</v>
      </c>
      <c r="BC89" s="36">
        <v>233.43243218653188</v>
      </c>
      <c r="BD89" s="36">
        <v>10.269265466982748</v>
      </c>
      <c r="BE89" s="36">
        <v>533.03202354209338</v>
      </c>
      <c r="BF89" s="36">
        <v>0</v>
      </c>
      <c r="BG89" s="36">
        <v>61.878542488489472</v>
      </c>
      <c r="BH89" s="36">
        <v>1232.9418268471436</v>
      </c>
      <c r="BI89" s="36">
        <v>0</v>
      </c>
      <c r="BJ89" s="36">
        <v>2753.0943033854273</v>
      </c>
      <c r="BK89" s="36">
        <v>0</v>
      </c>
      <c r="BL89" s="36">
        <v>0</v>
      </c>
      <c r="BM89" s="36">
        <v>0</v>
      </c>
      <c r="BN89" s="36">
        <v>0</v>
      </c>
      <c r="BO89" s="36">
        <v>0</v>
      </c>
      <c r="BP89" s="36">
        <v>0</v>
      </c>
      <c r="BQ89" s="36">
        <v>0</v>
      </c>
      <c r="BR89" s="36">
        <v>0</v>
      </c>
      <c r="BS89" s="36">
        <v>0</v>
      </c>
      <c r="BT89" s="36">
        <v>0</v>
      </c>
      <c r="BU89" s="36">
        <v>0</v>
      </c>
      <c r="BV89" s="36">
        <v>0</v>
      </c>
      <c r="BW89" s="36">
        <v>0</v>
      </c>
      <c r="BX89" s="36">
        <v>0</v>
      </c>
      <c r="BY89" s="36">
        <v>0</v>
      </c>
      <c r="BZ89" s="36">
        <v>0</v>
      </c>
      <c r="CA89" s="36">
        <v>0</v>
      </c>
      <c r="CB89" s="36">
        <v>0</v>
      </c>
      <c r="CC89" s="36">
        <v>0</v>
      </c>
      <c r="CD89" s="36">
        <v>0</v>
      </c>
      <c r="CE89" s="36">
        <v>0</v>
      </c>
      <c r="CF89" s="36">
        <v>0</v>
      </c>
      <c r="CG89" s="36">
        <v>0</v>
      </c>
      <c r="CH89" s="36">
        <v>0</v>
      </c>
      <c r="CI89" s="36">
        <v>0</v>
      </c>
      <c r="CJ89" s="36">
        <v>0</v>
      </c>
      <c r="CK89" s="36">
        <v>0</v>
      </c>
      <c r="CL89" s="36">
        <v>0</v>
      </c>
      <c r="CM89" s="36">
        <v>0</v>
      </c>
      <c r="CN89" s="36">
        <v>0</v>
      </c>
      <c r="CO89" s="36">
        <v>0</v>
      </c>
      <c r="CP89" s="36">
        <v>0</v>
      </c>
      <c r="CQ89" s="36">
        <v>0</v>
      </c>
      <c r="CR89" s="36">
        <v>0</v>
      </c>
      <c r="CS89" s="36">
        <v>0</v>
      </c>
      <c r="CT89" s="36">
        <v>0</v>
      </c>
      <c r="CU89" s="36">
        <v>0</v>
      </c>
      <c r="CV89" s="36">
        <v>0</v>
      </c>
      <c r="CW89" s="36">
        <v>0</v>
      </c>
      <c r="CX89" s="36">
        <v>0</v>
      </c>
      <c r="CY89" s="36">
        <v>0</v>
      </c>
      <c r="CZ89" s="36">
        <v>0</v>
      </c>
      <c r="DA89" s="36">
        <v>0</v>
      </c>
      <c r="DB89" s="36">
        <v>0</v>
      </c>
      <c r="DC89" s="36">
        <v>0</v>
      </c>
      <c r="DD89" s="36">
        <v>0</v>
      </c>
      <c r="DE89" s="36">
        <v>0</v>
      </c>
      <c r="DF89" s="36">
        <v>0</v>
      </c>
      <c r="DG89" s="36">
        <v>0</v>
      </c>
      <c r="DH89" s="36">
        <v>0</v>
      </c>
      <c r="DI89" s="36">
        <v>0</v>
      </c>
      <c r="DJ89" s="36">
        <v>0</v>
      </c>
      <c r="DK89" s="36">
        <v>0</v>
      </c>
      <c r="DL89" s="36">
        <v>0</v>
      </c>
      <c r="DM89" s="36">
        <v>0</v>
      </c>
      <c r="DN89" s="36">
        <v>0</v>
      </c>
      <c r="DO89" s="36">
        <v>0</v>
      </c>
      <c r="DP89" s="36">
        <v>0</v>
      </c>
      <c r="DQ89" s="36">
        <v>0</v>
      </c>
      <c r="DR89" s="36">
        <v>0</v>
      </c>
      <c r="DS89" s="36">
        <v>0</v>
      </c>
      <c r="DT89" s="36">
        <v>0</v>
      </c>
      <c r="DU89" s="36">
        <v>0</v>
      </c>
      <c r="DV89" s="36">
        <v>0</v>
      </c>
      <c r="DW89" s="36">
        <v>0</v>
      </c>
      <c r="DX89" s="36">
        <v>0</v>
      </c>
      <c r="DY89" s="36">
        <v>0</v>
      </c>
      <c r="DZ89" s="36">
        <v>0</v>
      </c>
      <c r="EA89" s="36">
        <v>0</v>
      </c>
      <c r="EB89" s="36">
        <v>0</v>
      </c>
      <c r="EC89" s="36">
        <v>0</v>
      </c>
      <c r="ED89" s="36">
        <v>0</v>
      </c>
      <c r="EE89" s="36">
        <v>0</v>
      </c>
      <c r="EF89" s="36">
        <v>0</v>
      </c>
      <c r="EG89" s="36">
        <v>0</v>
      </c>
      <c r="EH89" s="36">
        <v>0</v>
      </c>
      <c r="EI89" s="36">
        <v>0</v>
      </c>
      <c r="EJ89" s="36">
        <v>0</v>
      </c>
      <c r="EK89" s="36">
        <v>0</v>
      </c>
      <c r="EL89" s="36">
        <v>0</v>
      </c>
      <c r="EM89" s="36">
        <v>0</v>
      </c>
      <c r="EN89" s="36">
        <v>0</v>
      </c>
      <c r="EO89" s="36">
        <v>0</v>
      </c>
      <c r="EP89" s="36">
        <v>0</v>
      </c>
      <c r="EQ89" s="36">
        <v>0</v>
      </c>
      <c r="ER89" s="36">
        <v>0</v>
      </c>
      <c r="ES89" s="36">
        <v>0</v>
      </c>
      <c r="ET89" s="36">
        <v>0</v>
      </c>
      <c r="EU89" s="36">
        <v>0</v>
      </c>
      <c r="EV89" s="36">
        <v>0</v>
      </c>
      <c r="EW89" s="36">
        <v>0</v>
      </c>
      <c r="EX89" s="36">
        <v>0</v>
      </c>
      <c r="EY89" s="36">
        <v>0</v>
      </c>
      <c r="EZ89" s="36">
        <v>0</v>
      </c>
      <c r="FA89" s="36">
        <v>0</v>
      </c>
      <c r="FB89" s="36">
        <v>0</v>
      </c>
      <c r="FC89" s="36">
        <v>0</v>
      </c>
      <c r="FD89" s="36">
        <v>0</v>
      </c>
      <c r="FE89" s="36">
        <v>0</v>
      </c>
      <c r="FF89" s="36">
        <v>0</v>
      </c>
      <c r="FG89" s="36">
        <v>0</v>
      </c>
      <c r="FH89" s="36">
        <v>0</v>
      </c>
      <c r="FI89" s="36">
        <v>0</v>
      </c>
      <c r="FJ89" s="36">
        <v>0</v>
      </c>
      <c r="FK89" s="36">
        <v>0</v>
      </c>
      <c r="FL89" s="36">
        <v>0</v>
      </c>
      <c r="FM89" s="36">
        <v>0</v>
      </c>
      <c r="FN89" s="36">
        <v>0</v>
      </c>
      <c r="FO89" s="36">
        <v>0</v>
      </c>
      <c r="FP89" s="36">
        <v>0</v>
      </c>
      <c r="FQ89" s="36">
        <v>0</v>
      </c>
      <c r="FR89" s="36">
        <v>0</v>
      </c>
      <c r="FS89" s="36">
        <v>0</v>
      </c>
      <c r="FT89" s="36">
        <v>0</v>
      </c>
      <c r="FU89" s="36">
        <v>0</v>
      </c>
      <c r="FV89" s="36">
        <v>0</v>
      </c>
      <c r="FW89" s="36">
        <v>0</v>
      </c>
      <c r="FX89" s="36">
        <v>0</v>
      </c>
      <c r="FY89" s="36">
        <v>0</v>
      </c>
      <c r="FZ89" s="36">
        <v>0</v>
      </c>
      <c r="GA89" s="36">
        <v>0</v>
      </c>
      <c r="GB89" s="36">
        <v>0</v>
      </c>
      <c r="GC89" s="36">
        <v>0</v>
      </c>
      <c r="GD89" s="36">
        <v>0</v>
      </c>
      <c r="GE89" s="36">
        <v>0</v>
      </c>
      <c r="GF89" s="36">
        <v>0</v>
      </c>
      <c r="GG89" s="42">
        <v>1110.4459447645997</v>
      </c>
      <c r="GH89" s="42">
        <v>1847.0848478232715</v>
      </c>
      <c r="GI89" s="42">
        <v>2730.1999512149005</v>
      </c>
      <c r="GJ89" s="42">
        <v>2794.7813790525097</v>
      </c>
      <c r="GK89" s="42">
        <v>3841.3334725703785</v>
      </c>
      <c r="GL89" s="42">
        <v>4993.3111222734115</v>
      </c>
      <c r="GM89" s="42">
        <v>4671.5005106249073</v>
      </c>
      <c r="GN89" s="42">
        <v>6934.1259837682346</v>
      </c>
      <c r="GO89" s="42">
        <v>8124.2012007634221</v>
      </c>
      <c r="GP89" s="42">
        <v>2206.4503815480116</v>
      </c>
      <c r="GQ89" s="42">
        <v>2261.0744676905756</v>
      </c>
      <c r="GR89" s="42">
        <v>2349.2050272759725</v>
      </c>
      <c r="GS89" s="42">
        <v>2382.6342516019572</v>
      </c>
      <c r="GT89" s="42">
        <v>2060.4318918048693</v>
      </c>
      <c r="GU89" s="36">
        <v>0</v>
      </c>
      <c r="GV89" s="36">
        <v>0</v>
      </c>
      <c r="GW89" s="36">
        <v>0</v>
      </c>
      <c r="GX89" s="36">
        <v>0</v>
      </c>
      <c r="GY89" s="36">
        <v>0</v>
      </c>
      <c r="GZ89" s="36">
        <v>0</v>
      </c>
      <c r="HA89" s="38">
        <v>689.27403806067014</v>
      </c>
      <c r="HB89" s="36">
        <v>8302.323669482681</v>
      </c>
      <c r="HC89" s="36">
        <f t="shared" si="1"/>
        <v>90346.999009560386</v>
      </c>
      <c r="HD89" s="36">
        <f>SUM(CH$5:CH$213)</f>
        <v>90346.999009560386</v>
      </c>
      <c r="HE89" s="41">
        <v>0</v>
      </c>
      <c r="HG89" s="43"/>
      <c r="HH89" s="43"/>
      <c r="HI89" s="43"/>
      <c r="HJ89" s="43"/>
      <c r="HK89" s="43"/>
      <c r="HL89" s="43"/>
      <c r="HM89" s="43"/>
      <c r="HN89" s="43"/>
      <c r="HO89" s="43"/>
      <c r="HP89" s="43"/>
      <c r="HQ89" s="43"/>
      <c r="HR89" s="43"/>
      <c r="HS89" s="43"/>
      <c r="HT89" s="43"/>
    </row>
    <row r="90" spans="1:228" hidden="1" outlineLevel="1" x14ac:dyDescent="0.2">
      <c r="A90" s="9" t="s">
        <v>770</v>
      </c>
      <c r="B90" s="36">
        <v>0</v>
      </c>
      <c r="C90" s="36">
        <v>0</v>
      </c>
      <c r="D90" s="36">
        <v>0</v>
      </c>
      <c r="E90" s="36">
        <v>0</v>
      </c>
      <c r="F90" s="36">
        <v>0</v>
      </c>
      <c r="G90" s="36">
        <v>0</v>
      </c>
      <c r="H90" s="36">
        <v>0</v>
      </c>
      <c r="I90" s="36">
        <v>478.77351321926534</v>
      </c>
      <c r="J90" s="36">
        <v>10479.492450668828</v>
      </c>
      <c r="K90" s="36">
        <v>0</v>
      </c>
      <c r="L90" s="36">
        <v>0</v>
      </c>
      <c r="M90" s="36">
        <v>0</v>
      </c>
      <c r="N90" s="36">
        <v>0</v>
      </c>
      <c r="O90" s="36">
        <v>0</v>
      </c>
      <c r="P90" s="36">
        <v>0</v>
      </c>
      <c r="Q90" s="36">
        <v>0</v>
      </c>
      <c r="R90" s="36">
        <v>0</v>
      </c>
      <c r="S90" s="36">
        <v>7.2253830259817571</v>
      </c>
      <c r="T90" s="36">
        <v>0</v>
      </c>
      <c r="U90" s="36">
        <v>0</v>
      </c>
      <c r="V90" s="36">
        <v>0</v>
      </c>
      <c r="W90" s="36">
        <v>0</v>
      </c>
      <c r="X90" s="36">
        <v>0</v>
      </c>
      <c r="Y90" s="36">
        <v>0</v>
      </c>
      <c r="Z90" s="36">
        <v>0</v>
      </c>
      <c r="AA90" s="36">
        <v>0</v>
      </c>
      <c r="AB90" s="36">
        <v>0</v>
      </c>
      <c r="AC90" s="36">
        <v>0</v>
      </c>
      <c r="AD90" s="36">
        <v>0</v>
      </c>
      <c r="AE90" s="36">
        <v>0</v>
      </c>
      <c r="AF90" s="36">
        <v>0</v>
      </c>
      <c r="AG90" s="36">
        <v>0</v>
      </c>
      <c r="AH90" s="36">
        <v>0</v>
      </c>
      <c r="AI90" s="36">
        <v>0</v>
      </c>
      <c r="AJ90" s="36">
        <v>0</v>
      </c>
      <c r="AK90" s="36">
        <v>0</v>
      </c>
      <c r="AL90" s="36">
        <v>0</v>
      </c>
      <c r="AM90" s="36">
        <v>0</v>
      </c>
      <c r="AN90" s="36">
        <v>0</v>
      </c>
      <c r="AO90" s="36">
        <v>2717.1585301439554</v>
      </c>
      <c r="AP90" s="36">
        <v>43.58650138609228</v>
      </c>
      <c r="AQ90" s="36">
        <v>59.87908975034275</v>
      </c>
      <c r="AR90" s="36">
        <v>35.217593154118809</v>
      </c>
      <c r="AS90" s="36">
        <v>0</v>
      </c>
      <c r="AT90" s="36">
        <v>0</v>
      </c>
      <c r="AU90" s="36">
        <v>0</v>
      </c>
      <c r="AV90" s="36">
        <v>0</v>
      </c>
      <c r="AW90" s="36">
        <v>0</v>
      </c>
      <c r="AX90" s="36">
        <v>0</v>
      </c>
      <c r="AY90" s="36">
        <v>0</v>
      </c>
      <c r="AZ90" s="36">
        <v>0</v>
      </c>
      <c r="BA90" s="36">
        <v>0</v>
      </c>
      <c r="BB90" s="36">
        <v>0</v>
      </c>
      <c r="BC90" s="36">
        <v>0</v>
      </c>
      <c r="BD90" s="36">
        <v>0</v>
      </c>
      <c r="BE90" s="36">
        <v>0</v>
      </c>
      <c r="BF90" s="36">
        <v>0</v>
      </c>
      <c r="BG90" s="36">
        <v>0</v>
      </c>
      <c r="BH90" s="36">
        <v>0</v>
      </c>
      <c r="BI90" s="36">
        <v>0</v>
      </c>
      <c r="BJ90" s="36">
        <v>45804.882411437415</v>
      </c>
      <c r="BK90" s="36">
        <v>0</v>
      </c>
      <c r="BL90" s="36">
        <v>0</v>
      </c>
      <c r="BM90" s="36">
        <v>0</v>
      </c>
      <c r="BN90" s="36">
        <v>0</v>
      </c>
      <c r="BO90" s="36">
        <v>0</v>
      </c>
      <c r="BP90" s="36">
        <v>0</v>
      </c>
      <c r="BQ90" s="36">
        <v>0</v>
      </c>
      <c r="BR90" s="36">
        <v>0</v>
      </c>
      <c r="BS90" s="36">
        <v>0</v>
      </c>
      <c r="BT90" s="36">
        <v>0</v>
      </c>
      <c r="BU90" s="36">
        <v>0</v>
      </c>
      <c r="BV90" s="36">
        <v>0</v>
      </c>
      <c r="BW90" s="36">
        <v>0</v>
      </c>
      <c r="BX90" s="36">
        <v>0</v>
      </c>
      <c r="BY90" s="36">
        <v>0</v>
      </c>
      <c r="BZ90" s="36">
        <v>0</v>
      </c>
      <c r="CA90" s="36">
        <v>0</v>
      </c>
      <c r="CB90" s="36">
        <v>0</v>
      </c>
      <c r="CC90" s="36">
        <v>0</v>
      </c>
      <c r="CD90" s="36">
        <v>0</v>
      </c>
      <c r="CE90" s="36">
        <v>0</v>
      </c>
      <c r="CF90" s="36">
        <v>0</v>
      </c>
      <c r="CG90" s="36">
        <v>0</v>
      </c>
      <c r="CH90" s="36">
        <v>0</v>
      </c>
      <c r="CI90" s="36">
        <v>0</v>
      </c>
      <c r="CJ90" s="36">
        <v>0</v>
      </c>
      <c r="CK90" s="36">
        <v>0</v>
      </c>
      <c r="CL90" s="36">
        <v>0</v>
      </c>
      <c r="CM90" s="36">
        <v>0</v>
      </c>
      <c r="CN90" s="36">
        <v>0</v>
      </c>
      <c r="CO90" s="36">
        <v>0</v>
      </c>
      <c r="CP90" s="36">
        <v>0</v>
      </c>
      <c r="CQ90" s="36">
        <v>0</v>
      </c>
      <c r="CR90" s="36">
        <v>0</v>
      </c>
      <c r="CS90" s="36">
        <v>0</v>
      </c>
      <c r="CT90" s="36">
        <v>0</v>
      </c>
      <c r="CU90" s="36">
        <v>0</v>
      </c>
      <c r="CV90" s="36">
        <v>0</v>
      </c>
      <c r="CW90" s="36">
        <v>0</v>
      </c>
      <c r="CX90" s="36">
        <v>0</v>
      </c>
      <c r="CY90" s="36">
        <v>0</v>
      </c>
      <c r="CZ90" s="36">
        <v>0</v>
      </c>
      <c r="DA90" s="36">
        <v>0</v>
      </c>
      <c r="DB90" s="36">
        <v>0</v>
      </c>
      <c r="DC90" s="36">
        <v>0</v>
      </c>
      <c r="DD90" s="36">
        <v>0</v>
      </c>
      <c r="DE90" s="36">
        <v>0</v>
      </c>
      <c r="DF90" s="36">
        <v>0</v>
      </c>
      <c r="DG90" s="36">
        <v>0</v>
      </c>
      <c r="DH90" s="36">
        <v>0</v>
      </c>
      <c r="DI90" s="36">
        <v>0</v>
      </c>
      <c r="DJ90" s="36">
        <v>0</v>
      </c>
      <c r="DK90" s="36">
        <v>0</v>
      </c>
      <c r="DL90" s="36">
        <v>0</v>
      </c>
      <c r="DM90" s="36">
        <v>0</v>
      </c>
      <c r="DN90" s="36">
        <v>0</v>
      </c>
      <c r="DO90" s="36">
        <v>0</v>
      </c>
      <c r="DP90" s="36">
        <v>0</v>
      </c>
      <c r="DQ90" s="36">
        <v>0</v>
      </c>
      <c r="DR90" s="36">
        <v>0</v>
      </c>
      <c r="DS90" s="36">
        <v>0</v>
      </c>
      <c r="DT90" s="36">
        <v>0</v>
      </c>
      <c r="DU90" s="36">
        <v>0</v>
      </c>
      <c r="DV90" s="36">
        <v>0</v>
      </c>
      <c r="DW90" s="36">
        <v>0</v>
      </c>
      <c r="DX90" s="36">
        <v>0</v>
      </c>
      <c r="DY90" s="36">
        <v>0</v>
      </c>
      <c r="DZ90" s="36">
        <v>0</v>
      </c>
      <c r="EA90" s="36">
        <v>0</v>
      </c>
      <c r="EB90" s="36">
        <v>0</v>
      </c>
      <c r="EC90" s="36">
        <v>0</v>
      </c>
      <c r="ED90" s="36">
        <v>0</v>
      </c>
      <c r="EE90" s="36">
        <v>0</v>
      </c>
      <c r="EF90" s="36">
        <v>0</v>
      </c>
      <c r="EG90" s="36">
        <v>0</v>
      </c>
      <c r="EH90" s="36">
        <v>0</v>
      </c>
      <c r="EI90" s="36">
        <v>0</v>
      </c>
      <c r="EJ90" s="36">
        <v>0</v>
      </c>
      <c r="EK90" s="36">
        <v>0</v>
      </c>
      <c r="EL90" s="36">
        <v>0</v>
      </c>
      <c r="EM90" s="36">
        <v>0</v>
      </c>
      <c r="EN90" s="36">
        <v>0</v>
      </c>
      <c r="EO90" s="36">
        <v>0</v>
      </c>
      <c r="EP90" s="36">
        <v>0</v>
      </c>
      <c r="EQ90" s="36">
        <v>0</v>
      </c>
      <c r="ER90" s="36">
        <v>0</v>
      </c>
      <c r="ES90" s="36">
        <v>0</v>
      </c>
      <c r="ET90" s="36">
        <v>0</v>
      </c>
      <c r="EU90" s="36">
        <v>0</v>
      </c>
      <c r="EV90" s="36">
        <v>0</v>
      </c>
      <c r="EW90" s="36">
        <v>0</v>
      </c>
      <c r="EX90" s="36">
        <v>0</v>
      </c>
      <c r="EY90" s="36">
        <v>0</v>
      </c>
      <c r="EZ90" s="36">
        <v>0</v>
      </c>
      <c r="FA90" s="36">
        <v>0</v>
      </c>
      <c r="FB90" s="36">
        <v>0</v>
      </c>
      <c r="FC90" s="36">
        <v>0</v>
      </c>
      <c r="FD90" s="36">
        <v>0</v>
      </c>
      <c r="FE90" s="36">
        <v>0</v>
      </c>
      <c r="FF90" s="36">
        <v>0</v>
      </c>
      <c r="FG90" s="36">
        <v>0</v>
      </c>
      <c r="FH90" s="36">
        <v>0</v>
      </c>
      <c r="FI90" s="36">
        <v>0</v>
      </c>
      <c r="FJ90" s="36">
        <v>0</v>
      </c>
      <c r="FK90" s="36">
        <v>0</v>
      </c>
      <c r="FL90" s="36">
        <v>0</v>
      </c>
      <c r="FM90" s="36">
        <v>0</v>
      </c>
      <c r="FN90" s="36">
        <v>0</v>
      </c>
      <c r="FO90" s="36">
        <v>0</v>
      </c>
      <c r="FP90" s="36">
        <v>0</v>
      </c>
      <c r="FQ90" s="36">
        <v>0</v>
      </c>
      <c r="FR90" s="36">
        <v>0</v>
      </c>
      <c r="FS90" s="36">
        <v>0</v>
      </c>
      <c r="FT90" s="36">
        <v>0</v>
      </c>
      <c r="FU90" s="36">
        <v>0</v>
      </c>
      <c r="FV90" s="36">
        <v>0</v>
      </c>
      <c r="FW90" s="36">
        <v>0</v>
      </c>
      <c r="FX90" s="36">
        <v>0</v>
      </c>
      <c r="FY90" s="36">
        <v>0</v>
      </c>
      <c r="FZ90" s="36">
        <v>0</v>
      </c>
      <c r="GA90" s="36">
        <v>0</v>
      </c>
      <c r="GB90" s="36">
        <v>0</v>
      </c>
      <c r="GC90" s="36">
        <v>0</v>
      </c>
      <c r="GD90" s="36">
        <v>0</v>
      </c>
      <c r="GE90" s="36">
        <v>0</v>
      </c>
      <c r="GF90" s="36">
        <v>0</v>
      </c>
      <c r="GG90" s="42">
        <v>1946.0414080917001</v>
      </c>
      <c r="GH90" s="42">
        <v>3340.0835246601155</v>
      </c>
      <c r="GI90" s="42">
        <v>4669.0148422383527</v>
      </c>
      <c r="GJ90" s="42">
        <v>6783.1030872288884</v>
      </c>
      <c r="GK90" s="42">
        <v>8357.2446791297389</v>
      </c>
      <c r="GL90" s="42">
        <v>12570.970841325588</v>
      </c>
      <c r="GM90" s="42">
        <v>12864.95208040561</v>
      </c>
      <c r="GN90" s="42">
        <v>14637.598267868874</v>
      </c>
      <c r="GO90" s="42">
        <v>17827.886890735619</v>
      </c>
      <c r="GP90" s="42">
        <v>5223.1190546533926</v>
      </c>
      <c r="GQ90" s="42">
        <v>4077.0347064388607</v>
      </c>
      <c r="GR90" s="42">
        <v>3712.9998903202095</v>
      </c>
      <c r="GS90" s="42">
        <v>6993.1202253340298</v>
      </c>
      <c r="GT90" s="42">
        <v>7717.2166701204533</v>
      </c>
      <c r="GU90" s="36">
        <v>0</v>
      </c>
      <c r="GV90" s="36">
        <v>0</v>
      </c>
      <c r="GW90" s="36">
        <v>0</v>
      </c>
      <c r="GX90" s="36">
        <v>0</v>
      </c>
      <c r="GY90" s="36">
        <v>0</v>
      </c>
      <c r="GZ90" s="36">
        <v>0</v>
      </c>
      <c r="HA90" s="38">
        <v>3547.5594025417522</v>
      </c>
      <c r="HB90" s="36">
        <v>19098.029049743145</v>
      </c>
      <c r="HC90" s="36">
        <f t="shared" si="1"/>
        <v>192992.19009362231</v>
      </c>
      <c r="HD90" s="36">
        <f>SUM(CI$5:CI$213)</f>
        <v>192992.19009362231</v>
      </c>
      <c r="HE90" s="41">
        <v>0</v>
      </c>
      <c r="HG90" s="43"/>
      <c r="HH90" s="43"/>
      <c r="HI90" s="43"/>
      <c r="HJ90" s="43"/>
      <c r="HK90" s="43"/>
      <c r="HL90" s="43"/>
      <c r="HM90" s="43"/>
      <c r="HN90" s="43"/>
      <c r="HO90" s="43"/>
      <c r="HP90" s="43"/>
      <c r="HQ90" s="43"/>
      <c r="HR90" s="43"/>
      <c r="HS90" s="43"/>
      <c r="HT90" s="43"/>
    </row>
    <row r="91" spans="1:228" hidden="1" outlineLevel="1" x14ac:dyDescent="0.2">
      <c r="A91" s="9" t="s">
        <v>777</v>
      </c>
      <c r="B91" s="36">
        <v>0</v>
      </c>
      <c r="C91" s="36">
        <v>0</v>
      </c>
      <c r="D91" s="36">
        <v>0</v>
      </c>
      <c r="E91" s="36">
        <v>0</v>
      </c>
      <c r="F91" s="36">
        <v>0</v>
      </c>
      <c r="G91" s="36">
        <v>0</v>
      </c>
      <c r="H91" s="36">
        <v>0</v>
      </c>
      <c r="I91" s="36">
        <v>1724.5476297945386</v>
      </c>
      <c r="J91" s="36">
        <v>6790.5211839999511</v>
      </c>
      <c r="K91" s="36">
        <v>0</v>
      </c>
      <c r="L91" s="36">
        <v>0</v>
      </c>
      <c r="M91" s="36">
        <v>0</v>
      </c>
      <c r="N91" s="36">
        <v>0</v>
      </c>
      <c r="O91" s="36">
        <v>0</v>
      </c>
      <c r="P91" s="36">
        <v>0</v>
      </c>
      <c r="Q91" s="36">
        <v>0</v>
      </c>
      <c r="R91" s="36">
        <v>0</v>
      </c>
      <c r="S91" s="36">
        <v>0</v>
      </c>
      <c r="T91" s="36">
        <v>0.23618657292746995</v>
      </c>
      <c r="U91" s="36">
        <v>0</v>
      </c>
      <c r="V91" s="36">
        <v>0</v>
      </c>
      <c r="W91" s="36">
        <v>0</v>
      </c>
      <c r="X91" s="36">
        <v>0</v>
      </c>
      <c r="Y91" s="36">
        <v>0</v>
      </c>
      <c r="Z91" s="36">
        <v>0</v>
      </c>
      <c r="AA91" s="36">
        <v>0</v>
      </c>
      <c r="AB91" s="36">
        <v>0</v>
      </c>
      <c r="AC91" s="36">
        <v>0</v>
      </c>
      <c r="AD91" s="36">
        <v>0</v>
      </c>
      <c r="AE91" s="36">
        <v>0</v>
      </c>
      <c r="AF91" s="36">
        <v>0</v>
      </c>
      <c r="AG91" s="36">
        <v>0</v>
      </c>
      <c r="AH91" s="36">
        <v>0</v>
      </c>
      <c r="AI91" s="36">
        <v>5.6301067339635411</v>
      </c>
      <c r="AJ91" s="36">
        <v>6.5163240641875904</v>
      </c>
      <c r="AK91" s="36">
        <v>0</v>
      </c>
      <c r="AL91" s="36">
        <v>0</v>
      </c>
      <c r="AM91" s="36">
        <v>0</v>
      </c>
      <c r="AN91" s="36">
        <v>0</v>
      </c>
      <c r="AO91" s="36">
        <v>2551.6208738113341</v>
      </c>
      <c r="AP91" s="36">
        <v>17.124846428509926</v>
      </c>
      <c r="AQ91" s="36">
        <v>17.113127152330406</v>
      </c>
      <c r="AR91" s="36">
        <v>0</v>
      </c>
      <c r="AS91" s="36">
        <v>0</v>
      </c>
      <c r="AT91" s="36">
        <v>0</v>
      </c>
      <c r="AU91" s="36">
        <v>0</v>
      </c>
      <c r="AV91" s="36">
        <v>0</v>
      </c>
      <c r="AW91" s="36">
        <v>0</v>
      </c>
      <c r="AX91" s="36">
        <v>0</v>
      </c>
      <c r="AY91" s="36">
        <v>0</v>
      </c>
      <c r="AZ91" s="36">
        <v>0</v>
      </c>
      <c r="BA91" s="36">
        <v>0</v>
      </c>
      <c r="BB91" s="36">
        <v>0</v>
      </c>
      <c r="BC91" s="36">
        <v>180.75212002856409</v>
      </c>
      <c r="BD91" s="36">
        <v>5.3315546633832804</v>
      </c>
      <c r="BE91" s="36">
        <v>230.12746594146694</v>
      </c>
      <c r="BF91" s="36">
        <v>0</v>
      </c>
      <c r="BG91" s="36">
        <v>26.040809905889844</v>
      </c>
      <c r="BH91" s="36">
        <v>520.72182389146758</v>
      </c>
      <c r="BI91" s="36">
        <v>0</v>
      </c>
      <c r="BJ91" s="36">
        <v>3811.3973520381032</v>
      </c>
      <c r="BK91" s="36">
        <v>0</v>
      </c>
      <c r="BL91" s="36">
        <v>0</v>
      </c>
      <c r="BM91" s="36">
        <v>0</v>
      </c>
      <c r="BN91" s="36">
        <v>0</v>
      </c>
      <c r="BO91" s="36">
        <v>0</v>
      </c>
      <c r="BP91" s="36">
        <v>0</v>
      </c>
      <c r="BQ91" s="36">
        <v>0</v>
      </c>
      <c r="BR91" s="36">
        <v>0</v>
      </c>
      <c r="BS91" s="36">
        <v>0</v>
      </c>
      <c r="BT91" s="36">
        <v>0</v>
      </c>
      <c r="BU91" s="36">
        <v>0</v>
      </c>
      <c r="BV91" s="36">
        <v>0</v>
      </c>
      <c r="BW91" s="36">
        <v>0</v>
      </c>
      <c r="BX91" s="36">
        <v>0</v>
      </c>
      <c r="BY91" s="36">
        <v>0</v>
      </c>
      <c r="BZ91" s="36">
        <v>0</v>
      </c>
      <c r="CA91" s="36">
        <v>0</v>
      </c>
      <c r="CB91" s="36">
        <v>0</v>
      </c>
      <c r="CC91" s="36">
        <v>0</v>
      </c>
      <c r="CD91" s="36">
        <v>0</v>
      </c>
      <c r="CE91" s="36">
        <v>0</v>
      </c>
      <c r="CF91" s="36">
        <v>0</v>
      </c>
      <c r="CG91" s="36">
        <v>0</v>
      </c>
      <c r="CH91" s="36">
        <v>0</v>
      </c>
      <c r="CI91" s="36">
        <v>0</v>
      </c>
      <c r="CJ91" s="36">
        <v>0</v>
      </c>
      <c r="CK91" s="36">
        <v>0</v>
      </c>
      <c r="CL91" s="36">
        <v>0</v>
      </c>
      <c r="CM91" s="36">
        <v>0</v>
      </c>
      <c r="CN91" s="36">
        <v>0</v>
      </c>
      <c r="CO91" s="36">
        <v>0</v>
      </c>
      <c r="CP91" s="36">
        <v>0</v>
      </c>
      <c r="CQ91" s="36">
        <v>0</v>
      </c>
      <c r="CR91" s="36">
        <v>0</v>
      </c>
      <c r="CS91" s="36">
        <v>0</v>
      </c>
      <c r="CT91" s="36">
        <v>0</v>
      </c>
      <c r="CU91" s="36">
        <v>0</v>
      </c>
      <c r="CV91" s="36">
        <v>0</v>
      </c>
      <c r="CW91" s="36">
        <v>0</v>
      </c>
      <c r="CX91" s="36">
        <v>0</v>
      </c>
      <c r="CY91" s="36">
        <v>0</v>
      </c>
      <c r="CZ91" s="36">
        <v>0</v>
      </c>
      <c r="DA91" s="36">
        <v>0</v>
      </c>
      <c r="DB91" s="36">
        <v>0</v>
      </c>
      <c r="DC91" s="36">
        <v>0</v>
      </c>
      <c r="DD91" s="36">
        <v>0</v>
      </c>
      <c r="DE91" s="36">
        <v>0</v>
      </c>
      <c r="DF91" s="36">
        <v>0</v>
      </c>
      <c r="DG91" s="36">
        <v>0</v>
      </c>
      <c r="DH91" s="36">
        <v>0</v>
      </c>
      <c r="DI91" s="36">
        <v>0</v>
      </c>
      <c r="DJ91" s="36">
        <v>0</v>
      </c>
      <c r="DK91" s="36">
        <v>0</v>
      </c>
      <c r="DL91" s="36">
        <v>0</v>
      </c>
      <c r="DM91" s="36">
        <v>0</v>
      </c>
      <c r="DN91" s="36">
        <v>0</v>
      </c>
      <c r="DO91" s="36">
        <v>0</v>
      </c>
      <c r="DP91" s="36">
        <v>0</v>
      </c>
      <c r="DQ91" s="36">
        <v>0</v>
      </c>
      <c r="DR91" s="36">
        <v>0</v>
      </c>
      <c r="DS91" s="36">
        <v>0</v>
      </c>
      <c r="DT91" s="36">
        <v>0</v>
      </c>
      <c r="DU91" s="36">
        <v>0</v>
      </c>
      <c r="DV91" s="36">
        <v>0</v>
      </c>
      <c r="DW91" s="36">
        <v>0</v>
      </c>
      <c r="DX91" s="36">
        <v>0</v>
      </c>
      <c r="DY91" s="36">
        <v>0</v>
      </c>
      <c r="DZ91" s="36">
        <v>0</v>
      </c>
      <c r="EA91" s="36">
        <v>0</v>
      </c>
      <c r="EB91" s="36">
        <v>0</v>
      </c>
      <c r="EC91" s="36">
        <v>0</v>
      </c>
      <c r="ED91" s="36">
        <v>0</v>
      </c>
      <c r="EE91" s="36">
        <v>0</v>
      </c>
      <c r="EF91" s="36">
        <v>0</v>
      </c>
      <c r="EG91" s="36">
        <v>0</v>
      </c>
      <c r="EH91" s="36">
        <v>0</v>
      </c>
      <c r="EI91" s="36">
        <v>0</v>
      </c>
      <c r="EJ91" s="36">
        <v>0</v>
      </c>
      <c r="EK91" s="36">
        <v>0</v>
      </c>
      <c r="EL91" s="36">
        <v>0</v>
      </c>
      <c r="EM91" s="36">
        <v>0</v>
      </c>
      <c r="EN91" s="36">
        <v>0</v>
      </c>
      <c r="EO91" s="36">
        <v>0</v>
      </c>
      <c r="EP91" s="36">
        <v>0</v>
      </c>
      <c r="EQ91" s="36">
        <v>0</v>
      </c>
      <c r="ER91" s="36">
        <v>0</v>
      </c>
      <c r="ES91" s="36">
        <v>0</v>
      </c>
      <c r="ET91" s="36">
        <v>0</v>
      </c>
      <c r="EU91" s="36">
        <v>0</v>
      </c>
      <c r="EV91" s="36">
        <v>0</v>
      </c>
      <c r="EW91" s="36">
        <v>0</v>
      </c>
      <c r="EX91" s="36">
        <v>0</v>
      </c>
      <c r="EY91" s="36">
        <v>0</v>
      </c>
      <c r="EZ91" s="36">
        <v>0</v>
      </c>
      <c r="FA91" s="36">
        <v>0</v>
      </c>
      <c r="FB91" s="36">
        <v>0</v>
      </c>
      <c r="FC91" s="36">
        <v>0</v>
      </c>
      <c r="FD91" s="36">
        <v>0</v>
      </c>
      <c r="FE91" s="36">
        <v>0</v>
      </c>
      <c r="FF91" s="36">
        <v>0</v>
      </c>
      <c r="FG91" s="36">
        <v>0</v>
      </c>
      <c r="FH91" s="36">
        <v>0</v>
      </c>
      <c r="FI91" s="36">
        <v>0</v>
      </c>
      <c r="FJ91" s="36">
        <v>0</v>
      </c>
      <c r="FK91" s="36">
        <v>0</v>
      </c>
      <c r="FL91" s="36">
        <v>0</v>
      </c>
      <c r="FM91" s="36">
        <v>0</v>
      </c>
      <c r="FN91" s="36">
        <v>0</v>
      </c>
      <c r="FO91" s="36">
        <v>0</v>
      </c>
      <c r="FP91" s="36">
        <v>0</v>
      </c>
      <c r="FQ91" s="36">
        <v>0</v>
      </c>
      <c r="FR91" s="36">
        <v>0</v>
      </c>
      <c r="FS91" s="36">
        <v>0</v>
      </c>
      <c r="FT91" s="36">
        <v>0</v>
      </c>
      <c r="FU91" s="36">
        <v>0</v>
      </c>
      <c r="FV91" s="36">
        <v>0</v>
      </c>
      <c r="FW91" s="36">
        <v>0</v>
      </c>
      <c r="FX91" s="36">
        <v>0</v>
      </c>
      <c r="FY91" s="36">
        <v>0</v>
      </c>
      <c r="FZ91" s="36">
        <v>0</v>
      </c>
      <c r="GA91" s="36">
        <v>0</v>
      </c>
      <c r="GB91" s="36">
        <v>0</v>
      </c>
      <c r="GC91" s="36">
        <v>0</v>
      </c>
      <c r="GD91" s="36">
        <v>0</v>
      </c>
      <c r="GE91" s="36">
        <v>0</v>
      </c>
      <c r="GF91" s="36">
        <v>0</v>
      </c>
      <c r="GG91" s="42">
        <v>2116.0710938614225</v>
      </c>
      <c r="GH91" s="42">
        <v>2763.8985010601773</v>
      </c>
      <c r="GI91" s="42">
        <v>3299.5723068488637</v>
      </c>
      <c r="GJ91" s="42">
        <v>4045.6749611483533</v>
      </c>
      <c r="GK91" s="42">
        <v>4268.4583303282661</v>
      </c>
      <c r="GL91" s="42">
        <v>5104.763158995841</v>
      </c>
      <c r="GM91" s="42">
        <v>5387.9657926199116</v>
      </c>
      <c r="GN91" s="42">
        <v>6756.8335486239148</v>
      </c>
      <c r="GO91" s="42">
        <v>7378.0276902005853</v>
      </c>
      <c r="GP91" s="42">
        <v>1777.1531643385142</v>
      </c>
      <c r="GQ91" s="42">
        <v>1476.6833050640948</v>
      </c>
      <c r="GR91" s="42">
        <v>1914.2113830339724</v>
      </c>
      <c r="GS91" s="42">
        <v>2157.0687495417778</v>
      </c>
      <c r="GT91" s="42">
        <v>2027.9045231948223</v>
      </c>
      <c r="GU91" s="36">
        <v>0</v>
      </c>
      <c r="GV91" s="36">
        <v>0</v>
      </c>
      <c r="GW91" s="36">
        <v>0</v>
      </c>
      <c r="GX91" s="36">
        <v>0</v>
      </c>
      <c r="GY91" s="36">
        <v>0</v>
      </c>
      <c r="GZ91" s="36">
        <v>0</v>
      </c>
      <c r="HA91" s="38">
        <v>2050.6668511541939</v>
      </c>
      <c r="HB91" s="36">
        <v>4116.0418346455408</v>
      </c>
      <c r="HC91" s="36">
        <f t="shared" si="1"/>
        <v>72528.676599686878</v>
      </c>
      <c r="HD91" s="36">
        <f>SUM(CJ$5:CJ$213)</f>
        <v>72528.676599686878</v>
      </c>
      <c r="HE91" s="41">
        <v>0</v>
      </c>
      <c r="HG91" s="43"/>
      <c r="HH91" s="43"/>
      <c r="HI91" s="43"/>
      <c r="HJ91" s="43"/>
      <c r="HK91" s="43"/>
      <c r="HL91" s="43"/>
      <c r="HM91" s="43"/>
      <c r="HN91" s="43"/>
      <c r="HO91" s="43"/>
      <c r="HP91" s="43"/>
      <c r="HQ91" s="43"/>
      <c r="HR91" s="43"/>
      <c r="HS91" s="43"/>
      <c r="HT91" s="43"/>
    </row>
    <row r="92" spans="1:228" hidden="1" outlineLevel="1" x14ac:dyDescent="0.2">
      <c r="A92" s="9" t="s">
        <v>782</v>
      </c>
      <c r="B92" s="36">
        <v>0</v>
      </c>
      <c r="C92" s="36">
        <v>0</v>
      </c>
      <c r="D92" s="36">
        <v>0</v>
      </c>
      <c r="E92" s="36">
        <v>0</v>
      </c>
      <c r="F92" s="36">
        <v>0</v>
      </c>
      <c r="G92" s="36">
        <v>0</v>
      </c>
      <c r="H92" s="36">
        <v>0</v>
      </c>
      <c r="I92" s="36">
        <v>0</v>
      </c>
      <c r="J92" s="36">
        <v>0</v>
      </c>
      <c r="K92" s="36">
        <v>0</v>
      </c>
      <c r="L92" s="36">
        <v>0</v>
      </c>
      <c r="M92" s="36">
        <v>0</v>
      </c>
      <c r="N92" s="36">
        <v>0</v>
      </c>
      <c r="O92" s="36">
        <v>0</v>
      </c>
      <c r="P92" s="36">
        <v>0</v>
      </c>
      <c r="Q92" s="36">
        <v>0</v>
      </c>
      <c r="R92" s="36">
        <v>0</v>
      </c>
      <c r="S92" s="36">
        <v>0</v>
      </c>
      <c r="T92" s="36">
        <v>0</v>
      </c>
      <c r="U92" s="36">
        <v>0</v>
      </c>
      <c r="V92" s="36">
        <v>0</v>
      </c>
      <c r="W92" s="36">
        <v>0</v>
      </c>
      <c r="X92" s="36">
        <v>0</v>
      </c>
      <c r="Y92" s="36">
        <v>0</v>
      </c>
      <c r="Z92" s="36">
        <v>0</v>
      </c>
      <c r="AA92" s="36">
        <v>0</v>
      </c>
      <c r="AB92" s="36">
        <v>0</v>
      </c>
      <c r="AC92" s="36">
        <v>0</v>
      </c>
      <c r="AD92" s="36">
        <v>0</v>
      </c>
      <c r="AE92" s="36">
        <v>0</v>
      </c>
      <c r="AF92" s="36">
        <v>0</v>
      </c>
      <c r="AG92" s="36">
        <v>0</v>
      </c>
      <c r="AH92" s="36">
        <v>0</v>
      </c>
      <c r="AI92" s="36">
        <v>0</v>
      </c>
      <c r="AJ92" s="36">
        <v>0</v>
      </c>
      <c r="AK92" s="36">
        <v>0</v>
      </c>
      <c r="AL92" s="36">
        <v>0</v>
      </c>
      <c r="AM92" s="36">
        <v>0</v>
      </c>
      <c r="AN92" s="36">
        <v>0</v>
      </c>
      <c r="AO92" s="36">
        <v>0</v>
      </c>
      <c r="AP92" s="36">
        <v>0</v>
      </c>
      <c r="AQ92" s="36">
        <v>0</v>
      </c>
      <c r="AR92" s="36">
        <v>0</v>
      </c>
      <c r="AS92" s="36">
        <v>0</v>
      </c>
      <c r="AT92" s="36">
        <v>0</v>
      </c>
      <c r="AU92" s="36">
        <v>0</v>
      </c>
      <c r="AV92" s="36">
        <v>0</v>
      </c>
      <c r="AW92" s="36">
        <v>0</v>
      </c>
      <c r="AX92" s="36">
        <v>0</v>
      </c>
      <c r="AY92" s="36">
        <v>0</v>
      </c>
      <c r="AZ92" s="36">
        <v>0</v>
      </c>
      <c r="BA92" s="36">
        <v>0</v>
      </c>
      <c r="BB92" s="36">
        <v>0</v>
      </c>
      <c r="BC92" s="36">
        <v>0</v>
      </c>
      <c r="BD92" s="36">
        <v>0</v>
      </c>
      <c r="BE92" s="36">
        <v>0</v>
      </c>
      <c r="BF92" s="36">
        <v>0</v>
      </c>
      <c r="BG92" s="36">
        <v>0</v>
      </c>
      <c r="BH92" s="36">
        <v>0</v>
      </c>
      <c r="BI92" s="36">
        <v>0</v>
      </c>
      <c r="BJ92" s="36">
        <v>271.39456137673398</v>
      </c>
      <c r="BK92" s="36">
        <v>0</v>
      </c>
      <c r="BL92" s="36">
        <v>0</v>
      </c>
      <c r="BM92" s="36">
        <v>0</v>
      </c>
      <c r="BN92" s="36">
        <v>0</v>
      </c>
      <c r="BO92" s="36">
        <v>0</v>
      </c>
      <c r="BP92" s="36">
        <v>0</v>
      </c>
      <c r="BQ92" s="36">
        <v>0</v>
      </c>
      <c r="BR92" s="36">
        <v>0</v>
      </c>
      <c r="BS92" s="36">
        <v>0</v>
      </c>
      <c r="BT92" s="36">
        <v>0</v>
      </c>
      <c r="BU92" s="36">
        <v>0</v>
      </c>
      <c r="BV92" s="36">
        <v>0</v>
      </c>
      <c r="BW92" s="36">
        <v>0</v>
      </c>
      <c r="BX92" s="36">
        <v>0</v>
      </c>
      <c r="BY92" s="36">
        <v>0</v>
      </c>
      <c r="BZ92" s="36">
        <v>0</v>
      </c>
      <c r="CA92" s="36">
        <v>0</v>
      </c>
      <c r="CB92" s="36">
        <v>0</v>
      </c>
      <c r="CC92" s="36">
        <v>0</v>
      </c>
      <c r="CD92" s="36">
        <v>0</v>
      </c>
      <c r="CE92" s="36">
        <v>0</v>
      </c>
      <c r="CF92" s="36">
        <v>0</v>
      </c>
      <c r="CG92" s="36">
        <v>0</v>
      </c>
      <c r="CH92" s="36">
        <v>0</v>
      </c>
      <c r="CI92" s="36">
        <v>0</v>
      </c>
      <c r="CJ92" s="36">
        <v>0</v>
      </c>
      <c r="CK92" s="36">
        <v>0</v>
      </c>
      <c r="CL92" s="36">
        <v>0</v>
      </c>
      <c r="CM92" s="36">
        <v>0</v>
      </c>
      <c r="CN92" s="36">
        <v>0</v>
      </c>
      <c r="CO92" s="36">
        <v>0</v>
      </c>
      <c r="CP92" s="36">
        <v>0</v>
      </c>
      <c r="CQ92" s="36">
        <v>0</v>
      </c>
      <c r="CR92" s="36">
        <v>0</v>
      </c>
      <c r="CS92" s="36">
        <v>0</v>
      </c>
      <c r="CT92" s="36">
        <v>0</v>
      </c>
      <c r="CU92" s="36">
        <v>0</v>
      </c>
      <c r="CV92" s="36">
        <v>0</v>
      </c>
      <c r="CW92" s="36">
        <v>0</v>
      </c>
      <c r="CX92" s="36">
        <v>0</v>
      </c>
      <c r="CY92" s="36">
        <v>0</v>
      </c>
      <c r="CZ92" s="36">
        <v>0</v>
      </c>
      <c r="DA92" s="36">
        <v>0</v>
      </c>
      <c r="DB92" s="36">
        <v>0</v>
      </c>
      <c r="DC92" s="36">
        <v>0</v>
      </c>
      <c r="DD92" s="36">
        <v>0</v>
      </c>
      <c r="DE92" s="36">
        <v>0</v>
      </c>
      <c r="DF92" s="36">
        <v>0</v>
      </c>
      <c r="DG92" s="36">
        <v>0</v>
      </c>
      <c r="DH92" s="36">
        <v>0</v>
      </c>
      <c r="DI92" s="36">
        <v>0</v>
      </c>
      <c r="DJ92" s="36">
        <v>0</v>
      </c>
      <c r="DK92" s="36">
        <v>0</v>
      </c>
      <c r="DL92" s="36">
        <v>0</v>
      </c>
      <c r="DM92" s="36">
        <v>0</v>
      </c>
      <c r="DN92" s="36">
        <v>0</v>
      </c>
      <c r="DO92" s="36">
        <v>0</v>
      </c>
      <c r="DP92" s="36">
        <v>0</v>
      </c>
      <c r="DQ92" s="36">
        <v>0</v>
      </c>
      <c r="DR92" s="36">
        <v>0</v>
      </c>
      <c r="DS92" s="36">
        <v>0</v>
      </c>
      <c r="DT92" s="36">
        <v>0</v>
      </c>
      <c r="DU92" s="36">
        <v>0</v>
      </c>
      <c r="DV92" s="36">
        <v>0</v>
      </c>
      <c r="DW92" s="36">
        <v>0</v>
      </c>
      <c r="DX92" s="36">
        <v>0</v>
      </c>
      <c r="DY92" s="36">
        <v>0</v>
      </c>
      <c r="DZ92" s="36">
        <v>0</v>
      </c>
      <c r="EA92" s="36">
        <v>0</v>
      </c>
      <c r="EB92" s="36">
        <v>0</v>
      </c>
      <c r="EC92" s="36">
        <v>0</v>
      </c>
      <c r="ED92" s="36">
        <v>0</v>
      </c>
      <c r="EE92" s="36">
        <v>0</v>
      </c>
      <c r="EF92" s="36">
        <v>0</v>
      </c>
      <c r="EG92" s="36">
        <v>0</v>
      </c>
      <c r="EH92" s="36">
        <v>0</v>
      </c>
      <c r="EI92" s="36">
        <v>0</v>
      </c>
      <c r="EJ92" s="36">
        <v>0</v>
      </c>
      <c r="EK92" s="36">
        <v>0</v>
      </c>
      <c r="EL92" s="36">
        <v>0</v>
      </c>
      <c r="EM92" s="36">
        <v>0</v>
      </c>
      <c r="EN92" s="36">
        <v>0</v>
      </c>
      <c r="EO92" s="36">
        <v>0</v>
      </c>
      <c r="EP92" s="36">
        <v>0</v>
      </c>
      <c r="EQ92" s="36">
        <v>0</v>
      </c>
      <c r="ER92" s="36">
        <v>0</v>
      </c>
      <c r="ES92" s="36">
        <v>0</v>
      </c>
      <c r="ET92" s="36">
        <v>0</v>
      </c>
      <c r="EU92" s="36">
        <v>0</v>
      </c>
      <c r="EV92" s="36">
        <v>0</v>
      </c>
      <c r="EW92" s="36">
        <v>0</v>
      </c>
      <c r="EX92" s="36">
        <v>0</v>
      </c>
      <c r="EY92" s="36">
        <v>0</v>
      </c>
      <c r="EZ92" s="36">
        <v>0</v>
      </c>
      <c r="FA92" s="36">
        <v>0</v>
      </c>
      <c r="FB92" s="36">
        <v>0</v>
      </c>
      <c r="FC92" s="36">
        <v>0</v>
      </c>
      <c r="FD92" s="36">
        <v>0</v>
      </c>
      <c r="FE92" s="36">
        <v>0</v>
      </c>
      <c r="FF92" s="36">
        <v>0</v>
      </c>
      <c r="FG92" s="36">
        <v>0</v>
      </c>
      <c r="FH92" s="36">
        <v>0</v>
      </c>
      <c r="FI92" s="36">
        <v>0</v>
      </c>
      <c r="FJ92" s="36">
        <v>0</v>
      </c>
      <c r="FK92" s="36">
        <v>0</v>
      </c>
      <c r="FL92" s="36">
        <v>0</v>
      </c>
      <c r="FM92" s="36">
        <v>0</v>
      </c>
      <c r="FN92" s="36">
        <v>0</v>
      </c>
      <c r="FO92" s="36">
        <v>0</v>
      </c>
      <c r="FP92" s="36">
        <v>0</v>
      </c>
      <c r="FQ92" s="36">
        <v>0</v>
      </c>
      <c r="FR92" s="36">
        <v>0</v>
      </c>
      <c r="FS92" s="36">
        <v>0</v>
      </c>
      <c r="FT92" s="36">
        <v>0</v>
      </c>
      <c r="FU92" s="36">
        <v>0</v>
      </c>
      <c r="FV92" s="36">
        <v>0</v>
      </c>
      <c r="FW92" s="36">
        <v>0</v>
      </c>
      <c r="FX92" s="36">
        <v>0</v>
      </c>
      <c r="FY92" s="36">
        <v>0</v>
      </c>
      <c r="FZ92" s="36">
        <v>0</v>
      </c>
      <c r="GA92" s="36">
        <v>0</v>
      </c>
      <c r="GB92" s="36">
        <v>0</v>
      </c>
      <c r="GC92" s="36">
        <v>0</v>
      </c>
      <c r="GD92" s="36">
        <v>0</v>
      </c>
      <c r="GE92" s="36">
        <v>0</v>
      </c>
      <c r="GF92" s="36">
        <v>0</v>
      </c>
      <c r="GG92" s="42">
        <v>1414.1441974815421</v>
      </c>
      <c r="GH92" s="42">
        <v>2200.654809092975</v>
      </c>
      <c r="GI92" s="42">
        <v>3051.1467261449675</v>
      </c>
      <c r="GJ92" s="42">
        <v>4220.4706876818909</v>
      </c>
      <c r="GK92" s="42">
        <v>5285.3183672031091</v>
      </c>
      <c r="GL92" s="42">
        <v>6400.0641970136448</v>
      </c>
      <c r="GM92" s="42">
        <v>6208.8533829797025</v>
      </c>
      <c r="GN92" s="42">
        <v>8505.1179447728591</v>
      </c>
      <c r="GO92" s="42">
        <v>10626.702146852984</v>
      </c>
      <c r="GP92" s="42">
        <v>1386.112355805476</v>
      </c>
      <c r="GQ92" s="42">
        <v>1419.2521642485431</v>
      </c>
      <c r="GR92" s="42">
        <v>2078.3585325710269</v>
      </c>
      <c r="GS92" s="42">
        <v>2153.0368062470807</v>
      </c>
      <c r="GT92" s="42">
        <v>2422.260621603205</v>
      </c>
      <c r="GU92" s="36">
        <v>0</v>
      </c>
      <c r="GV92" s="36">
        <v>0</v>
      </c>
      <c r="GW92" s="36">
        <v>0</v>
      </c>
      <c r="GX92" s="36">
        <v>0</v>
      </c>
      <c r="GY92" s="36">
        <v>0</v>
      </c>
      <c r="GZ92" s="36">
        <v>0</v>
      </c>
      <c r="HA92" s="38">
        <v>208.01287644993135</v>
      </c>
      <c r="HB92" s="36">
        <v>4924.985292287909</v>
      </c>
      <c r="HC92" s="36">
        <f t="shared" si="1"/>
        <v>62775.885669813586</v>
      </c>
      <c r="HD92" s="36">
        <f>SUM(CK$5:CK$213)</f>
        <v>62775.885669813586</v>
      </c>
      <c r="HE92" s="41">
        <v>0</v>
      </c>
      <c r="HG92" s="43"/>
      <c r="HH92" s="43"/>
      <c r="HI92" s="43"/>
      <c r="HJ92" s="43"/>
      <c r="HK92" s="43"/>
      <c r="HL92" s="43"/>
      <c r="HM92" s="43"/>
      <c r="HN92" s="43"/>
      <c r="HO92" s="43"/>
      <c r="HP92" s="43"/>
      <c r="HQ92" s="43"/>
      <c r="HR92" s="43"/>
      <c r="HS92" s="43"/>
      <c r="HT92" s="43"/>
    </row>
    <row r="93" spans="1:228" hidden="1" outlineLevel="1" x14ac:dyDescent="0.2">
      <c r="A93" s="9" t="s">
        <v>786</v>
      </c>
      <c r="B93" s="36">
        <v>0</v>
      </c>
      <c r="C93" s="36">
        <v>0</v>
      </c>
      <c r="D93" s="36">
        <v>0</v>
      </c>
      <c r="E93" s="36">
        <v>0</v>
      </c>
      <c r="F93" s="36">
        <v>0</v>
      </c>
      <c r="G93" s="36">
        <v>0</v>
      </c>
      <c r="H93" s="36">
        <v>0</v>
      </c>
      <c r="I93" s="36">
        <v>0.78748890771061586</v>
      </c>
      <c r="J93" s="36">
        <v>0</v>
      </c>
      <c r="K93" s="36">
        <v>4845.5778100063035</v>
      </c>
      <c r="L93" s="36">
        <v>12806.697980863664</v>
      </c>
      <c r="M93" s="36">
        <v>36.291303932404588</v>
      </c>
      <c r="N93" s="36">
        <v>126.26326525829738</v>
      </c>
      <c r="O93" s="36">
        <v>0</v>
      </c>
      <c r="P93" s="36">
        <v>1.079059350027016</v>
      </c>
      <c r="Q93" s="36">
        <v>33.207734986075351</v>
      </c>
      <c r="R93" s="36">
        <v>0</v>
      </c>
      <c r="S93" s="36">
        <v>0</v>
      </c>
      <c r="T93" s="36">
        <v>117.04498921534638</v>
      </c>
      <c r="U93" s="36">
        <v>70.549939966045201</v>
      </c>
      <c r="V93" s="36">
        <v>133.32864922316003</v>
      </c>
      <c r="W93" s="36">
        <v>0</v>
      </c>
      <c r="X93" s="36">
        <v>0</v>
      </c>
      <c r="Y93" s="36">
        <v>0</v>
      </c>
      <c r="Z93" s="36">
        <v>0.6115338667825363</v>
      </c>
      <c r="AA93" s="36">
        <v>162.3742352445978</v>
      </c>
      <c r="AB93" s="36">
        <v>0</v>
      </c>
      <c r="AC93" s="36">
        <v>0</v>
      </c>
      <c r="AD93" s="36">
        <v>15.711948227228506</v>
      </c>
      <c r="AE93" s="36">
        <v>170.38900711843507</v>
      </c>
      <c r="AF93" s="36">
        <v>0</v>
      </c>
      <c r="AG93" s="36">
        <v>699.27785274661585</v>
      </c>
      <c r="AH93" s="36">
        <v>209.06174399109238</v>
      </c>
      <c r="AI93" s="36">
        <v>0.20525691399110627</v>
      </c>
      <c r="AJ93" s="36">
        <v>0.23748649180528067</v>
      </c>
      <c r="AK93" s="36">
        <v>0</v>
      </c>
      <c r="AL93" s="36">
        <v>0</v>
      </c>
      <c r="AM93" s="36">
        <v>0</v>
      </c>
      <c r="AN93" s="36">
        <v>0</v>
      </c>
      <c r="AO93" s="36">
        <v>13.942843223377205</v>
      </c>
      <c r="AP93" s="36">
        <v>0</v>
      </c>
      <c r="AQ93" s="36">
        <v>0</v>
      </c>
      <c r="AR93" s="36">
        <v>0</v>
      </c>
      <c r="AS93" s="36">
        <v>0</v>
      </c>
      <c r="AT93" s="36">
        <v>0</v>
      </c>
      <c r="AU93" s="36">
        <v>0</v>
      </c>
      <c r="AV93" s="36">
        <v>0</v>
      </c>
      <c r="AW93" s="36">
        <v>0</v>
      </c>
      <c r="AX93" s="36">
        <v>0</v>
      </c>
      <c r="AY93" s="36">
        <v>0</v>
      </c>
      <c r="AZ93" s="36">
        <v>0</v>
      </c>
      <c r="BA93" s="36">
        <v>0</v>
      </c>
      <c r="BB93" s="36">
        <v>0</v>
      </c>
      <c r="BC93" s="36">
        <v>0</v>
      </c>
      <c r="BD93" s="36">
        <v>0</v>
      </c>
      <c r="BE93" s="36">
        <v>0</v>
      </c>
      <c r="BF93" s="36">
        <v>0</v>
      </c>
      <c r="BG93" s="36">
        <v>0</v>
      </c>
      <c r="BH93" s="36">
        <v>0</v>
      </c>
      <c r="BI93" s="36">
        <v>0</v>
      </c>
      <c r="BJ93" s="36">
        <v>4738.1390504289284</v>
      </c>
      <c r="BK93" s="36">
        <v>0</v>
      </c>
      <c r="BL93" s="36">
        <v>0</v>
      </c>
      <c r="BM93" s="36">
        <v>0</v>
      </c>
      <c r="BN93" s="36">
        <v>0</v>
      </c>
      <c r="BO93" s="36">
        <v>0</v>
      </c>
      <c r="BP93" s="36">
        <v>0</v>
      </c>
      <c r="BQ93" s="36">
        <v>0</v>
      </c>
      <c r="BR93" s="36">
        <v>0</v>
      </c>
      <c r="BS93" s="36">
        <v>0</v>
      </c>
      <c r="BT93" s="36">
        <v>0</v>
      </c>
      <c r="BU93" s="36">
        <v>0</v>
      </c>
      <c r="BV93" s="36">
        <v>0</v>
      </c>
      <c r="BW93" s="36">
        <v>0</v>
      </c>
      <c r="BX93" s="36">
        <v>0</v>
      </c>
      <c r="BY93" s="36">
        <v>0</v>
      </c>
      <c r="BZ93" s="36">
        <v>0</v>
      </c>
      <c r="CA93" s="36">
        <v>0</v>
      </c>
      <c r="CB93" s="36">
        <v>0</v>
      </c>
      <c r="CC93" s="36">
        <v>0</v>
      </c>
      <c r="CD93" s="36">
        <v>0</v>
      </c>
      <c r="CE93" s="36">
        <v>0</v>
      </c>
      <c r="CF93" s="36">
        <v>0</v>
      </c>
      <c r="CG93" s="36">
        <v>0</v>
      </c>
      <c r="CH93" s="36">
        <v>0</v>
      </c>
      <c r="CI93" s="36">
        <v>0</v>
      </c>
      <c r="CJ93" s="36">
        <v>0</v>
      </c>
      <c r="CK93" s="36">
        <v>0</v>
      </c>
      <c r="CL93" s="36">
        <v>0</v>
      </c>
      <c r="CM93" s="36">
        <v>0</v>
      </c>
      <c r="CN93" s="36">
        <v>0</v>
      </c>
      <c r="CO93" s="36">
        <v>0</v>
      </c>
      <c r="CP93" s="36">
        <v>0</v>
      </c>
      <c r="CQ93" s="36">
        <v>0</v>
      </c>
      <c r="CR93" s="36">
        <v>0</v>
      </c>
      <c r="CS93" s="36">
        <v>0</v>
      </c>
      <c r="CT93" s="36">
        <v>0</v>
      </c>
      <c r="CU93" s="36">
        <v>0</v>
      </c>
      <c r="CV93" s="36">
        <v>0</v>
      </c>
      <c r="CW93" s="36">
        <v>0</v>
      </c>
      <c r="CX93" s="36">
        <v>0</v>
      </c>
      <c r="CY93" s="36">
        <v>0</v>
      </c>
      <c r="CZ93" s="36">
        <v>0</v>
      </c>
      <c r="DA93" s="36">
        <v>0</v>
      </c>
      <c r="DB93" s="36">
        <v>0</v>
      </c>
      <c r="DC93" s="36">
        <v>0</v>
      </c>
      <c r="DD93" s="36">
        <v>0</v>
      </c>
      <c r="DE93" s="36">
        <v>0</v>
      </c>
      <c r="DF93" s="36">
        <v>0</v>
      </c>
      <c r="DG93" s="36">
        <v>0</v>
      </c>
      <c r="DH93" s="36">
        <v>0</v>
      </c>
      <c r="DI93" s="36">
        <v>0</v>
      </c>
      <c r="DJ93" s="36">
        <v>0</v>
      </c>
      <c r="DK93" s="36">
        <v>0</v>
      </c>
      <c r="DL93" s="36">
        <v>0</v>
      </c>
      <c r="DM93" s="36">
        <v>0</v>
      </c>
      <c r="DN93" s="36">
        <v>0</v>
      </c>
      <c r="DO93" s="36">
        <v>0</v>
      </c>
      <c r="DP93" s="36">
        <v>0</v>
      </c>
      <c r="DQ93" s="36">
        <v>0</v>
      </c>
      <c r="DR93" s="36">
        <v>0</v>
      </c>
      <c r="DS93" s="36">
        <v>0</v>
      </c>
      <c r="DT93" s="36">
        <v>0</v>
      </c>
      <c r="DU93" s="36">
        <v>0</v>
      </c>
      <c r="DV93" s="36">
        <v>0</v>
      </c>
      <c r="DW93" s="36">
        <v>0</v>
      </c>
      <c r="DX93" s="36">
        <v>0</v>
      </c>
      <c r="DY93" s="36">
        <v>0</v>
      </c>
      <c r="DZ93" s="36">
        <v>0</v>
      </c>
      <c r="EA93" s="36">
        <v>0</v>
      </c>
      <c r="EB93" s="36">
        <v>0</v>
      </c>
      <c r="EC93" s="36">
        <v>0</v>
      </c>
      <c r="ED93" s="36">
        <v>0</v>
      </c>
      <c r="EE93" s="36">
        <v>0</v>
      </c>
      <c r="EF93" s="36">
        <v>0</v>
      </c>
      <c r="EG93" s="36">
        <v>0</v>
      </c>
      <c r="EH93" s="36">
        <v>0</v>
      </c>
      <c r="EI93" s="36">
        <v>0</v>
      </c>
      <c r="EJ93" s="36">
        <v>0</v>
      </c>
      <c r="EK93" s="36">
        <v>0</v>
      </c>
      <c r="EL93" s="36">
        <v>0</v>
      </c>
      <c r="EM93" s="36">
        <v>0</v>
      </c>
      <c r="EN93" s="36">
        <v>0</v>
      </c>
      <c r="EO93" s="36">
        <v>0</v>
      </c>
      <c r="EP93" s="36">
        <v>0</v>
      </c>
      <c r="EQ93" s="36">
        <v>0</v>
      </c>
      <c r="ER93" s="36">
        <v>0</v>
      </c>
      <c r="ES93" s="36">
        <v>0</v>
      </c>
      <c r="ET93" s="36">
        <v>0</v>
      </c>
      <c r="EU93" s="36">
        <v>0</v>
      </c>
      <c r="EV93" s="36">
        <v>0</v>
      </c>
      <c r="EW93" s="36">
        <v>0</v>
      </c>
      <c r="EX93" s="36">
        <v>0</v>
      </c>
      <c r="EY93" s="36">
        <v>0</v>
      </c>
      <c r="EZ93" s="36">
        <v>0</v>
      </c>
      <c r="FA93" s="36">
        <v>0</v>
      </c>
      <c r="FB93" s="36">
        <v>0</v>
      </c>
      <c r="FC93" s="36">
        <v>0</v>
      </c>
      <c r="FD93" s="36">
        <v>0</v>
      </c>
      <c r="FE93" s="36">
        <v>0</v>
      </c>
      <c r="FF93" s="36">
        <v>0</v>
      </c>
      <c r="FG93" s="36">
        <v>0</v>
      </c>
      <c r="FH93" s="36">
        <v>0</v>
      </c>
      <c r="FI93" s="36">
        <v>0</v>
      </c>
      <c r="FJ93" s="36">
        <v>0</v>
      </c>
      <c r="FK93" s="36">
        <v>0</v>
      </c>
      <c r="FL93" s="36">
        <v>0</v>
      </c>
      <c r="FM93" s="36">
        <v>0</v>
      </c>
      <c r="FN93" s="36">
        <v>0</v>
      </c>
      <c r="FO93" s="36">
        <v>0</v>
      </c>
      <c r="FP93" s="36">
        <v>0</v>
      </c>
      <c r="FQ93" s="36">
        <v>0</v>
      </c>
      <c r="FR93" s="36">
        <v>0</v>
      </c>
      <c r="FS93" s="36">
        <v>0</v>
      </c>
      <c r="FT93" s="36">
        <v>0</v>
      </c>
      <c r="FU93" s="36">
        <v>0</v>
      </c>
      <c r="FV93" s="36">
        <v>0</v>
      </c>
      <c r="FW93" s="36">
        <v>0</v>
      </c>
      <c r="FX93" s="36">
        <v>0</v>
      </c>
      <c r="FY93" s="36">
        <v>0</v>
      </c>
      <c r="FZ93" s="36">
        <v>0</v>
      </c>
      <c r="GA93" s="36">
        <v>0</v>
      </c>
      <c r="GB93" s="36">
        <v>0</v>
      </c>
      <c r="GC93" s="36">
        <v>0</v>
      </c>
      <c r="GD93" s="36">
        <v>0</v>
      </c>
      <c r="GE93" s="36">
        <v>0</v>
      </c>
      <c r="GF93" s="36">
        <v>0</v>
      </c>
      <c r="GG93" s="42">
        <v>18.404392184610497</v>
      </c>
      <c r="GH93" s="42">
        <v>17.42257338467822</v>
      </c>
      <c r="GI93" s="42">
        <v>23.100873480799589</v>
      </c>
      <c r="GJ93" s="42">
        <v>18.612341747525111</v>
      </c>
      <c r="GK93" s="42">
        <v>31.951292214217968</v>
      </c>
      <c r="GL93" s="42">
        <v>21.790305471549299</v>
      </c>
      <c r="GM93" s="42">
        <v>43.840966924354809</v>
      </c>
      <c r="GN93" s="42">
        <v>43.585178311504428</v>
      </c>
      <c r="GO93" s="42">
        <v>83.114717159222778</v>
      </c>
      <c r="GP93" s="42">
        <v>44.444866947025147</v>
      </c>
      <c r="GQ93" s="42">
        <v>18.492687267957308</v>
      </c>
      <c r="GR93" s="42">
        <v>36.848712324472643</v>
      </c>
      <c r="GS93" s="42">
        <v>10.382401560384157</v>
      </c>
      <c r="GT93" s="42">
        <v>26.216187928675929</v>
      </c>
      <c r="GU93" s="36">
        <v>0</v>
      </c>
      <c r="GV93" s="36">
        <v>0</v>
      </c>
      <c r="GW93" s="36">
        <v>0</v>
      </c>
      <c r="GX93" s="36">
        <v>0</v>
      </c>
      <c r="GY93" s="36">
        <v>0</v>
      </c>
      <c r="GZ93" s="36">
        <v>0</v>
      </c>
      <c r="HA93" s="38">
        <v>78.466825975589018</v>
      </c>
      <c r="HB93" s="36">
        <v>2361.9879946591477</v>
      </c>
      <c r="HC93" s="36">
        <f t="shared" si="1"/>
        <v>27059.441497503602</v>
      </c>
      <c r="HD93" s="36">
        <f>SUM(CL$5:CL$213)</f>
        <v>27059.441497503602</v>
      </c>
      <c r="HE93" s="41">
        <v>0</v>
      </c>
      <c r="HG93" s="43"/>
      <c r="HH93" s="43"/>
      <c r="HI93" s="43"/>
      <c r="HJ93" s="43"/>
      <c r="HK93" s="43"/>
      <c r="HL93" s="43"/>
      <c r="HM93" s="43"/>
      <c r="HN93" s="43"/>
      <c r="HO93" s="43"/>
      <c r="HP93" s="43"/>
      <c r="HQ93" s="43"/>
      <c r="HR93" s="43"/>
      <c r="HS93" s="43"/>
      <c r="HT93" s="43"/>
    </row>
    <row r="94" spans="1:228" hidden="1" outlineLevel="1" x14ac:dyDescent="0.2">
      <c r="A94" s="9" t="s">
        <v>793</v>
      </c>
      <c r="B94" s="36">
        <v>0</v>
      </c>
      <c r="C94" s="36">
        <v>0</v>
      </c>
      <c r="D94" s="36">
        <v>0</v>
      </c>
      <c r="E94" s="36">
        <v>0</v>
      </c>
      <c r="F94" s="36">
        <v>0</v>
      </c>
      <c r="G94" s="36">
        <v>0</v>
      </c>
      <c r="H94" s="36">
        <v>0</v>
      </c>
      <c r="I94" s="36">
        <v>255.15777066427867</v>
      </c>
      <c r="J94" s="36">
        <v>33.111426639589716</v>
      </c>
      <c r="K94" s="36">
        <v>28.519052751459718</v>
      </c>
      <c r="L94" s="36">
        <v>408.11188856472535</v>
      </c>
      <c r="M94" s="36">
        <v>5.6507516105927271</v>
      </c>
      <c r="N94" s="36">
        <v>44.71963662395013</v>
      </c>
      <c r="O94" s="36">
        <v>109.82171344836057</v>
      </c>
      <c r="P94" s="36">
        <v>368.69228464983433</v>
      </c>
      <c r="Q94" s="36">
        <v>16.776663923028718</v>
      </c>
      <c r="R94" s="36">
        <v>9.0674587465011669</v>
      </c>
      <c r="S94" s="36">
        <v>112.17020148255678</v>
      </c>
      <c r="T94" s="36">
        <v>104.4555718002601</v>
      </c>
      <c r="U94" s="36">
        <v>15.955575698522752</v>
      </c>
      <c r="V94" s="36">
        <v>15.78656539405779</v>
      </c>
      <c r="W94" s="36">
        <v>10.888650865877775</v>
      </c>
      <c r="X94" s="36">
        <v>56.679440100710174</v>
      </c>
      <c r="Y94" s="36">
        <v>31.065199919550992</v>
      </c>
      <c r="Z94" s="36">
        <v>143.34922751199375</v>
      </c>
      <c r="AA94" s="36">
        <v>167.43037606760652</v>
      </c>
      <c r="AB94" s="36">
        <v>45.289716795840413</v>
      </c>
      <c r="AC94" s="36">
        <v>3.0297044782102058</v>
      </c>
      <c r="AD94" s="36">
        <v>1.6104674814984685</v>
      </c>
      <c r="AE94" s="36">
        <v>435.02524680448744</v>
      </c>
      <c r="AF94" s="36">
        <v>29.53597576908523</v>
      </c>
      <c r="AG94" s="36">
        <v>121.53754944349494</v>
      </c>
      <c r="AH94" s="36">
        <v>14.830920948060264</v>
      </c>
      <c r="AI94" s="36">
        <v>9.4579252654084236</v>
      </c>
      <c r="AJ94" s="36">
        <v>10.790497386680794</v>
      </c>
      <c r="AK94" s="36">
        <v>0</v>
      </c>
      <c r="AL94" s="36">
        <v>0</v>
      </c>
      <c r="AM94" s="36">
        <v>0</v>
      </c>
      <c r="AN94" s="36">
        <v>0</v>
      </c>
      <c r="AO94" s="36">
        <v>148.53620773403861</v>
      </c>
      <c r="AP94" s="36">
        <v>2.2743542181295968</v>
      </c>
      <c r="AQ94" s="36">
        <v>2.3871057293712421</v>
      </c>
      <c r="AR94" s="36">
        <v>389.54888627923287</v>
      </c>
      <c r="AS94" s="36">
        <v>0</v>
      </c>
      <c r="AT94" s="36">
        <v>0</v>
      </c>
      <c r="AU94" s="36">
        <v>0</v>
      </c>
      <c r="AV94" s="36">
        <v>0</v>
      </c>
      <c r="AW94" s="36">
        <v>0</v>
      </c>
      <c r="AX94" s="36">
        <v>0</v>
      </c>
      <c r="AY94" s="36">
        <v>0</v>
      </c>
      <c r="AZ94" s="36">
        <v>0</v>
      </c>
      <c r="BA94" s="36">
        <v>0</v>
      </c>
      <c r="BB94" s="36">
        <v>0</v>
      </c>
      <c r="BC94" s="36">
        <v>214.54635036573382</v>
      </c>
      <c r="BD94" s="36">
        <v>7.4265038547433626</v>
      </c>
      <c r="BE94" s="36">
        <v>369.52152634161394</v>
      </c>
      <c r="BF94" s="36">
        <v>178.94145899229028</v>
      </c>
      <c r="BG94" s="36">
        <v>296.679510046541</v>
      </c>
      <c r="BH94" s="36">
        <v>767.09240534443791</v>
      </c>
      <c r="BI94" s="36">
        <v>13.2452638652644</v>
      </c>
      <c r="BJ94" s="36">
        <v>1591.7221592488536</v>
      </c>
      <c r="BK94" s="36">
        <v>0</v>
      </c>
      <c r="BL94" s="36">
        <v>0</v>
      </c>
      <c r="BM94" s="36">
        <v>0</v>
      </c>
      <c r="BN94" s="36">
        <v>0</v>
      </c>
      <c r="BO94" s="36">
        <v>0</v>
      </c>
      <c r="BP94" s="36">
        <v>0</v>
      </c>
      <c r="BQ94" s="36">
        <v>0</v>
      </c>
      <c r="BR94" s="36">
        <v>0</v>
      </c>
      <c r="BS94" s="36">
        <v>0</v>
      </c>
      <c r="BT94" s="36">
        <v>0</v>
      </c>
      <c r="BU94" s="36">
        <v>0</v>
      </c>
      <c r="BV94" s="36">
        <v>0</v>
      </c>
      <c r="BW94" s="36">
        <v>0</v>
      </c>
      <c r="BX94" s="36">
        <v>0</v>
      </c>
      <c r="BY94" s="36">
        <v>0</v>
      </c>
      <c r="BZ94" s="36">
        <v>0</v>
      </c>
      <c r="CA94" s="36">
        <v>0</v>
      </c>
      <c r="CB94" s="36">
        <v>0</v>
      </c>
      <c r="CC94" s="36">
        <v>0</v>
      </c>
      <c r="CD94" s="36">
        <v>0</v>
      </c>
      <c r="CE94" s="36">
        <v>0</v>
      </c>
      <c r="CF94" s="36">
        <v>0</v>
      </c>
      <c r="CG94" s="36">
        <v>0</v>
      </c>
      <c r="CH94" s="36">
        <v>0</v>
      </c>
      <c r="CI94" s="36">
        <v>0</v>
      </c>
      <c r="CJ94" s="36">
        <v>0</v>
      </c>
      <c r="CK94" s="36">
        <v>0</v>
      </c>
      <c r="CL94" s="36">
        <v>0</v>
      </c>
      <c r="CM94" s="36">
        <v>0</v>
      </c>
      <c r="CN94" s="36">
        <v>0</v>
      </c>
      <c r="CO94" s="36">
        <v>0</v>
      </c>
      <c r="CP94" s="36">
        <v>0</v>
      </c>
      <c r="CQ94" s="36">
        <v>0</v>
      </c>
      <c r="CR94" s="36">
        <v>0</v>
      </c>
      <c r="CS94" s="36">
        <v>0</v>
      </c>
      <c r="CT94" s="36">
        <v>0</v>
      </c>
      <c r="CU94" s="36">
        <v>0</v>
      </c>
      <c r="CV94" s="36">
        <v>0</v>
      </c>
      <c r="CW94" s="36">
        <v>0</v>
      </c>
      <c r="CX94" s="36">
        <v>0</v>
      </c>
      <c r="CY94" s="36">
        <v>0</v>
      </c>
      <c r="CZ94" s="36">
        <v>0</v>
      </c>
      <c r="DA94" s="36">
        <v>0</v>
      </c>
      <c r="DB94" s="36">
        <v>0</v>
      </c>
      <c r="DC94" s="36">
        <v>0</v>
      </c>
      <c r="DD94" s="36">
        <v>0</v>
      </c>
      <c r="DE94" s="36">
        <v>0</v>
      </c>
      <c r="DF94" s="36">
        <v>0</v>
      </c>
      <c r="DG94" s="36">
        <v>0</v>
      </c>
      <c r="DH94" s="36">
        <v>0</v>
      </c>
      <c r="DI94" s="36">
        <v>0</v>
      </c>
      <c r="DJ94" s="36">
        <v>0</v>
      </c>
      <c r="DK94" s="36">
        <v>0</v>
      </c>
      <c r="DL94" s="36">
        <v>0</v>
      </c>
      <c r="DM94" s="36">
        <v>0</v>
      </c>
      <c r="DN94" s="36">
        <v>0</v>
      </c>
      <c r="DO94" s="36">
        <v>0</v>
      </c>
      <c r="DP94" s="36">
        <v>0</v>
      </c>
      <c r="DQ94" s="36">
        <v>0</v>
      </c>
      <c r="DR94" s="36">
        <v>0</v>
      </c>
      <c r="DS94" s="36">
        <v>0</v>
      </c>
      <c r="DT94" s="36">
        <v>0</v>
      </c>
      <c r="DU94" s="36">
        <v>0</v>
      </c>
      <c r="DV94" s="36">
        <v>0</v>
      </c>
      <c r="DW94" s="36">
        <v>0</v>
      </c>
      <c r="DX94" s="36">
        <v>0</v>
      </c>
      <c r="DY94" s="36">
        <v>0</v>
      </c>
      <c r="DZ94" s="36">
        <v>0</v>
      </c>
      <c r="EA94" s="36">
        <v>0</v>
      </c>
      <c r="EB94" s="36">
        <v>0</v>
      </c>
      <c r="EC94" s="36">
        <v>0</v>
      </c>
      <c r="ED94" s="36">
        <v>0</v>
      </c>
      <c r="EE94" s="36">
        <v>0</v>
      </c>
      <c r="EF94" s="36">
        <v>0</v>
      </c>
      <c r="EG94" s="36">
        <v>0</v>
      </c>
      <c r="EH94" s="36">
        <v>0</v>
      </c>
      <c r="EI94" s="36">
        <v>0</v>
      </c>
      <c r="EJ94" s="36">
        <v>0</v>
      </c>
      <c r="EK94" s="36">
        <v>0</v>
      </c>
      <c r="EL94" s="36">
        <v>0</v>
      </c>
      <c r="EM94" s="36">
        <v>0</v>
      </c>
      <c r="EN94" s="36">
        <v>0</v>
      </c>
      <c r="EO94" s="36">
        <v>0</v>
      </c>
      <c r="EP94" s="36">
        <v>0</v>
      </c>
      <c r="EQ94" s="36">
        <v>0</v>
      </c>
      <c r="ER94" s="36">
        <v>0</v>
      </c>
      <c r="ES94" s="36">
        <v>0</v>
      </c>
      <c r="ET94" s="36">
        <v>0</v>
      </c>
      <c r="EU94" s="36">
        <v>0</v>
      </c>
      <c r="EV94" s="36">
        <v>0</v>
      </c>
      <c r="EW94" s="36">
        <v>0</v>
      </c>
      <c r="EX94" s="36">
        <v>0</v>
      </c>
      <c r="EY94" s="36">
        <v>0</v>
      </c>
      <c r="EZ94" s="36">
        <v>0</v>
      </c>
      <c r="FA94" s="36">
        <v>0</v>
      </c>
      <c r="FB94" s="36">
        <v>0</v>
      </c>
      <c r="FC94" s="36">
        <v>0</v>
      </c>
      <c r="FD94" s="36">
        <v>0</v>
      </c>
      <c r="FE94" s="36">
        <v>0</v>
      </c>
      <c r="FF94" s="36">
        <v>0</v>
      </c>
      <c r="FG94" s="36">
        <v>0</v>
      </c>
      <c r="FH94" s="36">
        <v>0</v>
      </c>
      <c r="FI94" s="36">
        <v>0</v>
      </c>
      <c r="FJ94" s="36">
        <v>0</v>
      </c>
      <c r="FK94" s="36">
        <v>0</v>
      </c>
      <c r="FL94" s="36">
        <v>0</v>
      </c>
      <c r="FM94" s="36">
        <v>0</v>
      </c>
      <c r="FN94" s="36">
        <v>0</v>
      </c>
      <c r="FO94" s="36">
        <v>0</v>
      </c>
      <c r="FP94" s="36">
        <v>0</v>
      </c>
      <c r="FQ94" s="36">
        <v>0</v>
      </c>
      <c r="FR94" s="36">
        <v>0</v>
      </c>
      <c r="FS94" s="36">
        <v>0</v>
      </c>
      <c r="FT94" s="36">
        <v>0</v>
      </c>
      <c r="FU94" s="36">
        <v>0</v>
      </c>
      <c r="FV94" s="36">
        <v>0</v>
      </c>
      <c r="FW94" s="36">
        <v>0</v>
      </c>
      <c r="FX94" s="36">
        <v>0</v>
      </c>
      <c r="FY94" s="36">
        <v>0</v>
      </c>
      <c r="FZ94" s="36">
        <v>0</v>
      </c>
      <c r="GA94" s="36">
        <v>0</v>
      </c>
      <c r="GB94" s="36">
        <v>0</v>
      </c>
      <c r="GC94" s="36">
        <v>0</v>
      </c>
      <c r="GD94" s="36">
        <v>0</v>
      </c>
      <c r="GE94" s="36">
        <v>0</v>
      </c>
      <c r="GF94" s="36">
        <v>0</v>
      </c>
      <c r="GG94" s="42">
        <v>534.17808559984644</v>
      </c>
      <c r="GH94" s="42">
        <v>707.6968662998114</v>
      </c>
      <c r="GI94" s="42">
        <v>1028.4841601611158</v>
      </c>
      <c r="GJ94" s="42">
        <v>1054.4595759085921</v>
      </c>
      <c r="GK94" s="42">
        <v>1286.8553693338317</v>
      </c>
      <c r="GL94" s="42">
        <v>1468.8770796692202</v>
      </c>
      <c r="GM94" s="42">
        <v>2025.7603934082547</v>
      </c>
      <c r="GN94" s="42">
        <v>2513.9061910099549</v>
      </c>
      <c r="GO94" s="42">
        <v>3296.084069577123</v>
      </c>
      <c r="GP94" s="42">
        <v>876.11847143477144</v>
      </c>
      <c r="GQ94" s="42">
        <v>944.98152492199699</v>
      </c>
      <c r="GR94" s="42">
        <v>981.02401164392256</v>
      </c>
      <c r="GS94" s="42">
        <v>1622.3723262299111</v>
      </c>
      <c r="GT94" s="42">
        <v>2473.5240832299592</v>
      </c>
      <c r="GU94" s="36">
        <v>0</v>
      </c>
      <c r="GV94" s="36">
        <v>0</v>
      </c>
      <c r="GW94" s="36">
        <v>0</v>
      </c>
      <c r="GX94" s="36">
        <v>0</v>
      </c>
      <c r="GY94" s="36">
        <v>0</v>
      </c>
      <c r="GZ94" s="36">
        <v>0</v>
      </c>
      <c r="HA94" s="38">
        <v>-955.80572530808422</v>
      </c>
      <c r="HB94" s="36">
        <v>3705.0352567038494</v>
      </c>
      <c r="HC94" s="36">
        <f t="shared" si="1"/>
        <v>30153.990932680554</v>
      </c>
      <c r="HD94" s="36">
        <f>SUM(CM$5:CM$213)</f>
        <v>30153.990932680554</v>
      </c>
      <c r="HE94" s="41">
        <v>0</v>
      </c>
      <c r="HG94" s="43"/>
      <c r="HH94" s="43"/>
      <c r="HI94" s="43"/>
      <c r="HJ94" s="43"/>
      <c r="HK94" s="43"/>
      <c r="HL94" s="43"/>
      <c r="HM94" s="43"/>
      <c r="HN94" s="43"/>
      <c r="HO94" s="43"/>
      <c r="HP94" s="43"/>
      <c r="HQ94" s="43"/>
      <c r="HR94" s="43"/>
      <c r="HS94" s="43"/>
      <c r="HT94" s="43"/>
    </row>
    <row r="95" spans="1:228" hidden="1" outlineLevel="1" x14ac:dyDescent="0.2">
      <c r="A95" s="9" t="s">
        <v>798</v>
      </c>
      <c r="B95" s="36">
        <v>0</v>
      </c>
      <c r="C95" s="36">
        <v>0</v>
      </c>
      <c r="D95" s="36">
        <v>0</v>
      </c>
      <c r="E95" s="36">
        <v>0</v>
      </c>
      <c r="F95" s="36">
        <v>0</v>
      </c>
      <c r="G95" s="36">
        <v>0</v>
      </c>
      <c r="H95" s="36">
        <v>0</v>
      </c>
      <c r="I95" s="36">
        <v>0</v>
      </c>
      <c r="J95" s="36">
        <v>0</v>
      </c>
      <c r="K95" s="36">
        <v>128.12518463745977</v>
      </c>
      <c r="L95" s="36">
        <v>0</v>
      </c>
      <c r="M95" s="36">
        <v>0</v>
      </c>
      <c r="N95" s="36">
        <v>0</v>
      </c>
      <c r="O95" s="36">
        <v>0</v>
      </c>
      <c r="P95" s="36">
        <v>0</v>
      </c>
      <c r="Q95" s="36">
        <v>0</v>
      </c>
      <c r="R95" s="36">
        <v>0</v>
      </c>
      <c r="S95" s="36">
        <v>0</v>
      </c>
      <c r="T95" s="36">
        <v>0</v>
      </c>
      <c r="U95" s="36">
        <v>0</v>
      </c>
      <c r="V95" s="36">
        <v>0</v>
      </c>
      <c r="W95" s="36">
        <v>0</v>
      </c>
      <c r="X95" s="36">
        <v>0</v>
      </c>
      <c r="Y95" s="36">
        <v>0</v>
      </c>
      <c r="Z95" s="36">
        <v>0</v>
      </c>
      <c r="AA95" s="36">
        <v>0</v>
      </c>
      <c r="AB95" s="36">
        <v>0</v>
      </c>
      <c r="AC95" s="36">
        <v>0</v>
      </c>
      <c r="AD95" s="36">
        <v>0</v>
      </c>
      <c r="AE95" s="36">
        <v>534.17733936841296</v>
      </c>
      <c r="AF95" s="36">
        <v>2.6240688745467184</v>
      </c>
      <c r="AG95" s="36">
        <v>2.2513974558048595</v>
      </c>
      <c r="AH95" s="36">
        <v>0</v>
      </c>
      <c r="AI95" s="36">
        <v>0</v>
      </c>
      <c r="AJ95" s="36">
        <v>0</v>
      </c>
      <c r="AK95" s="36">
        <v>3757.1128291950599</v>
      </c>
      <c r="AL95" s="36">
        <v>0</v>
      </c>
      <c r="AM95" s="36">
        <v>0</v>
      </c>
      <c r="AN95" s="36">
        <v>0</v>
      </c>
      <c r="AO95" s="36">
        <v>6.778649430173509</v>
      </c>
      <c r="AP95" s="36">
        <v>0</v>
      </c>
      <c r="AQ95" s="36">
        <v>0</v>
      </c>
      <c r="AR95" s="36">
        <v>0</v>
      </c>
      <c r="AS95" s="36">
        <v>0</v>
      </c>
      <c r="AT95" s="36">
        <v>0</v>
      </c>
      <c r="AU95" s="36">
        <v>0</v>
      </c>
      <c r="AV95" s="36">
        <v>0</v>
      </c>
      <c r="AW95" s="36">
        <v>0</v>
      </c>
      <c r="AX95" s="36">
        <v>0</v>
      </c>
      <c r="AY95" s="36">
        <v>0</v>
      </c>
      <c r="AZ95" s="36">
        <v>0</v>
      </c>
      <c r="BA95" s="36">
        <v>0</v>
      </c>
      <c r="BB95" s="36">
        <v>0</v>
      </c>
      <c r="BC95" s="36">
        <v>0</v>
      </c>
      <c r="BD95" s="36">
        <v>0</v>
      </c>
      <c r="BE95" s="36">
        <v>0</v>
      </c>
      <c r="BF95" s="36">
        <v>0</v>
      </c>
      <c r="BG95" s="36">
        <v>0</v>
      </c>
      <c r="BH95" s="36">
        <v>0</v>
      </c>
      <c r="BI95" s="36">
        <v>0</v>
      </c>
      <c r="BJ95" s="36">
        <v>1940.8486552950292</v>
      </c>
      <c r="BK95" s="36">
        <v>0</v>
      </c>
      <c r="BL95" s="36">
        <v>0</v>
      </c>
      <c r="BM95" s="36">
        <v>0</v>
      </c>
      <c r="BN95" s="36">
        <v>0</v>
      </c>
      <c r="BO95" s="36">
        <v>0</v>
      </c>
      <c r="BP95" s="36">
        <v>0</v>
      </c>
      <c r="BQ95" s="36">
        <v>0</v>
      </c>
      <c r="BR95" s="36">
        <v>0</v>
      </c>
      <c r="BS95" s="36">
        <v>0</v>
      </c>
      <c r="BT95" s="36">
        <v>0</v>
      </c>
      <c r="BU95" s="36">
        <v>0</v>
      </c>
      <c r="BV95" s="36">
        <v>0</v>
      </c>
      <c r="BW95" s="36">
        <v>0</v>
      </c>
      <c r="BX95" s="36">
        <v>0</v>
      </c>
      <c r="BY95" s="36">
        <v>0</v>
      </c>
      <c r="BZ95" s="36">
        <v>0</v>
      </c>
      <c r="CA95" s="36">
        <v>0</v>
      </c>
      <c r="CB95" s="36">
        <v>0</v>
      </c>
      <c r="CC95" s="36">
        <v>0</v>
      </c>
      <c r="CD95" s="36">
        <v>0</v>
      </c>
      <c r="CE95" s="36">
        <v>0</v>
      </c>
      <c r="CF95" s="36">
        <v>0</v>
      </c>
      <c r="CG95" s="36">
        <v>0</v>
      </c>
      <c r="CH95" s="36">
        <v>0</v>
      </c>
      <c r="CI95" s="36">
        <v>0</v>
      </c>
      <c r="CJ95" s="36">
        <v>0</v>
      </c>
      <c r="CK95" s="36">
        <v>0</v>
      </c>
      <c r="CL95" s="36">
        <v>0</v>
      </c>
      <c r="CM95" s="36">
        <v>0</v>
      </c>
      <c r="CN95" s="36">
        <v>0</v>
      </c>
      <c r="CO95" s="36">
        <v>0</v>
      </c>
      <c r="CP95" s="36">
        <v>0</v>
      </c>
      <c r="CQ95" s="36">
        <v>0</v>
      </c>
      <c r="CR95" s="36">
        <v>0</v>
      </c>
      <c r="CS95" s="36">
        <v>0</v>
      </c>
      <c r="CT95" s="36">
        <v>0</v>
      </c>
      <c r="CU95" s="36">
        <v>0</v>
      </c>
      <c r="CV95" s="36">
        <v>0</v>
      </c>
      <c r="CW95" s="36">
        <v>0</v>
      </c>
      <c r="CX95" s="36">
        <v>0</v>
      </c>
      <c r="CY95" s="36">
        <v>0</v>
      </c>
      <c r="CZ95" s="36">
        <v>0</v>
      </c>
      <c r="DA95" s="36">
        <v>0</v>
      </c>
      <c r="DB95" s="36">
        <v>0</v>
      </c>
      <c r="DC95" s="36">
        <v>0</v>
      </c>
      <c r="DD95" s="36">
        <v>0</v>
      </c>
      <c r="DE95" s="36">
        <v>0</v>
      </c>
      <c r="DF95" s="36">
        <v>0</v>
      </c>
      <c r="DG95" s="36">
        <v>0</v>
      </c>
      <c r="DH95" s="36">
        <v>0</v>
      </c>
      <c r="DI95" s="36">
        <v>0</v>
      </c>
      <c r="DJ95" s="36">
        <v>0</v>
      </c>
      <c r="DK95" s="36">
        <v>0</v>
      </c>
      <c r="DL95" s="36">
        <v>0</v>
      </c>
      <c r="DM95" s="36">
        <v>0</v>
      </c>
      <c r="DN95" s="36">
        <v>0</v>
      </c>
      <c r="DO95" s="36">
        <v>0</v>
      </c>
      <c r="DP95" s="36">
        <v>0</v>
      </c>
      <c r="DQ95" s="36">
        <v>0</v>
      </c>
      <c r="DR95" s="36">
        <v>0</v>
      </c>
      <c r="DS95" s="36">
        <v>0</v>
      </c>
      <c r="DT95" s="36">
        <v>0</v>
      </c>
      <c r="DU95" s="36">
        <v>0</v>
      </c>
      <c r="DV95" s="36">
        <v>0</v>
      </c>
      <c r="DW95" s="36">
        <v>0</v>
      </c>
      <c r="DX95" s="36">
        <v>0</v>
      </c>
      <c r="DY95" s="36">
        <v>0</v>
      </c>
      <c r="DZ95" s="36">
        <v>0</v>
      </c>
      <c r="EA95" s="36">
        <v>0</v>
      </c>
      <c r="EB95" s="36">
        <v>0</v>
      </c>
      <c r="EC95" s="36">
        <v>0</v>
      </c>
      <c r="ED95" s="36">
        <v>0</v>
      </c>
      <c r="EE95" s="36">
        <v>0</v>
      </c>
      <c r="EF95" s="36">
        <v>0</v>
      </c>
      <c r="EG95" s="36">
        <v>0</v>
      </c>
      <c r="EH95" s="36">
        <v>0</v>
      </c>
      <c r="EI95" s="36">
        <v>0</v>
      </c>
      <c r="EJ95" s="36">
        <v>0</v>
      </c>
      <c r="EK95" s="36">
        <v>0</v>
      </c>
      <c r="EL95" s="36">
        <v>0</v>
      </c>
      <c r="EM95" s="36">
        <v>0</v>
      </c>
      <c r="EN95" s="36">
        <v>0</v>
      </c>
      <c r="EO95" s="36">
        <v>0</v>
      </c>
      <c r="EP95" s="36">
        <v>0</v>
      </c>
      <c r="EQ95" s="36">
        <v>0</v>
      </c>
      <c r="ER95" s="36">
        <v>0</v>
      </c>
      <c r="ES95" s="36">
        <v>0</v>
      </c>
      <c r="ET95" s="36">
        <v>0</v>
      </c>
      <c r="EU95" s="36">
        <v>0</v>
      </c>
      <c r="EV95" s="36">
        <v>0</v>
      </c>
      <c r="EW95" s="36">
        <v>0</v>
      </c>
      <c r="EX95" s="36">
        <v>0</v>
      </c>
      <c r="EY95" s="36">
        <v>0</v>
      </c>
      <c r="EZ95" s="36">
        <v>0</v>
      </c>
      <c r="FA95" s="36">
        <v>0</v>
      </c>
      <c r="FB95" s="36">
        <v>0</v>
      </c>
      <c r="FC95" s="36">
        <v>0</v>
      </c>
      <c r="FD95" s="36">
        <v>0</v>
      </c>
      <c r="FE95" s="36">
        <v>0</v>
      </c>
      <c r="FF95" s="36">
        <v>0</v>
      </c>
      <c r="FG95" s="36">
        <v>0</v>
      </c>
      <c r="FH95" s="36">
        <v>0</v>
      </c>
      <c r="FI95" s="36">
        <v>0</v>
      </c>
      <c r="FJ95" s="36">
        <v>0</v>
      </c>
      <c r="FK95" s="36">
        <v>0</v>
      </c>
      <c r="FL95" s="36">
        <v>0</v>
      </c>
      <c r="FM95" s="36">
        <v>0</v>
      </c>
      <c r="FN95" s="36">
        <v>0</v>
      </c>
      <c r="FO95" s="36">
        <v>0</v>
      </c>
      <c r="FP95" s="36">
        <v>0</v>
      </c>
      <c r="FQ95" s="36">
        <v>0</v>
      </c>
      <c r="FR95" s="36">
        <v>0</v>
      </c>
      <c r="FS95" s="36">
        <v>0</v>
      </c>
      <c r="FT95" s="36">
        <v>0</v>
      </c>
      <c r="FU95" s="36">
        <v>0</v>
      </c>
      <c r="FV95" s="36">
        <v>0</v>
      </c>
      <c r="FW95" s="36">
        <v>0</v>
      </c>
      <c r="FX95" s="36">
        <v>0</v>
      </c>
      <c r="FY95" s="36">
        <v>0</v>
      </c>
      <c r="FZ95" s="36">
        <v>0</v>
      </c>
      <c r="GA95" s="36">
        <v>0</v>
      </c>
      <c r="GB95" s="36">
        <v>0</v>
      </c>
      <c r="GC95" s="36">
        <v>0</v>
      </c>
      <c r="GD95" s="36">
        <v>0</v>
      </c>
      <c r="GE95" s="36">
        <v>0</v>
      </c>
      <c r="GF95" s="36">
        <v>0</v>
      </c>
      <c r="GG95" s="42">
        <v>283.6167666882792</v>
      </c>
      <c r="GH95" s="42">
        <v>386.85443979868205</v>
      </c>
      <c r="GI95" s="42">
        <v>264.21358268723509</v>
      </c>
      <c r="GJ95" s="42">
        <v>381.48730188033886</v>
      </c>
      <c r="GK95" s="42">
        <v>339.21873258849018</v>
      </c>
      <c r="GL95" s="42">
        <v>438.07651774543143</v>
      </c>
      <c r="GM95" s="42">
        <v>829.54110100750836</v>
      </c>
      <c r="GN95" s="42">
        <v>1041.0663779220977</v>
      </c>
      <c r="GO95" s="42">
        <v>1167.1167198506741</v>
      </c>
      <c r="GP95" s="42">
        <v>181.92568539880929</v>
      </c>
      <c r="GQ95" s="42">
        <v>468.39359533053045</v>
      </c>
      <c r="GR95" s="42">
        <v>937.75384844395933</v>
      </c>
      <c r="GS95" s="42">
        <v>2357.5230570678059</v>
      </c>
      <c r="GT95" s="42">
        <v>1247.6850762094418</v>
      </c>
      <c r="GU95" s="36">
        <v>0</v>
      </c>
      <c r="GV95" s="36">
        <v>0</v>
      </c>
      <c r="GW95" s="36">
        <v>0</v>
      </c>
      <c r="GX95" s="36">
        <v>0</v>
      </c>
      <c r="GY95" s="36">
        <v>0</v>
      </c>
      <c r="GZ95" s="36">
        <v>0</v>
      </c>
      <c r="HA95" s="38">
        <v>63.416808655751083</v>
      </c>
      <c r="HB95" s="36">
        <v>877.98996316953799</v>
      </c>
      <c r="HC95" s="36">
        <f t="shared" si="1"/>
        <v>17637.797698701059</v>
      </c>
      <c r="HD95" s="36">
        <f>SUM(CN$5:CN$213)</f>
        <v>17637.797698701059</v>
      </c>
      <c r="HE95" s="41">
        <v>0</v>
      </c>
      <c r="HG95" s="43"/>
      <c r="HH95" s="43"/>
      <c r="HI95" s="43"/>
      <c r="HJ95" s="43"/>
      <c r="HK95" s="43"/>
      <c r="HL95" s="43"/>
      <c r="HM95" s="43"/>
      <c r="HN95" s="43"/>
      <c r="HO95" s="43"/>
      <c r="HP95" s="43"/>
      <c r="HQ95" s="43"/>
      <c r="HR95" s="43"/>
      <c r="HS95" s="43"/>
      <c r="HT95" s="43"/>
    </row>
    <row r="96" spans="1:228" hidden="1" outlineLevel="1" x14ac:dyDescent="0.2">
      <c r="A96" s="9" t="s">
        <v>803</v>
      </c>
      <c r="B96" s="36">
        <v>355.37263395163052</v>
      </c>
      <c r="C96" s="36">
        <v>0</v>
      </c>
      <c r="D96" s="36">
        <v>0</v>
      </c>
      <c r="E96" s="36">
        <v>0</v>
      </c>
      <c r="F96" s="36">
        <v>0</v>
      </c>
      <c r="G96" s="36">
        <v>0</v>
      </c>
      <c r="H96" s="36">
        <v>0</v>
      </c>
      <c r="I96" s="36">
        <v>0</v>
      </c>
      <c r="J96" s="36">
        <v>0</v>
      </c>
      <c r="K96" s="36">
        <v>1876.7299519405492</v>
      </c>
      <c r="L96" s="36">
        <v>1992.2744067169251</v>
      </c>
      <c r="M96" s="36">
        <v>0</v>
      </c>
      <c r="N96" s="36">
        <v>474.03609568089814</v>
      </c>
      <c r="O96" s="36">
        <v>0</v>
      </c>
      <c r="P96" s="36">
        <v>20.873902311994495</v>
      </c>
      <c r="Q96" s="36">
        <v>4.0516347693230976</v>
      </c>
      <c r="R96" s="36">
        <v>0</v>
      </c>
      <c r="S96" s="36">
        <v>0</v>
      </c>
      <c r="T96" s="36">
        <v>83.12130563287127</v>
      </c>
      <c r="U96" s="36">
        <v>888.6639145877582</v>
      </c>
      <c r="V96" s="36">
        <v>1.0439162191993476</v>
      </c>
      <c r="W96" s="36">
        <v>0</v>
      </c>
      <c r="X96" s="36">
        <v>0.26681721278096771</v>
      </c>
      <c r="Y96" s="36">
        <v>0</v>
      </c>
      <c r="Z96" s="36">
        <v>78.31443773957831</v>
      </c>
      <c r="AA96" s="36">
        <v>6.4132416820282669</v>
      </c>
      <c r="AB96" s="36">
        <v>5.7435111938542809</v>
      </c>
      <c r="AC96" s="36">
        <v>32.034987848781213</v>
      </c>
      <c r="AD96" s="36">
        <v>34.183746324704039</v>
      </c>
      <c r="AE96" s="36">
        <v>411.73851969849079</v>
      </c>
      <c r="AF96" s="36">
        <v>1.7941870773064048</v>
      </c>
      <c r="AG96" s="36">
        <v>969.98243074607865</v>
      </c>
      <c r="AH96" s="36">
        <v>124.6547777609068</v>
      </c>
      <c r="AI96" s="36">
        <v>3.2433460403330527</v>
      </c>
      <c r="AJ96" s="36">
        <v>3.7519246188374922</v>
      </c>
      <c r="AK96" s="36">
        <v>0</v>
      </c>
      <c r="AL96" s="36">
        <v>0</v>
      </c>
      <c r="AM96" s="36">
        <v>0</v>
      </c>
      <c r="AN96" s="36">
        <v>0</v>
      </c>
      <c r="AO96" s="36">
        <v>14.463712452135116</v>
      </c>
      <c r="AP96" s="36">
        <v>0</v>
      </c>
      <c r="AQ96" s="36">
        <v>0.45587172662181347</v>
      </c>
      <c r="AR96" s="36">
        <v>0</v>
      </c>
      <c r="AS96" s="36">
        <v>0</v>
      </c>
      <c r="AT96" s="36">
        <v>0</v>
      </c>
      <c r="AU96" s="36">
        <v>0</v>
      </c>
      <c r="AV96" s="36">
        <v>0</v>
      </c>
      <c r="AW96" s="36">
        <v>0</v>
      </c>
      <c r="AX96" s="36">
        <v>0</v>
      </c>
      <c r="AY96" s="36">
        <v>0</v>
      </c>
      <c r="AZ96" s="36">
        <v>0</v>
      </c>
      <c r="BA96" s="36">
        <v>0</v>
      </c>
      <c r="BB96" s="36">
        <v>0</v>
      </c>
      <c r="BC96" s="36">
        <v>38.189596369344244</v>
      </c>
      <c r="BD96" s="36">
        <v>2.2882474985971237</v>
      </c>
      <c r="BE96" s="36">
        <v>31.923761511801217</v>
      </c>
      <c r="BF96" s="36">
        <v>0</v>
      </c>
      <c r="BG96" s="36">
        <v>0</v>
      </c>
      <c r="BH96" s="36">
        <v>0</v>
      </c>
      <c r="BI96" s="36">
        <v>0</v>
      </c>
      <c r="BJ96" s="36">
        <v>3537.6913937875574</v>
      </c>
      <c r="BK96" s="36">
        <v>0</v>
      </c>
      <c r="BL96" s="36">
        <v>0</v>
      </c>
      <c r="BM96" s="36">
        <v>0</v>
      </c>
      <c r="BN96" s="36">
        <v>0</v>
      </c>
      <c r="BO96" s="36">
        <v>0</v>
      </c>
      <c r="BP96" s="36">
        <v>0</v>
      </c>
      <c r="BQ96" s="36">
        <v>0</v>
      </c>
      <c r="BR96" s="36">
        <v>0</v>
      </c>
      <c r="BS96" s="36">
        <v>0</v>
      </c>
      <c r="BT96" s="36">
        <v>0</v>
      </c>
      <c r="BU96" s="36">
        <v>0</v>
      </c>
      <c r="BV96" s="36">
        <v>0</v>
      </c>
      <c r="BW96" s="36">
        <v>0</v>
      </c>
      <c r="BX96" s="36">
        <v>0</v>
      </c>
      <c r="BY96" s="36">
        <v>0</v>
      </c>
      <c r="BZ96" s="36">
        <v>0</v>
      </c>
      <c r="CA96" s="36">
        <v>0</v>
      </c>
      <c r="CB96" s="36">
        <v>0</v>
      </c>
      <c r="CC96" s="36">
        <v>0</v>
      </c>
      <c r="CD96" s="36">
        <v>0</v>
      </c>
      <c r="CE96" s="36">
        <v>0</v>
      </c>
      <c r="CF96" s="36">
        <v>0</v>
      </c>
      <c r="CG96" s="36">
        <v>0</v>
      </c>
      <c r="CH96" s="36">
        <v>0</v>
      </c>
      <c r="CI96" s="36">
        <v>0</v>
      </c>
      <c r="CJ96" s="36">
        <v>0</v>
      </c>
      <c r="CK96" s="36">
        <v>0</v>
      </c>
      <c r="CL96" s="36">
        <v>0</v>
      </c>
      <c r="CM96" s="36">
        <v>0</v>
      </c>
      <c r="CN96" s="36">
        <v>0</v>
      </c>
      <c r="CO96" s="36">
        <v>0</v>
      </c>
      <c r="CP96" s="36">
        <v>0</v>
      </c>
      <c r="CQ96" s="36">
        <v>0</v>
      </c>
      <c r="CR96" s="36">
        <v>0</v>
      </c>
      <c r="CS96" s="36">
        <v>0</v>
      </c>
      <c r="CT96" s="36">
        <v>0</v>
      </c>
      <c r="CU96" s="36">
        <v>0</v>
      </c>
      <c r="CV96" s="36">
        <v>0</v>
      </c>
      <c r="CW96" s="36">
        <v>0</v>
      </c>
      <c r="CX96" s="36">
        <v>0</v>
      </c>
      <c r="CY96" s="36">
        <v>0</v>
      </c>
      <c r="CZ96" s="36">
        <v>0</v>
      </c>
      <c r="DA96" s="36">
        <v>0</v>
      </c>
      <c r="DB96" s="36">
        <v>0</v>
      </c>
      <c r="DC96" s="36">
        <v>0</v>
      </c>
      <c r="DD96" s="36">
        <v>0</v>
      </c>
      <c r="DE96" s="36">
        <v>0</v>
      </c>
      <c r="DF96" s="36">
        <v>0</v>
      </c>
      <c r="DG96" s="36">
        <v>0</v>
      </c>
      <c r="DH96" s="36">
        <v>0</v>
      </c>
      <c r="DI96" s="36">
        <v>0</v>
      </c>
      <c r="DJ96" s="36">
        <v>0</v>
      </c>
      <c r="DK96" s="36">
        <v>0</v>
      </c>
      <c r="DL96" s="36">
        <v>0</v>
      </c>
      <c r="DM96" s="36">
        <v>0</v>
      </c>
      <c r="DN96" s="36">
        <v>0</v>
      </c>
      <c r="DO96" s="36">
        <v>0</v>
      </c>
      <c r="DP96" s="36">
        <v>0</v>
      </c>
      <c r="DQ96" s="36">
        <v>0</v>
      </c>
      <c r="DR96" s="36">
        <v>0</v>
      </c>
      <c r="DS96" s="36">
        <v>0</v>
      </c>
      <c r="DT96" s="36">
        <v>0</v>
      </c>
      <c r="DU96" s="36">
        <v>0</v>
      </c>
      <c r="DV96" s="36">
        <v>0</v>
      </c>
      <c r="DW96" s="36">
        <v>0</v>
      </c>
      <c r="DX96" s="36">
        <v>0</v>
      </c>
      <c r="DY96" s="36">
        <v>0</v>
      </c>
      <c r="DZ96" s="36">
        <v>0</v>
      </c>
      <c r="EA96" s="36">
        <v>0</v>
      </c>
      <c r="EB96" s="36">
        <v>0</v>
      </c>
      <c r="EC96" s="36">
        <v>0</v>
      </c>
      <c r="ED96" s="36">
        <v>0</v>
      </c>
      <c r="EE96" s="36">
        <v>0</v>
      </c>
      <c r="EF96" s="36">
        <v>0</v>
      </c>
      <c r="EG96" s="36">
        <v>0</v>
      </c>
      <c r="EH96" s="36">
        <v>0</v>
      </c>
      <c r="EI96" s="36">
        <v>0</v>
      </c>
      <c r="EJ96" s="36">
        <v>0</v>
      </c>
      <c r="EK96" s="36">
        <v>0</v>
      </c>
      <c r="EL96" s="36">
        <v>0</v>
      </c>
      <c r="EM96" s="36">
        <v>0</v>
      </c>
      <c r="EN96" s="36">
        <v>0</v>
      </c>
      <c r="EO96" s="36">
        <v>0</v>
      </c>
      <c r="EP96" s="36">
        <v>0</v>
      </c>
      <c r="EQ96" s="36">
        <v>0</v>
      </c>
      <c r="ER96" s="36">
        <v>0</v>
      </c>
      <c r="ES96" s="36">
        <v>0</v>
      </c>
      <c r="ET96" s="36">
        <v>0</v>
      </c>
      <c r="EU96" s="36">
        <v>0</v>
      </c>
      <c r="EV96" s="36">
        <v>0</v>
      </c>
      <c r="EW96" s="36">
        <v>0</v>
      </c>
      <c r="EX96" s="36">
        <v>0</v>
      </c>
      <c r="EY96" s="36">
        <v>0</v>
      </c>
      <c r="EZ96" s="36">
        <v>0</v>
      </c>
      <c r="FA96" s="36">
        <v>0</v>
      </c>
      <c r="FB96" s="36">
        <v>0</v>
      </c>
      <c r="FC96" s="36">
        <v>0</v>
      </c>
      <c r="FD96" s="36">
        <v>0</v>
      </c>
      <c r="FE96" s="36">
        <v>0</v>
      </c>
      <c r="FF96" s="36">
        <v>0</v>
      </c>
      <c r="FG96" s="36">
        <v>0</v>
      </c>
      <c r="FH96" s="36">
        <v>0</v>
      </c>
      <c r="FI96" s="36">
        <v>0</v>
      </c>
      <c r="FJ96" s="36">
        <v>0</v>
      </c>
      <c r="FK96" s="36">
        <v>0</v>
      </c>
      <c r="FL96" s="36">
        <v>0</v>
      </c>
      <c r="FM96" s="36">
        <v>0</v>
      </c>
      <c r="FN96" s="36">
        <v>0</v>
      </c>
      <c r="FO96" s="36">
        <v>0</v>
      </c>
      <c r="FP96" s="36">
        <v>0</v>
      </c>
      <c r="FQ96" s="36">
        <v>0</v>
      </c>
      <c r="FR96" s="36">
        <v>0</v>
      </c>
      <c r="FS96" s="36">
        <v>0</v>
      </c>
      <c r="FT96" s="36">
        <v>0</v>
      </c>
      <c r="FU96" s="36">
        <v>0</v>
      </c>
      <c r="FV96" s="36">
        <v>0</v>
      </c>
      <c r="FW96" s="36">
        <v>0</v>
      </c>
      <c r="FX96" s="36">
        <v>0</v>
      </c>
      <c r="FY96" s="36">
        <v>0</v>
      </c>
      <c r="FZ96" s="36">
        <v>0</v>
      </c>
      <c r="GA96" s="36">
        <v>0</v>
      </c>
      <c r="GB96" s="36">
        <v>0</v>
      </c>
      <c r="GC96" s="36">
        <v>0</v>
      </c>
      <c r="GD96" s="36">
        <v>0</v>
      </c>
      <c r="GE96" s="36">
        <v>0</v>
      </c>
      <c r="GF96" s="36">
        <v>0</v>
      </c>
      <c r="GG96" s="42">
        <v>73.668042580746928</v>
      </c>
      <c r="GH96" s="42">
        <v>97.59786911193099</v>
      </c>
      <c r="GI96" s="42">
        <v>141.83737024571531</v>
      </c>
      <c r="GJ96" s="42">
        <v>145.41961759902802</v>
      </c>
      <c r="GK96" s="42">
        <v>177.46912256217573</v>
      </c>
      <c r="GL96" s="42">
        <v>202.5715808417028</v>
      </c>
      <c r="GM96" s="42">
        <v>279.37088200166494</v>
      </c>
      <c r="GN96" s="42">
        <v>346.69065114373524</v>
      </c>
      <c r="GO96" s="42">
        <v>454.5601329089771</v>
      </c>
      <c r="GP96" s="42">
        <v>120.82474852363021</v>
      </c>
      <c r="GQ96" s="42">
        <v>130.32159328999785</v>
      </c>
      <c r="GR96" s="42">
        <v>135.2921817849662</v>
      </c>
      <c r="GS96" s="42">
        <v>223.7399789179313</v>
      </c>
      <c r="GT96" s="42">
        <v>341.12158922294066</v>
      </c>
      <c r="GU96" s="36">
        <v>0</v>
      </c>
      <c r="GV96" s="36">
        <v>0</v>
      </c>
      <c r="GW96" s="36">
        <v>0</v>
      </c>
      <c r="GX96" s="36">
        <v>0</v>
      </c>
      <c r="GY96" s="36">
        <v>0</v>
      </c>
      <c r="GZ96" s="36">
        <v>0</v>
      </c>
      <c r="HA96" s="38">
        <v>30.189978924410752</v>
      </c>
      <c r="HB96" s="36">
        <v>1168.0148964452621</v>
      </c>
      <c r="HC96" s="36">
        <f t="shared" si="1"/>
        <v>15061.992509205698</v>
      </c>
      <c r="HD96" s="36">
        <f>SUM(CO$5:CO$213)</f>
        <v>15061.992509205698</v>
      </c>
      <c r="HE96" s="41">
        <v>0</v>
      </c>
      <c r="HG96" s="43"/>
      <c r="HH96" s="43"/>
      <c r="HI96" s="43"/>
      <c r="HJ96" s="43"/>
      <c r="HK96" s="43"/>
      <c r="HL96" s="43"/>
      <c r="HM96" s="43"/>
      <c r="HN96" s="43"/>
      <c r="HO96" s="43"/>
      <c r="HP96" s="43"/>
      <c r="HQ96" s="43"/>
      <c r="HR96" s="43"/>
      <c r="HS96" s="43"/>
      <c r="HT96" s="43"/>
    </row>
    <row r="97" spans="1:228" hidden="1" outlineLevel="1" x14ac:dyDescent="0.2">
      <c r="A97" s="9" t="s">
        <v>810</v>
      </c>
      <c r="B97" s="36">
        <v>0</v>
      </c>
      <c r="C97" s="36">
        <v>0</v>
      </c>
      <c r="D97" s="36">
        <v>0</v>
      </c>
      <c r="E97" s="36">
        <v>0</v>
      </c>
      <c r="F97" s="36">
        <v>0</v>
      </c>
      <c r="G97" s="36">
        <v>0</v>
      </c>
      <c r="H97" s="36">
        <v>0</v>
      </c>
      <c r="I97" s="36">
        <v>0</v>
      </c>
      <c r="J97" s="36">
        <v>0</v>
      </c>
      <c r="K97" s="36">
        <v>42.479083463718148</v>
      </c>
      <c r="L97" s="36">
        <v>2024.1267993697179</v>
      </c>
      <c r="M97" s="36">
        <v>0</v>
      </c>
      <c r="N97" s="36">
        <v>10.074962319830297</v>
      </c>
      <c r="O97" s="36">
        <v>0</v>
      </c>
      <c r="P97" s="36">
        <v>0</v>
      </c>
      <c r="Q97" s="36">
        <v>0</v>
      </c>
      <c r="R97" s="36">
        <v>0</v>
      </c>
      <c r="S97" s="36">
        <v>0</v>
      </c>
      <c r="T97" s="36">
        <v>0</v>
      </c>
      <c r="U97" s="36">
        <v>0</v>
      </c>
      <c r="V97" s="36">
        <v>0</v>
      </c>
      <c r="W97" s="36">
        <v>0</v>
      </c>
      <c r="X97" s="36">
        <v>0</v>
      </c>
      <c r="Y97" s="36">
        <v>0</v>
      </c>
      <c r="Z97" s="36">
        <v>0</v>
      </c>
      <c r="AA97" s="36">
        <v>0</v>
      </c>
      <c r="AB97" s="36">
        <v>0</v>
      </c>
      <c r="AC97" s="36">
        <v>0</v>
      </c>
      <c r="AD97" s="36">
        <v>0</v>
      </c>
      <c r="AE97" s="36">
        <v>0</v>
      </c>
      <c r="AF97" s="36">
        <v>0</v>
      </c>
      <c r="AG97" s="36">
        <v>37.188245798286829</v>
      </c>
      <c r="AH97" s="36">
        <v>0</v>
      </c>
      <c r="AI97" s="36">
        <v>3.6935896819839713</v>
      </c>
      <c r="AJ97" s="36">
        <v>4.2775810798816591</v>
      </c>
      <c r="AK97" s="36">
        <v>0</v>
      </c>
      <c r="AL97" s="36">
        <v>0</v>
      </c>
      <c r="AM97" s="36">
        <v>0</v>
      </c>
      <c r="AN97" s="36">
        <v>0</v>
      </c>
      <c r="AO97" s="36">
        <v>0</v>
      </c>
      <c r="AP97" s="36">
        <v>0</v>
      </c>
      <c r="AQ97" s="36">
        <v>0</v>
      </c>
      <c r="AR97" s="36">
        <v>9.9030654746954134</v>
      </c>
      <c r="AS97" s="36">
        <v>0</v>
      </c>
      <c r="AT97" s="36">
        <v>0</v>
      </c>
      <c r="AU97" s="36">
        <v>0</v>
      </c>
      <c r="AV97" s="36">
        <v>0</v>
      </c>
      <c r="AW97" s="36">
        <v>0</v>
      </c>
      <c r="AX97" s="36">
        <v>0</v>
      </c>
      <c r="AY97" s="36">
        <v>0</v>
      </c>
      <c r="AZ97" s="36">
        <v>0</v>
      </c>
      <c r="BA97" s="36">
        <v>0</v>
      </c>
      <c r="BB97" s="36">
        <v>0</v>
      </c>
      <c r="BC97" s="36">
        <v>34.262292201588281</v>
      </c>
      <c r="BD97" s="36">
        <v>2.4715379535731934</v>
      </c>
      <c r="BE97" s="36">
        <v>33.97222160320802</v>
      </c>
      <c r="BF97" s="36">
        <v>0</v>
      </c>
      <c r="BG97" s="36">
        <v>0</v>
      </c>
      <c r="BH97" s="36">
        <v>0</v>
      </c>
      <c r="BI97" s="36">
        <v>0</v>
      </c>
      <c r="BJ97" s="36">
        <v>4387.2835480915928</v>
      </c>
      <c r="BK97" s="36">
        <v>0</v>
      </c>
      <c r="BL97" s="36">
        <v>0</v>
      </c>
      <c r="BM97" s="36">
        <v>0</v>
      </c>
      <c r="BN97" s="36">
        <v>0</v>
      </c>
      <c r="BO97" s="36">
        <v>0</v>
      </c>
      <c r="BP97" s="36">
        <v>0</v>
      </c>
      <c r="BQ97" s="36">
        <v>0</v>
      </c>
      <c r="BR97" s="36">
        <v>0</v>
      </c>
      <c r="BS97" s="36">
        <v>0</v>
      </c>
      <c r="BT97" s="36">
        <v>0</v>
      </c>
      <c r="BU97" s="36">
        <v>0</v>
      </c>
      <c r="BV97" s="36">
        <v>0</v>
      </c>
      <c r="BW97" s="36">
        <v>0</v>
      </c>
      <c r="BX97" s="36">
        <v>0</v>
      </c>
      <c r="BY97" s="36">
        <v>0</v>
      </c>
      <c r="BZ97" s="36">
        <v>0</v>
      </c>
      <c r="CA97" s="36">
        <v>0</v>
      </c>
      <c r="CB97" s="36">
        <v>0</v>
      </c>
      <c r="CC97" s="36">
        <v>0</v>
      </c>
      <c r="CD97" s="36">
        <v>0</v>
      </c>
      <c r="CE97" s="36">
        <v>0</v>
      </c>
      <c r="CF97" s="36">
        <v>0</v>
      </c>
      <c r="CG97" s="36">
        <v>0</v>
      </c>
      <c r="CH97" s="36">
        <v>0</v>
      </c>
      <c r="CI97" s="36">
        <v>0</v>
      </c>
      <c r="CJ97" s="36">
        <v>0</v>
      </c>
      <c r="CK97" s="36">
        <v>0</v>
      </c>
      <c r="CL97" s="36">
        <v>0</v>
      </c>
      <c r="CM97" s="36">
        <v>0</v>
      </c>
      <c r="CN97" s="36">
        <v>0</v>
      </c>
      <c r="CO97" s="36">
        <v>0</v>
      </c>
      <c r="CP97" s="36">
        <v>0</v>
      </c>
      <c r="CQ97" s="36">
        <v>0</v>
      </c>
      <c r="CR97" s="36">
        <v>0</v>
      </c>
      <c r="CS97" s="36">
        <v>0</v>
      </c>
      <c r="CT97" s="36">
        <v>0</v>
      </c>
      <c r="CU97" s="36">
        <v>0</v>
      </c>
      <c r="CV97" s="36">
        <v>0</v>
      </c>
      <c r="CW97" s="36">
        <v>0</v>
      </c>
      <c r="CX97" s="36">
        <v>0</v>
      </c>
      <c r="CY97" s="36">
        <v>0</v>
      </c>
      <c r="CZ97" s="36">
        <v>0</v>
      </c>
      <c r="DA97" s="36">
        <v>0</v>
      </c>
      <c r="DB97" s="36">
        <v>0</v>
      </c>
      <c r="DC97" s="36">
        <v>0</v>
      </c>
      <c r="DD97" s="36">
        <v>0</v>
      </c>
      <c r="DE97" s="36">
        <v>0</v>
      </c>
      <c r="DF97" s="36">
        <v>0</v>
      </c>
      <c r="DG97" s="36">
        <v>0</v>
      </c>
      <c r="DH97" s="36">
        <v>0</v>
      </c>
      <c r="DI97" s="36">
        <v>0</v>
      </c>
      <c r="DJ97" s="36">
        <v>0</v>
      </c>
      <c r="DK97" s="36">
        <v>0</v>
      </c>
      <c r="DL97" s="36">
        <v>0</v>
      </c>
      <c r="DM97" s="36">
        <v>0</v>
      </c>
      <c r="DN97" s="36">
        <v>0</v>
      </c>
      <c r="DO97" s="36">
        <v>0</v>
      </c>
      <c r="DP97" s="36">
        <v>0</v>
      </c>
      <c r="DQ97" s="36">
        <v>0</v>
      </c>
      <c r="DR97" s="36">
        <v>0</v>
      </c>
      <c r="DS97" s="36">
        <v>0</v>
      </c>
      <c r="DT97" s="36">
        <v>0</v>
      </c>
      <c r="DU97" s="36">
        <v>0</v>
      </c>
      <c r="DV97" s="36">
        <v>0</v>
      </c>
      <c r="DW97" s="36">
        <v>0</v>
      </c>
      <c r="DX97" s="36">
        <v>0</v>
      </c>
      <c r="DY97" s="36">
        <v>0</v>
      </c>
      <c r="DZ97" s="36">
        <v>0</v>
      </c>
      <c r="EA97" s="36">
        <v>0</v>
      </c>
      <c r="EB97" s="36">
        <v>0</v>
      </c>
      <c r="EC97" s="36">
        <v>0</v>
      </c>
      <c r="ED97" s="36">
        <v>0</v>
      </c>
      <c r="EE97" s="36">
        <v>0</v>
      </c>
      <c r="EF97" s="36">
        <v>0</v>
      </c>
      <c r="EG97" s="36">
        <v>0</v>
      </c>
      <c r="EH97" s="36">
        <v>0</v>
      </c>
      <c r="EI97" s="36">
        <v>0</v>
      </c>
      <c r="EJ97" s="36">
        <v>0</v>
      </c>
      <c r="EK97" s="36">
        <v>0</v>
      </c>
      <c r="EL97" s="36">
        <v>0</v>
      </c>
      <c r="EM97" s="36">
        <v>0</v>
      </c>
      <c r="EN97" s="36">
        <v>0</v>
      </c>
      <c r="EO97" s="36">
        <v>0</v>
      </c>
      <c r="EP97" s="36">
        <v>0</v>
      </c>
      <c r="EQ97" s="36">
        <v>0</v>
      </c>
      <c r="ER97" s="36">
        <v>0</v>
      </c>
      <c r="ES97" s="36">
        <v>0</v>
      </c>
      <c r="ET97" s="36">
        <v>0</v>
      </c>
      <c r="EU97" s="36">
        <v>0</v>
      </c>
      <c r="EV97" s="36">
        <v>0</v>
      </c>
      <c r="EW97" s="36">
        <v>0</v>
      </c>
      <c r="EX97" s="36">
        <v>0</v>
      </c>
      <c r="EY97" s="36">
        <v>0</v>
      </c>
      <c r="EZ97" s="36">
        <v>0</v>
      </c>
      <c r="FA97" s="36">
        <v>0</v>
      </c>
      <c r="FB97" s="36">
        <v>0</v>
      </c>
      <c r="FC97" s="36">
        <v>0</v>
      </c>
      <c r="FD97" s="36">
        <v>0</v>
      </c>
      <c r="FE97" s="36">
        <v>0</v>
      </c>
      <c r="FF97" s="36">
        <v>0</v>
      </c>
      <c r="FG97" s="36">
        <v>0</v>
      </c>
      <c r="FH97" s="36">
        <v>0</v>
      </c>
      <c r="FI97" s="36">
        <v>0</v>
      </c>
      <c r="FJ97" s="36">
        <v>0</v>
      </c>
      <c r="FK97" s="36">
        <v>0</v>
      </c>
      <c r="FL97" s="36">
        <v>0</v>
      </c>
      <c r="FM97" s="36">
        <v>0</v>
      </c>
      <c r="FN97" s="36">
        <v>0</v>
      </c>
      <c r="FO97" s="36">
        <v>0</v>
      </c>
      <c r="FP97" s="36">
        <v>0</v>
      </c>
      <c r="FQ97" s="36">
        <v>0</v>
      </c>
      <c r="FR97" s="36">
        <v>0</v>
      </c>
      <c r="FS97" s="36">
        <v>0</v>
      </c>
      <c r="FT97" s="36">
        <v>0</v>
      </c>
      <c r="FU97" s="36">
        <v>0</v>
      </c>
      <c r="FV97" s="36">
        <v>0</v>
      </c>
      <c r="FW97" s="36">
        <v>0</v>
      </c>
      <c r="FX97" s="36">
        <v>0</v>
      </c>
      <c r="FY97" s="36">
        <v>0</v>
      </c>
      <c r="FZ97" s="36">
        <v>0</v>
      </c>
      <c r="GA97" s="36">
        <v>0</v>
      </c>
      <c r="GB97" s="36">
        <v>0</v>
      </c>
      <c r="GC97" s="36">
        <v>0</v>
      </c>
      <c r="GD97" s="36">
        <v>0</v>
      </c>
      <c r="GE97" s="36">
        <v>0</v>
      </c>
      <c r="GF97" s="36">
        <v>0</v>
      </c>
      <c r="GG97" s="42">
        <v>18.570343175485153</v>
      </c>
      <c r="GH97" s="42">
        <v>29.119721728791404</v>
      </c>
      <c r="GI97" s="42">
        <v>27.066420170531007</v>
      </c>
      <c r="GJ97" s="42">
        <v>29.803113381745874</v>
      </c>
      <c r="GK97" s="42">
        <v>31.675051445936031</v>
      </c>
      <c r="GL97" s="42">
        <v>58.724424169538409</v>
      </c>
      <c r="GM97" s="42">
        <v>41.612958623236686</v>
      </c>
      <c r="GN97" s="42">
        <v>65.438918190124809</v>
      </c>
      <c r="GO97" s="42">
        <v>84.618970265449875</v>
      </c>
      <c r="GP97" s="42">
        <v>26.516827984533112</v>
      </c>
      <c r="GQ97" s="42">
        <v>28.010649682306475</v>
      </c>
      <c r="GR97" s="42">
        <v>35.907777717915728</v>
      </c>
      <c r="GS97" s="42">
        <v>31.659344285904332</v>
      </c>
      <c r="GT97" s="42">
        <v>68.168528203172201</v>
      </c>
      <c r="GU97" s="36">
        <v>0</v>
      </c>
      <c r="GV97" s="36">
        <v>0</v>
      </c>
      <c r="GW97" s="36">
        <v>0</v>
      </c>
      <c r="GX97" s="36">
        <v>0</v>
      </c>
      <c r="GY97" s="36">
        <v>0</v>
      </c>
      <c r="GZ97" s="36">
        <v>0</v>
      </c>
      <c r="HA97" s="38">
        <v>9.0143765580778563</v>
      </c>
      <c r="HB97" s="36">
        <v>321.69969009639584</v>
      </c>
      <c r="HC97" s="36">
        <f t="shared" si="1"/>
        <v>7497.3400427172219</v>
      </c>
      <c r="HD97" s="36">
        <f>SUM(CP$5:CP$213)</f>
        <v>7497.3400427172219</v>
      </c>
      <c r="HE97" s="41">
        <v>0</v>
      </c>
      <c r="HG97" s="43"/>
      <c r="HH97" s="43"/>
      <c r="HI97" s="43"/>
      <c r="HJ97" s="43"/>
      <c r="HK97" s="43"/>
      <c r="HL97" s="43"/>
      <c r="HM97" s="43"/>
      <c r="HN97" s="43"/>
      <c r="HO97" s="43"/>
      <c r="HP97" s="43"/>
      <c r="HQ97" s="43"/>
      <c r="HR97" s="43"/>
      <c r="HS97" s="43"/>
      <c r="HT97" s="43"/>
    </row>
    <row r="98" spans="1:228" hidden="1" outlineLevel="1" x14ac:dyDescent="0.2">
      <c r="A98" s="9" t="s">
        <v>815</v>
      </c>
      <c r="B98" s="36">
        <v>0</v>
      </c>
      <c r="C98" s="36">
        <v>629.68796627624613</v>
      </c>
      <c r="D98" s="36">
        <v>12.886013727580462</v>
      </c>
      <c r="E98" s="36">
        <v>842.08823838976343</v>
      </c>
      <c r="F98" s="36">
        <v>199.75075840572364</v>
      </c>
      <c r="G98" s="36">
        <v>851.53119134324925</v>
      </c>
      <c r="H98" s="36">
        <v>226.34130414092181</v>
      </c>
      <c r="I98" s="36">
        <v>0</v>
      </c>
      <c r="J98" s="36">
        <v>0</v>
      </c>
      <c r="K98" s="36">
        <v>22.679916620260407</v>
      </c>
      <c r="L98" s="36">
        <v>0</v>
      </c>
      <c r="M98" s="36">
        <v>6.9494400152756395</v>
      </c>
      <c r="N98" s="36">
        <v>0</v>
      </c>
      <c r="O98" s="36">
        <v>0</v>
      </c>
      <c r="P98" s="36">
        <v>0</v>
      </c>
      <c r="Q98" s="36">
        <v>0</v>
      </c>
      <c r="R98" s="36">
        <v>0</v>
      </c>
      <c r="S98" s="36">
        <v>0</v>
      </c>
      <c r="T98" s="36">
        <v>0</v>
      </c>
      <c r="U98" s="36">
        <v>0</v>
      </c>
      <c r="V98" s="36">
        <v>0</v>
      </c>
      <c r="W98" s="36">
        <v>0</v>
      </c>
      <c r="X98" s="36">
        <v>0</v>
      </c>
      <c r="Y98" s="36">
        <v>0</v>
      </c>
      <c r="Z98" s="36">
        <v>0</v>
      </c>
      <c r="AA98" s="36">
        <v>0</v>
      </c>
      <c r="AB98" s="36">
        <v>0</v>
      </c>
      <c r="AC98" s="36">
        <v>0</v>
      </c>
      <c r="AD98" s="36">
        <v>0</v>
      </c>
      <c r="AE98" s="36">
        <v>0</v>
      </c>
      <c r="AF98" s="36">
        <v>0</v>
      </c>
      <c r="AG98" s="36">
        <v>68.980185331685902</v>
      </c>
      <c r="AH98" s="36">
        <v>0</v>
      </c>
      <c r="AI98" s="36">
        <v>118.81757224982965</v>
      </c>
      <c r="AJ98" s="36">
        <v>134.87250945171914</v>
      </c>
      <c r="AK98" s="36">
        <v>0</v>
      </c>
      <c r="AL98" s="36">
        <v>0</v>
      </c>
      <c r="AM98" s="36">
        <v>0</v>
      </c>
      <c r="AN98" s="36">
        <v>0</v>
      </c>
      <c r="AO98" s="36">
        <v>108.86468846678062</v>
      </c>
      <c r="AP98" s="36">
        <v>238.05510767435536</v>
      </c>
      <c r="AQ98" s="36">
        <v>13.178401271538089</v>
      </c>
      <c r="AR98" s="36">
        <v>0</v>
      </c>
      <c r="AS98" s="36">
        <v>0</v>
      </c>
      <c r="AT98" s="36">
        <v>0</v>
      </c>
      <c r="AU98" s="36">
        <v>0</v>
      </c>
      <c r="AV98" s="36">
        <v>0</v>
      </c>
      <c r="AW98" s="36">
        <v>0</v>
      </c>
      <c r="AX98" s="36">
        <v>0</v>
      </c>
      <c r="AY98" s="36">
        <v>0</v>
      </c>
      <c r="AZ98" s="36">
        <v>0</v>
      </c>
      <c r="BA98" s="36">
        <v>0</v>
      </c>
      <c r="BB98" s="36">
        <v>0</v>
      </c>
      <c r="BC98" s="36">
        <v>1798.0781597830455</v>
      </c>
      <c r="BD98" s="36">
        <v>45.263648737844392</v>
      </c>
      <c r="BE98" s="36">
        <v>885.39971566826011</v>
      </c>
      <c r="BF98" s="36">
        <v>946.01048177178234</v>
      </c>
      <c r="BG98" s="36">
        <v>273.19642384635881</v>
      </c>
      <c r="BH98" s="36">
        <v>179.91053818483687</v>
      </c>
      <c r="BI98" s="36">
        <v>11.504775423385734</v>
      </c>
      <c r="BJ98" s="36">
        <v>357.23262673730676</v>
      </c>
      <c r="BK98" s="36">
        <v>0</v>
      </c>
      <c r="BL98" s="36">
        <v>0</v>
      </c>
      <c r="BM98" s="36">
        <v>0</v>
      </c>
      <c r="BN98" s="36">
        <v>0</v>
      </c>
      <c r="BO98" s="36">
        <v>0</v>
      </c>
      <c r="BP98" s="36">
        <v>0</v>
      </c>
      <c r="BQ98" s="36">
        <v>0</v>
      </c>
      <c r="BR98" s="36">
        <v>0</v>
      </c>
      <c r="BS98" s="36">
        <v>0</v>
      </c>
      <c r="BT98" s="36">
        <v>0</v>
      </c>
      <c r="BU98" s="36">
        <v>0</v>
      </c>
      <c r="BV98" s="36">
        <v>0</v>
      </c>
      <c r="BW98" s="36">
        <v>0</v>
      </c>
      <c r="BX98" s="36">
        <v>0</v>
      </c>
      <c r="BY98" s="36">
        <v>0</v>
      </c>
      <c r="BZ98" s="36">
        <v>0</v>
      </c>
      <c r="CA98" s="36">
        <v>0</v>
      </c>
      <c r="CB98" s="36">
        <v>0</v>
      </c>
      <c r="CC98" s="36">
        <v>0</v>
      </c>
      <c r="CD98" s="36">
        <v>0</v>
      </c>
      <c r="CE98" s="36">
        <v>0</v>
      </c>
      <c r="CF98" s="36">
        <v>0</v>
      </c>
      <c r="CG98" s="36">
        <v>0</v>
      </c>
      <c r="CH98" s="36">
        <v>0</v>
      </c>
      <c r="CI98" s="36">
        <v>0</v>
      </c>
      <c r="CJ98" s="36">
        <v>0</v>
      </c>
      <c r="CK98" s="36">
        <v>0</v>
      </c>
      <c r="CL98" s="36">
        <v>0</v>
      </c>
      <c r="CM98" s="36">
        <v>0</v>
      </c>
      <c r="CN98" s="36">
        <v>0</v>
      </c>
      <c r="CO98" s="36">
        <v>0</v>
      </c>
      <c r="CP98" s="36">
        <v>0</v>
      </c>
      <c r="CQ98" s="36">
        <v>0</v>
      </c>
      <c r="CR98" s="36">
        <v>0</v>
      </c>
      <c r="CS98" s="36">
        <v>0</v>
      </c>
      <c r="CT98" s="36">
        <v>0</v>
      </c>
      <c r="CU98" s="36">
        <v>0</v>
      </c>
      <c r="CV98" s="36">
        <v>0</v>
      </c>
      <c r="CW98" s="36">
        <v>0</v>
      </c>
      <c r="CX98" s="36">
        <v>0</v>
      </c>
      <c r="CY98" s="36">
        <v>0</v>
      </c>
      <c r="CZ98" s="36">
        <v>0</v>
      </c>
      <c r="DA98" s="36">
        <v>0</v>
      </c>
      <c r="DB98" s="36">
        <v>0</v>
      </c>
      <c r="DC98" s="36">
        <v>0</v>
      </c>
      <c r="DD98" s="36">
        <v>0</v>
      </c>
      <c r="DE98" s="36">
        <v>0</v>
      </c>
      <c r="DF98" s="36">
        <v>0</v>
      </c>
      <c r="DG98" s="36">
        <v>0</v>
      </c>
      <c r="DH98" s="36">
        <v>0</v>
      </c>
      <c r="DI98" s="36">
        <v>0</v>
      </c>
      <c r="DJ98" s="36">
        <v>0</v>
      </c>
      <c r="DK98" s="36">
        <v>0</v>
      </c>
      <c r="DL98" s="36">
        <v>0</v>
      </c>
      <c r="DM98" s="36">
        <v>0</v>
      </c>
      <c r="DN98" s="36">
        <v>0</v>
      </c>
      <c r="DO98" s="36">
        <v>0</v>
      </c>
      <c r="DP98" s="36">
        <v>0</v>
      </c>
      <c r="DQ98" s="36">
        <v>0</v>
      </c>
      <c r="DR98" s="36">
        <v>0</v>
      </c>
      <c r="DS98" s="36">
        <v>0</v>
      </c>
      <c r="DT98" s="36">
        <v>0</v>
      </c>
      <c r="DU98" s="36">
        <v>0</v>
      </c>
      <c r="DV98" s="36">
        <v>0</v>
      </c>
      <c r="DW98" s="36">
        <v>0</v>
      </c>
      <c r="DX98" s="36">
        <v>0</v>
      </c>
      <c r="DY98" s="36">
        <v>0</v>
      </c>
      <c r="DZ98" s="36">
        <v>0</v>
      </c>
      <c r="EA98" s="36">
        <v>0</v>
      </c>
      <c r="EB98" s="36">
        <v>0</v>
      </c>
      <c r="EC98" s="36">
        <v>0</v>
      </c>
      <c r="ED98" s="36">
        <v>0</v>
      </c>
      <c r="EE98" s="36">
        <v>0</v>
      </c>
      <c r="EF98" s="36">
        <v>0</v>
      </c>
      <c r="EG98" s="36">
        <v>0</v>
      </c>
      <c r="EH98" s="36">
        <v>0</v>
      </c>
      <c r="EI98" s="36">
        <v>0</v>
      </c>
      <c r="EJ98" s="36">
        <v>0</v>
      </c>
      <c r="EK98" s="36">
        <v>0</v>
      </c>
      <c r="EL98" s="36">
        <v>0</v>
      </c>
      <c r="EM98" s="36">
        <v>0</v>
      </c>
      <c r="EN98" s="36">
        <v>0</v>
      </c>
      <c r="EO98" s="36">
        <v>0</v>
      </c>
      <c r="EP98" s="36">
        <v>0</v>
      </c>
      <c r="EQ98" s="36">
        <v>0</v>
      </c>
      <c r="ER98" s="36">
        <v>0</v>
      </c>
      <c r="ES98" s="36">
        <v>0</v>
      </c>
      <c r="ET98" s="36">
        <v>0</v>
      </c>
      <c r="EU98" s="36">
        <v>0</v>
      </c>
      <c r="EV98" s="36">
        <v>0</v>
      </c>
      <c r="EW98" s="36">
        <v>0</v>
      </c>
      <c r="EX98" s="36">
        <v>0</v>
      </c>
      <c r="EY98" s="36">
        <v>0</v>
      </c>
      <c r="EZ98" s="36">
        <v>0</v>
      </c>
      <c r="FA98" s="36">
        <v>0</v>
      </c>
      <c r="FB98" s="36">
        <v>0</v>
      </c>
      <c r="FC98" s="36">
        <v>0</v>
      </c>
      <c r="FD98" s="36">
        <v>0</v>
      </c>
      <c r="FE98" s="36">
        <v>0</v>
      </c>
      <c r="FF98" s="36">
        <v>0</v>
      </c>
      <c r="FG98" s="36">
        <v>0</v>
      </c>
      <c r="FH98" s="36">
        <v>0</v>
      </c>
      <c r="FI98" s="36">
        <v>0</v>
      </c>
      <c r="FJ98" s="36">
        <v>0</v>
      </c>
      <c r="FK98" s="36">
        <v>0</v>
      </c>
      <c r="FL98" s="36">
        <v>0</v>
      </c>
      <c r="FM98" s="36">
        <v>0</v>
      </c>
      <c r="FN98" s="36">
        <v>0</v>
      </c>
      <c r="FO98" s="36">
        <v>0</v>
      </c>
      <c r="FP98" s="36">
        <v>0</v>
      </c>
      <c r="FQ98" s="36">
        <v>0</v>
      </c>
      <c r="FR98" s="36">
        <v>0</v>
      </c>
      <c r="FS98" s="36">
        <v>0</v>
      </c>
      <c r="FT98" s="36">
        <v>0</v>
      </c>
      <c r="FU98" s="36">
        <v>0</v>
      </c>
      <c r="FV98" s="36">
        <v>0</v>
      </c>
      <c r="FW98" s="36">
        <v>0</v>
      </c>
      <c r="FX98" s="36">
        <v>0</v>
      </c>
      <c r="FY98" s="36">
        <v>0</v>
      </c>
      <c r="FZ98" s="36">
        <v>0</v>
      </c>
      <c r="GA98" s="36">
        <v>0</v>
      </c>
      <c r="GB98" s="36">
        <v>0</v>
      </c>
      <c r="GC98" s="36">
        <v>0</v>
      </c>
      <c r="GD98" s="36">
        <v>0</v>
      </c>
      <c r="GE98" s="36">
        <v>0</v>
      </c>
      <c r="GF98" s="36">
        <v>0</v>
      </c>
      <c r="GG98" s="42">
        <v>5462.1446945316256</v>
      </c>
      <c r="GH98" s="42">
        <v>7272.7743600321128</v>
      </c>
      <c r="GI98" s="42">
        <v>8558.5614086243822</v>
      </c>
      <c r="GJ98" s="42">
        <v>8571.6415160303859</v>
      </c>
      <c r="GK98" s="42">
        <v>8845.855600477702</v>
      </c>
      <c r="GL98" s="42">
        <v>11137.416137006596</v>
      </c>
      <c r="GM98" s="42">
        <v>12009.786690249357</v>
      </c>
      <c r="GN98" s="42">
        <v>14926.081596592223</v>
      </c>
      <c r="GO98" s="42">
        <v>19102.164102833594</v>
      </c>
      <c r="GP98" s="42">
        <v>4515.9950315194792</v>
      </c>
      <c r="GQ98" s="42">
        <v>3665.6256302479142</v>
      </c>
      <c r="GR98" s="42">
        <v>4563.4669251098521</v>
      </c>
      <c r="GS98" s="42">
        <v>5165.332944244281</v>
      </c>
      <c r="GT98" s="42">
        <v>6174.3175865289741</v>
      </c>
      <c r="GU98" s="36">
        <v>0</v>
      </c>
      <c r="GV98" s="36">
        <v>0</v>
      </c>
      <c r="GW98" s="36">
        <v>0</v>
      </c>
      <c r="GX98" s="36">
        <v>0</v>
      </c>
      <c r="GY98" s="36">
        <v>0</v>
      </c>
      <c r="GZ98" s="36">
        <v>0</v>
      </c>
      <c r="HA98" s="38">
        <v>-11635.417243925214</v>
      </c>
      <c r="HB98" s="36">
        <v>18264.241699953283</v>
      </c>
      <c r="HC98" s="36">
        <f t="shared" si="1"/>
        <v>134571.26834357428</v>
      </c>
      <c r="HD98" s="36">
        <f>SUM(CQ$5:CQ$213)</f>
        <v>134571.26834357428</v>
      </c>
      <c r="HE98" s="41">
        <v>0</v>
      </c>
      <c r="HG98" s="43"/>
      <c r="HH98" s="43"/>
      <c r="HI98" s="43"/>
      <c r="HJ98" s="43"/>
      <c r="HK98" s="43"/>
      <c r="HL98" s="43"/>
      <c r="HM98" s="43"/>
      <c r="HN98" s="43"/>
      <c r="HO98" s="43"/>
      <c r="HP98" s="43"/>
      <c r="HQ98" s="43"/>
      <c r="HR98" s="43"/>
      <c r="HS98" s="43"/>
      <c r="HT98" s="43"/>
    </row>
    <row r="99" spans="1:228" hidden="1" outlineLevel="1" x14ac:dyDescent="0.2">
      <c r="A99" s="9" t="s">
        <v>821</v>
      </c>
      <c r="B99" s="36">
        <v>0</v>
      </c>
      <c r="C99" s="36">
        <v>0</v>
      </c>
      <c r="D99" s="36">
        <v>0</v>
      </c>
      <c r="E99" s="36">
        <v>0</v>
      </c>
      <c r="F99" s="36">
        <v>0</v>
      </c>
      <c r="G99" s="36">
        <v>0</v>
      </c>
      <c r="H99" s="36">
        <v>0</v>
      </c>
      <c r="I99" s="36">
        <v>0</v>
      </c>
      <c r="J99" s="36">
        <v>0</v>
      </c>
      <c r="K99" s="36">
        <v>8.7292742378542112</v>
      </c>
      <c r="L99" s="36">
        <v>137.88528714645469</v>
      </c>
      <c r="M99" s="36">
        <v>258.86140192841805</v>
      </c>
      <c r="N99" s="36">
        <v>919.31383146285475</v>
      </c>
      <c r="O99" s="36">
        <v>0</v>
      </c>
      <c r="P99" s="36">
        <v>0</v>
      </c>
      <c r="Q99" s="36">
        <v>9.2606315043970069E-3</v>
      </c>
      <c r="R99" s="36">
        <v>0</v>
      </c>
      <c r="S99" s="36">
        <v>0</v>
      </c>
      <c r="T99" s="36">
        <v>0</v>
      </c>
      <c r="U99" s="36">
        <v>0</v>
      </c>
      <c r="V99" s="36">
        <v>0</v>
      </c>
      <c r="W99" s="36">
        <v>0</v>
      </c>
      <c r="X99" s="36">
        <v>0</v>
      </c>
      <c r="Y99" s="36">
        <v>0</v>
      </c>
      <c r="Z99" s="36">
        <v>0</v>
      </c>
      <c r="AA99" s="36">
        <v>0</v>
      </c>
      <c r="AB99" s="36">
        <v>0</v>
      </c>
      <c r="AC99" s="36">
        <v>0</v>
      </c>
      <c r="AD99" s="36">
        <v>0</v>
      </c>
      <c r="AE99" s="36">
        <v>2504.9044683249076</v>
      </c>
      <c r="AF99" s="36">
        <v>1.0125117384416826</v>
      </c>
      <c r="AG99" s="36">
        <v>1143.8595382082269</v>
      </c>
      <c r="AH99" s="36">
        <v>0</v>
      </c>
      <c r="AI99" s="36">
        <v>3.5556078658861017</v>
      </c>
      <c r="AJ99" s="36">
        <v>4.1095046963509043</v>
      </c>
      <c r="AK99" s="36">
        <v>0</v>
      </c>
      <c r="AL99" s="36">
        <v>0</v>
      </c>
      <c r="AM99" s="36">
        <v>0</v>
      </c>
      <c r="AN99" s="36">
        <v>0</v>
      </c>
      <c r="AO99" s="36">
        <v>0</v>
      </c>
      <c r="AP99" s="36">
        <v>0</v>
      </c>
      <c r="AQ99" s="36">
        <v>0</v>
      </c>
      <c r="AR99" s="36">
        <v>3.863025778778459</v>
      </c>
      <c r="AS99" s="36">
        <v>0</v>
      </c>
      <c r="AT99" s="36">
        <v>0</v>
      </c>
      <c r="AU99" s="36">
        <v>0</v>
      </c>
      <c r="AV99" s="36">
        <v>0</v>
      </c>
      <c r="AW99" s="36">
        <v>0</v>
      </c>
      <c r="AX99" s="36">
        <v>0</v>
      </c>
      <c r="AY99" s="36">
        <v>0</v>
      </c>
      <c r="AZ99" s="36">
        <v>0</v>
      </c>
      <c r="BA99" s="36">
        <v>0</v>
      </c>
      <c r="BB99" s="36">
        <v>0</v>
      </c>
      <c r="BC99" s="36">
        <v>35.379601782001316</v>
      </c>
      <c r="BD99" s="36">
        <v>2.5578915051648563</v>
      </c>
      <c r="BE99" s="36">
        <v>35.118409611109485</v>
      </c>
      <c r="BF99" s="36">
        <v>0</v>
      </c>
      <c r="BG99" s="36">
        <v>0</v>
      </c>
      <c r="BH99" s="36">
        <v>0</v>
      </c>
      <c r="BI99" s="36">
        <v>0</v>
      </c>
      <c r="BJ99" s="36">
        <v>2549.1918931436326</v>
      </c>
      <c r="BK99" s="36">
        <v>0</v>
      </c>
      <c r="BL99" s="36">
        <v>0</v>
      </c>
      <c r="BM99" s="36">
        <v>0</v>
      </c>
      <c r="BN99" s="36">
        <v>0</v>
      </c>
      <c r="BO99" s="36">
        <v>0</v>
      </c>
      <c r="BP99" s="36">
        <v>0</v>
      </c>
      <c r="BQ99" s="36">
        <v>0</v>
      </c>
      <c r="BR99" s="36">
        <v>0</v>
      </c>
      <c r="BS99" s="36">
        <v>0</v>
      </c>
      <c r="BT99" s="36">
        <v>0</v>
      </c>
      <c r="BU99" s="36">
        <v>0</v>
      </c>
      <c r="BV99" s="36">
        <v>0</v>
      </c>
      <c r="BW99" s="36">
        <v>0</v>
      </c>
      <c r="BX99" s="36">
        <v>0</v>
      </c>
      <c r="BY99" s="36">
        <v>0</v>
      </c>
      <c r="BZ99" s="36">
        <v>0</v>
      </c>
      <c r="CA99" s="36">
        <v>0</v>
      </c>
      <c r="CB99" s="36">
        <v>0</v>
      </c>
      <c r="CC99" s="36">
        <v>0</v>
      </c>
      <c r="CD99" s="36">
        <v>0</v>
      </c>
      <c r="CE99" s="36">
        <v>0</v>
      </c>
      <c r="CF99" s="36">
        <v>0</v>
      </c>
      <c r="CG99" s="36">
        <v>0</v>
      </c>
      <c r="CH99" s="36">
        <v>0</v>
      </c>
      <c r="CI99" s="36">
        <v>0</v>
      </c>
      <c r="CJ99" s="36">
        <v>0</v>
      </c>
      <c r="CK99" s="36">
        <v>0</v>
      </c>
      <c r="CL99" s="36">
        <v>0</v>
      </c>
      <c r="CM99" s="36">
        <v>0</v>
      </c>
      <c r="CN99" s="36">
        <v>0</v>
      </c>
      <c r="CO99" s="36">
        <v>0</v>
      </c>
      <c r="CP99" s="36">
        <v>0</v>
      </c>
      <c r="CQ99" s="36">
        <v>0</v>
      </c>
      <c r="CR99" s="36">
        <v>0</v>
      </c>
      <c r="CS99" s="36">
        <v>0</v>
      </c>
      <c r="CT99" s="36">
        <v>0</v>
      </c>
      <c r="CU99" s="36">
        <v>0</v>
      </c>
      <c r="CV99" s="36">
        <v>0</v>
      </c>
      <c r="CW99" s="36">
        <v>0</v>
      </c>
      <c r="CX99" s="36">
        <v>0</v>
      </c>
      <c r="CY99" s="36">
        <v>0</v>
      </c>
      <c r="CZ99" s="36">
        <v>0</v>
      </c>
      <c r="DA99" s="36">
        <v>0</v>
      </c>
      <c r="DB99" s="36">
        <v>0</v>
      </c>
      <c r="DC99" s="36">
        <v>0</v>
      </c>
      <c r="DD99" s="36">
        <v>0</v>
      </c>
      <c r="DE99" s="36">
        <v>0</v>
      </c>
      <c r="DF99" s="36">
        <v>0</v>
      </c>
      <c r="DG99" s="36">
        <v>0</v>
      </c>
      <c r="DH99" s="36">
        <v>0</v>
      </c>
      <c r="DI99" s="36">
        <v>0</v>
      </c>
      <c r="DJ99" s="36">
        <v>0</v>
      </c>
      <c r="DK99" s="36">
        <v>0</v>
      </c>
      <c r="DL99" s="36">
        <v>0</v>
      </c>
      <c r="DM99" s="36">
        <v>0</v>
      </c>
      <c r="DN99" s="36">
        <v>0</v>
      </c>
      <c r="DO99" s="36">
        <v>0</v>
      </c>
      <c r="DP99" s="36">
        <v>0</v>
      </c>
      <c r="DQ99" s="36">
        <v>0</v>
      </c>
      <c r="DR99" s="36">
        <v>0</v>
      </c>
      <c r="DS99" s="36">
        <v>0</v>
      </c>
      <c r="DT99" s="36">
        <v>0</v>
      </c>
      <c r="DU99" s="36">
        <v>0</v>
      </c>
      <c r="DV99" s="36">
        <v>0</v>
      </c>
      <c r="DW99" s="36">
        <v>0</v>
      </c>
      <c r="DX99" s="36">
        <v>0</v>
      </c>
      <c r="DY99" s="36">
        <v>0</v>
      </c>
      <c r="DZ99" s="36">
        <v>0</v>
      </c>
      <c r="EA99" s="36">
        <v>0</v>
      </c>
      <c r="EB99" s="36">
        <v>0</v>
      </c>
      <c r="EC99" s="36">
        <v>0</v>
      </c>
      <c r="ED99" s="36">
        <v>0</v>
      </c>
      <c r="EE99" s="36">
        <v>0</v>
      </c>
      <c r="EF99" s="36">
        <v>0</v>
      </c>
      <c r="EG99" s="36">
        <v>0</v>
      </c>
      <c r="EH99" s="36">
        <v>0</v>
      </c>
      <c r="EI99" s="36">
        <v>0</v>
      </c>
      <c r="EJ99" s="36">
        <v>0</v>
      </c>
      <c r="EK99" s="36">
        <v>0</v>
      </c>
      <c r="EL99" s="36">
        <v>0</v>
      </c>
      <c r="EM99" s="36">
        <v>0</v>
      </c>
      <c r="EN99" s="36">
        <v>0</v>
      </c>
      <c r="EO99" s="36">
        <v>0</v>
      </c>
      <c r="EP99" s="36">
        <v>0</v>
      </c>
      <c r="EQ99" s="36">
        <v>0</v>
      </c>
      <c r="ER99" s="36">
        <v>0</v>
      </c>
      <c r="ES99" s="36">
        <v>0</v>
      </c>
      <c r="ET99" s="36">
        <v>0</v>
      </c>
      <c r="EU99" s="36">
        <v>0</v>
      </c>
      <c r="EV99" s="36">
        <v>0</v>
      </c>
      <c r="EW99" s="36">
        <v>0</v>
      </c>
      <c r="EX99" s="36">
        <v>0</v>
      </c>
      <c r="EY99" s="36">
        <v>0</v>
      </c>
      <c r="EZ99" s="36">
        <v>0</v>
      </c>
      <c r="FA99" s="36">
        <v>0</v>
      </c>
      <c r="FB99" s="36">
        <v>0</v>
      </c>
      <c r="FC99" s="36">
        <v>0</v>
      </c>
      <c r="FD99" s="36">
        <v>0</v>
      </c>
      <c r="FE99" s="36">
        <v>0</v>
      </c>
      <c r="FF99" s="36">
        <v>0</v>
      </c>
      <c r="FG99" s="36">
        <v>0</v>
      </c>
      <c r="FH99" s="36">
        <v>0</v>
      </c>
      <c r="FI99" s="36">
        <v>0</v>
      </c>
      <c r="FJ99" s="36">
        <v>0</v>
      </c>
      <c r="FK99" s="36">
        <v>0</v>
      </c>
      <c r="FL99" s="36">
        <v>0</v>
      </c>
      <c r="FM99" s="36">
        <v>0</v>
      </c>
      <c r="FN99" s="36">
        <v>0</v>
      </c>
      <c r="FO99" s="36">
        <v>0</v>
      </c>
      <c r="FP99" s="36">
        <v>0</v>
      </c>
      <c r="FQ99" s="36">
        <v>0</v>
      </c>
      <c r="FR99" s="36">
        <v>0</v>
      </c>
      <c r="FS99" s="36">
        <v>0</v>
      </c>
      <c r="FT99" s="36">
        <v>0</v>
      </c>
      <c r="FU99" s="36">
        <v>0</v>
      </c>
      <c r="FV99" s="36">
        <v>0</v>
      </c>
      <c r="FW99" s="36">
        <v>0</v>
      </c>
      <c r="FX99" s="36">
        <v>0</v>
      </c>
      <c r="FY99" s="36">
        <v>0</v>
      </c>
      <c r="FZ99" s="36">
        <v>0</v>
      </c>
      <c r="GA99" s="36">
        <v>0</v>
      </c>
      <c r="GB99" s="36">
        <v>0</v>
      </c>
      <c r="GC99" s="36">
        <v>0</v>
      </c>
      <c r="GD99" s="36">
        <v>0</v>
      </c>
      <c r="GE99" s="36">
        <v>0</v>
      </c>
      <c r="GF99" s="36">
        <v>0</v>
      </c>
      <c r="GG99" s="42">
        <v>327.80701874504359</v>
      </c>
      <c r="GH99" s="42">
        <v>367.88059955712225</v>
      </c>
      <c r="GI99" s="42">
        <v>423.25056211127867</v>
      </c>
      <c r="GJ99" s="42">
        <v>354.10086985951511</v>
      </c>
      <c r="GK99" s="42">
        <v>414.64384180947781</v>
      </c>
      <c r="GL99" s="42">
        <v>493.75845933901741</v>
      </c>
      <c r="GM99" s="42">
        <v>652.84687123245851</v>
      </c>
      <c r="GN99" s="42">
        <v>634.1476204128229</v>
      </c>
      <c r="GO99" s="42">
        <v>924.17532893336318</v>
      </c>
      <c r="GP99" s="42">
        <v>232.78529202480766</v>
      </c>
      <c r="GQ99" s="42">
        <v>264.17465214398385</v>
      </c>
      <c r="GR99" s="42">
        <v>329.2311478312119</v>
      </c>
      <c r="GS99" s="42">
        <v>367.29704044884551</v>
      </c>
      <c r="GT99" s="42">
        <v>635.21056962027058</v>
      </c>
      <c r="GU99" s="36">
        <v>0</v>
      </c>
      <c r="GV99" s="36">
        <v>0</v>
      </c>
      <c r="GW99" s="36">
        <v>0</v>
      </c>
      <c r="GX99" s="36">
        <v>0</v>
      </c>
      <c r="GY99" s="36">
        <v>0</v>
      </c>
      <c r="GZ99" s="36">
        <v>0</v>
      </c>
      <c r="HA99" s="38">
        <v>60.103609769132163</v>
      </c>
      <c r="HB99" s="36">
        <v>2661.0710951780311</v>
      </c>
      <c r="HC99" s="36">
        <f t="shared" si="1"/>
        <v>16750.836087077965</v>
      </c>
      <c r="HD99" s="36">
        <f>SUM(CR$5:CR$213)</f>
        <v>16750.836087077965</v>
      </c>
      <c r="HE99" s="41">
        <v>0</v>
      </c>
      <c r="HG99" s="43"/>
      <c r="HH99" s="43"/>
      <c r="HI99" s="43"/>
      <c r="HJ99" s="43"/>
      <c r="HK99" s="43"/>
      <c r="HL99" s="43"/>
      <c r="HM99" s="43"/>
      <c r="HN99" s="43"/>
      <c r="HO99" s="43"/>
      <c r="HP99" s="43"/>
      <c r="HQ99" s="43"/>
      <c r="HR99" s="43"/>
      <c r="HS99" s="43"/>
      <c r="HT99" s="43"/>
    </row>
    <row r="100" spans="1:228" hidden="1" outlineLevel="1" x14ac:dyDescent="0.2">
      <c r="A100" s="9" t="s">
        <v>827</v>
      </c>
      <c r="B100" s="36">
        <v>0</v>
      </c>
      <c r="C100" s="36">
        <v>0</v>
      </c>
      <c r="D100" s="36">
        <v>0</v>
      </c>
      <c r="E100" s="36">
        <v>0</v>
      </c>
      <c r="F100" s="36">
        <v>0</v>
      </c>
      <c r="G100" s="36">
        <v>0</v>
      </c>
      <c r="H100" s="36">
        <v>0</v>
      </c>
      <c r="I100" s="36">
        <v>0</v>
      </c>
      <c r="J100" s="36">
        <v>0</v>
      </c>
      <c r="K100" s="36">
        <v>0</v>
      </c>
      <c r="L100" s="36">
        <v>0</v>
      </c>
      <c r="M100" s="36">
        <v>0</v>
      </c>
      <c r="N100" s="36">
        <v>390.14591405220301</v>
      </c>
      <c r="O100" s="36">
        <v>0</v>
      </c>
      <c r="P100" s="36">
        <v>0</v>
      </c>
      <c r="Q100" s="36">
        <v>0</v>
      </c>
      <c r="R100" s="36">
        <v>0</v>
      </c>
      <c r="S100" s="36">
        <v>0</v>
      </c>
      <c r="T100" s="36">
        <v>0</v>
      </c>
      <c r="U100" s="36">
        <v>0</v>
      </c>
      <c r="V100" s="36">
        <v>0</v>
      </c>
      <c r="W100" s="36">
        <v>0</v>
      </c>
      <c r="X100" s="36">
        <v>0</v>
      </c>
      <c r="Y100" s="36">
        <v>0</v>
      </c>
      <c r="Z100" s="36">
        <v>0</v>
      </c>
      <c r="AA100" s="36">
        <v>0</v>
      </c>
      <c r="AB100" s="36">
        <v>0</v>
      </c>
      <c r="AC100" s="36">
        <v>0</v>
      </c>
      <c r="AD100" s="36">
        <v>0</v>
      </c>
      <c r="AE100" s="36">
        <v>0</v>
      </c>
      <c r="AF100" s="36">
        <v>0</v>
      </c>
      <c r="AG100" s="36">
        <v>0</v>
      </c>
      <c r="AH100" s="36">
        <v>0</v>
      </c>
      <c r="AI100" s="36">
        <v>3.5834270630801717</v>
      </c>
      <c r="AJ100" s="36">
        <v>4.0178453791602902</v>
      </c>
      <c r="AK100" s="36">
        <v>0</v>
      </c>
      <c r="AL100" s="36">
        <v>0</v>
      </c>
      <c r="AM100" s="36">
        <v>0</v>
      </c>
      <c r="AN100" s="36">
        <v>0</v>
      </c>
      <c r="AO100" s="36">
        <v>37.426847340766486</v>
      </c>
      <c r="AP100" s="36">
        <v>82.222388179942172</v>
      </c>
      <c r="AQ100" s="36">
        <v>4.5812718194249129</v>
      </c>
      <c r="AR100" s="36">
        <v>5.2523187424458759E-2</v>
      </c>
      <c r="AS100" s="36">
        <v>0</v>
      </c>
      <c r="AT100" s="36">
        <v>90.350912045551667</v>
      </c>
      <c r="AU100" s="36">
        <v>0</v>
      </c>
      <c r="AV100" s="36">
        <v>0</v>
      </c>
      <c r="AW100" s="36">
        <v>0</v>
      </c>
      <c r="AX100" s="36">
        <v>0</v>
      </c>
      <c r="AY100" s="36">
        <v>0</v>
      </c>
      <c r="AZ100" s="36">
        <v>0</v>
      </c>
      <c r="BA100" s="36">
        <v>0</v>
      </c>
      <c r="BB100" s="36">
        <v>0</v>
      </c>
      <c r="BC100" s="36">
        <v>0</v>
      </c>
      <c r="BD100" s="36">
        <v>0</v>
      </c>
      <c r="BE100" s="36">
        <v>0</v>
      </c>
      <c r="BF100" s="36">
        <v>370.14334737279222</v>
      </c>
      <c r="BG100" s="36">
        <v>11.643538242233662</v>
      </c>
      <c r="BH100" s="36">
        <v>27.770947941998529</v>
      </c>
      <c r="BI100" s="36">
        <v>0</v>
      </c>
      <c r="BJ100" s="36">
        <v>313.61484588280103</v>
      </c>
      <c r="BK100" s="36">
        <v>0</v>
      </c>
      <c r="BL100" s="36">
        <v>0</v>
      </c>
      <c r="BM100" s="36">
        <v>0</v>
      </c>
      <c r="BN100" s="36">
        <v>0</v>
      </c>
      <c r="BO100" s="36">
        <v>0</v>
      </c>
      <c r="BP100" s="36">
        <v>0</v>
      </c>
      <c r="BQ100" s="36">
        <v>0</v>
      </c>
      <c r="BR100" s="36">
        <v>0</v>
      </c>
      <c r="BS100" s="36">
        <v>0</v>
      </c>
      <c r="BT100" s="36">
        <v>0</v>
      </c>
      <c r="BU100" s="36">
        <v>0</v>
      </c>
      <c r="BV100" s="36">
        <v>0</v>
      </c>
      <c r="BW100" s="36">
        <v>0</v>
      </c>
      <c r="BX100" s="36">
        <v>0</v>
      </c>
      <c r="BY100" s="36">
        <v>0</v>
      </c>
      <c r="BZ100" s="36">
        <v>0</v>
      </c>
      <c r="CA100" s="36">
        <v>0</v>
      </c>
      <c r="CB100" s="36">
        <v>0</v>
      </c>
      <c r="CC100" s="36">
        <v>0</v>
      </c>
      <c r="CD100" s="36">
        <v>0</v>
      </c>
      <c r="CE100" s="36">
        <v>0</v>
      </c>
      <c r="CF100" s="36">
        <v>0</v>
      </c>
      <c r="CG100" s="36">
        <v>0</v>
      </c>
      <c r="CH100" s="36">
        <v>0</v>
      </c>
      <c r="CI100" s="36">
        <v>0</v>
      </c>
      <c r="CJ100" s="36">
        <v>0</v>
      </c>
      <c r="CK100" s="36">
        <v>0</v>
      </c>
      <c r="CL100" s="36">
        <v>0</v>
      </c>
      <c r="CM100" s="36">
        <v>0</v>
      </c>
      <c r="CN100" s="36">
        <v>0</v>
      </c>
      <c r="CO100" s="36">
        <v>0</v>
      </c>
      <c r="CP100" s="36">
        <v>0</v>
      </c>
      <c r="CQ100" s="36">
        <v>0</v>
      </c>
      <c r="CR100" s="36">
        <v>0</v>
      </c>
      <c r="CS100" s="36">
        <v>0</v>
      </c>
      <c r="CT100" s="36">
        <v>0</v>
      </c>
      <c r="CU100" s="36">
        <v>0</v>
      </c>
      <c r="CV100" s="36">
        <v>0</v>
      </c>
      <c r="CW100" s="36">
        <v>0</v>
      </c>
      <c r="CX100" s="36">
        <v>0</v>
      </c>
      <c r="CY100" s="36">
        <v>0</v>
      </c>
      <c r="CZ100" s="36">
        <v>0</v>
      </c>
      <c r="DA100" s="36">
        <v>0</v>
      </c>
      <c r="DB100" s="36">
        <v>0</v>
      </c>
      <c r="DC100" s="36">
        <v>0</v>
      </c>
      <c r="DD100" s="36">
        <v>0</v>
      </c>
      <c r="DE100" s="36">
        <v>0</v>
      </c>
      <c r="DF100" s="36">
        <v>0</v>
      </c>
      <c r="DG100" s="36">
        <v>0</v>
      </c>
      <c r="DH100" s="36">
        <v>0</v>
      </c>
      <c r="DI100" s="36">
        <v>0</v>
      </c>
      <c r="DJ100" s="36">
        <v>0</v>
      </c>
      <c r="DK100" s="36">
        <v>0</v>
      </c>
      <c r="DL100" s="36">
        <v>0</v>
      </c>
      <c r="DM100" s="36">
        <v>0</v>
      </c>
      <c r="DN100" s="36">
        <v>0</v>
      </c>
      <c r="DO100" s="36">
        <v>0</v>
      </c>
      <c r="DP100" s="36">
        <v>0</v>
      </c>
      <c r="DQ100" s="36">
        <v>0</v>
      </c>
      <c r="DR100" s="36">
        <v>0</v>
      </c>
      <c r="DS100" s="36">
        <v>0</v>
      </c>
      <c r="DT100" s="36">
        <v>0</v>
      </c>
      <c r="DU100" s="36">
        <v>0</v>
      </c>
      <c r="DV100" s="36">
        <v>0</v>
      </c>
      <c r="DW100" s="36">
        <v>0</v>
      </c>
      <c r="DX100" s="36">
        <v>0</v>
      </c>
      <c r="DY100" s="36">
        <v>0</v>
      </c>
      <c r="DZ100" s="36">
        <v>0</v>
      </c>
      <c r="EA100" s="36">
        <v>0</v>
      </c>
      <c r="EB100" s="36">
        <v>0</v>
      </c>
      <c r="EC100" s="36">
        <v>0</v>
      </c>
      <c r="ED100" s="36">
        <v>0</v>
      </c>
      <c r="EE100" s="36">
        <v>0</v>
      </c>
      <c r="EF100" s="36">
        <v>0</v>
      </c>
      <c r="EG100" s="36">
        <v>0</v>
      </c>
      <c r="EH100" s="36">
        <v>0</v>
      </c>
      <c r="EI100" s="36">
        <v>0</v>
      </c>
      <c r="EJ100" s="36">
        <v>0</v>
      </c>
      <c r="EK100" s="36">
        <v>0</v>
      </c>
      <c r="EL100" s="36">
        <v>0</v>
      </c>
      <c r="EM100" s="36">
        <v>0</v>
      </c>
      <c r="EN100" s="36">
        <v>0</v>
      </c>
      <c r="EO100" s="36">
        <v>0</v>
      </c>
      <c r="EP100" s="36">
        <v>0</v>
      </c>
      <c r="EQ100" s="36">
        <v>0</v>
      </c>
      <c r="ER100" s="36">
        <v>0</v>
      </c>
      <c r="ES100" s="36">
        <v>0</v>
      </c>
      <c r="ET100" s="36">
        <v>0</v>
      </c>
      <c r="EU100" s="36">
        <v>0</v>
      </c>
      <c r="EV100" s="36">
        <v>0</v>
      </c>
      <c r="EW100" s="36">
        <v>0</v>
      </c>
      <c r="EX100" s="36">
        <v>0</v>
      </c>
      <c r="EY100" s="36">
        <v>0</v>
      </c>
      <c r="EZ100" s="36">
        <v>0</v>
      </c>
      <c r="FA100" s="36">
        <v>0</v>
      </c>
      <c r="FB100" s="36">
        <v>0</v>
      </c>
      <c r="FC100" s="36">
        <v>0</v>
      </c>
      <c r="FD100" s="36">
        <v>0</v>
      </c>
      <c r="FE100" s="36">
        <v>0</v>
      </c>
      <c r="FF100" s="36">
        <v>0</v>
      </c>
      <c r="FG100" s="36">
        <v>0</v>
      </c>
      <c r="FH100" s="36">
        <v>0</v>
      </c>
      <c r="FI100" s="36">
        <v>0</v>
      </c>
      <c r="FJ100" s="36">
        <v>0</v>
      </c>
      <c r="FK100" s="36">
        <v>0</v>
      </c>
      <c r="FL100" s="36">
        <v>0</v>
      </c>
      <c r="FM100" s="36">
        <v>0</v>
      </c>
      <c r="FN100" s="36">
        <v>0</v>
      </c>
      <c r="FO100" s="36">
        <v>0</v>
      </c>
      <c r="FP100" s="36">
        <v>0</v>
      </c>
      <c r="FQ100" s="36">
        <v>0</v>
      </c>
      <c r="FR100" s="36">
        <v>0</v>
      </c>
      <c r="FS100" s="36">
        <v>0</v>
      </c>
      <c r="FT100" s="36">
        <v>0</v>
      </c>
      <c r="FU100" s="36">
        <v>0</v>
      </c>
      <c r="FV100" s="36">
        <v>0</v>
      </c>
      <c r="FW100" s="36">
        <v>0</v>
      </c>
      <c r="FX100" s="36">
        <v>0</v>
      </c>
      <c r="FY100" s="36">
        <v>0</v>
      </c>
      <c r="FZ100" s="36">
        <v>0</v>
      </c>
      <c r="GA100" s="36">
        <v>0</v>
      </c>
      <c r="GB100" s="36">
        <v>0</v>
      </c>
      <c r="GC100" s="36">
        <v>0</v>
      </c>
      <c r="GD100" s="36">
        <v>0</v>
      </c>
      <c r="GE100" s="36">
        <v>0</v>
      </c>
      <c r="GF100" s="36">
        <v>0</v>
      </c>
      <c r="GG100" s="42">
        <v>1910.2400480167805</v>
      </c>
      <c r="GH100" s="42">
        <v>2559.7153463211675</v>
      </c>
      <c r="GI100" s="42">
        <v>3098.304145054462</v>
      </c>
      <c r="GJ100" s="42">
        <v>3100.6018902401975</v>
      </c>
      <c r="GK100" s="42">
        <v>3284.7310291810768</v>
      </c>
      <c r="GL100" s="42">
        <v>3766.5749629840507</v>
      </c>
      <c r="GM100" s="42">
        <v>4292.620772809456</v>
      </c>
      <c r="GN100" s="42">
        <v>5187.9532611604091</v>
      </c>
      <c r="GO100" s="42">
        <v>6487.3987384348193</v>
      </c>
      <c r="GP100" s="42">
        <v>1475.8413930734041</v>
      </c>
      <c r="GQ100" s="42">
        <v>1222.2692117176246</v>
      </c>
      <c r="GR100" s="42">
        <v>1613.8544249547228</v>
      </c>
      <c r="GS100" s="42">
        <v>1854.0759788389475</v>
      </c>
      <c r="GT100" s="42">
        <v>2102.7151355723909</v>
      </c>
      <c r="GU100" s="36">
        <v>0</v>
      </c>
      <c r="GV100" s="36">
        <v>0</v>
      </c>
      <c r="GW100" s="36">
        <v>0</v>
      </c>
      <c r="GX100" s="36">
        <v>0</v>
      </c>
      <c r="GY100" s="36">
        <v>0</v>
      </c>
      <c r="GZ100" s="36">
        <v>0</v>
      </c>
      <c r="HA100" s="38">
        <v>-5129.4306542165723</v>
      </c>
      <c r="HB100" s="36">
        <v>5144.7484807456922</v>
      </c>
      <c r="HC100" s="36">
        <f t="shared" si="1"/>
        <v>43307.76797339601</v>
      </c>
      <c r="HD100" s="36">
        <f>SUM(CS$5:CS$213)</f>
        <v>43307.76797339601</v>
      </c>
      <c r="HE100" s="41">
        <v>0</v>
      </c>
      <c r="HG100" s="43"/>
      <c r="HH100" s="43"/>
      <c r="HI100" s="43"/>
      <c r="HJ100" s="43"/>
      <c r="HK100" s="43"/>
      <c r="HL100" s="43"/>
      <c r="HM100" s="43"/>
      <c r="HN100" s="43"/>
      <c r="HO100" s="43"/>
      <c r="HP100" s="43"/>
      <c r="HQ100" s="43"/>
      <c r="HR100" s="43"/>
      <c r="HS100" s="43"/>
      <c r="HT100" s="43"/>
    </row>
    <row r="101" spans="1:228" hidden="1" outlineLevel="1" x14ac:dyDescent="0.2">
      <c r="A101" s="9" t="s">
        <v>833</v>
      </c>
      <c r="B101" s="36">
        <v>6312.1937481182213</v>
      </c>
      <c r="C101" s="36">
        <v>45.567264587575593</v>
      </c>
      <c r="D101" s="36">
        <v>28.923087538503751</v>
      </c>
      <c r="E101" s="36">
        <v>618.59932261648737</v>
      </c>
      <c r="F101" s="36">
        <v>976.33905200477966</v>
      </c>
      <c r="G101" s="36">
        <v>2968.2430469497622</v>
      </c>
      <c r="H101" s="36">
        <v>117.35850652764998</v>
      </c>
      <c r="I101" s="36">
        <v>535.15138055240902</v>
      </c>
      <c r="J101" s="36">
        <v>174.23787694199439</v>
      </c>
      <c r="K101" s="36">
        <v>34.553162756612394</v>
      </c>
      <c r="L101" s="36">
        <v>2.9541197985207348</v>
      </c>
      <c r="M101" s="36">
        <v>2.4349973338084721</v>
      </c>
      <c r="N101" s="36">
        <v>30.332589872943949</v>
      </c>
      <c r="O101" s="36">
        <v>5253.1484429789762</v>
      </c>
      <c r="P101" s="36">
        <v>197.03009554306229</v>
      </c>
      <c r="Q101" s="36">
        <v>52.77820936547873</v>
      </c>
      <c r="R101" s="36">
        <v>8.6738942580577234</v>
      </c>
      <c r="S101" s="36">
        <v>52.021551965165727</v>
      </c>
      <c r="T101" s="36">
        <v>287.46633599821121</v>
      </c>
      <c r="U101" s="36">
        <v>5.5676585562483805</v>
      </c>
      <c r="V101" s="36">
        <v>17.090811482657905</v>
      </c>
      <c r="W101" s="36">
        <v>177.98421269885415</v>
      </c>
      <c r="X101" s="36">
        <v>288.98280723003393</v>
      </c>
      <c r="Y101" s="36">
        <v>30.589108330880343</v>
      </c>
      <c r="Z101" s="36">
        <v>197.85065605932715</v>
      </c>
      <c r="AA101" s="36">
        <v>54.639748824324869</v>
      </c>
      <c r="AB101" s="36">
        <v>37.750963842000942</v>
      </c>
      <c r="AC101" s="36">
        <v>0.48656575426765208</v>
      </c>
      <c r="AD101" s="36">
        <v>4.6521846909705564</v>
      </c>
      <c r="AE101" s="36">
        <v>163.5351811106984</v>
      </c>
      <c r="AF101" s="36">
        <v>1.663483116109411</v>
      </c>
      <c r="AG101" s="36">
        <v>1505.1363295761926</v>
      </c>
      <c r="AH101" s="36">
        <v>168.30314833826887</v>
      </c>
      <c r="AI101" s="36">
        <v>1.1303626752370457</v>
      </c>
      <c r="AJ101" s="36">
        <v>1.5754103387367908</v>
      </c>
      <c r="AK101" s="36">
        <v>8899.3844463645473</v>
      </c>
      <c r="AL101" s="36">
        <v>60.925354749737174</v>
      </c>
      <c r="AM101" s="36">
        <v>140.46016938474614</v>
      </c>
      <c r="AN101" s="36">
        <v>12.382476769362126</v>
      </c>
      <c r="AO101" s="36">
        <v>31.786348091891529</v>
      </c>
      <c r="AP101" s="36">
        <v>25.542227744539645</v>
      </c>
      <c r="AQ101" s="36">
        <v>5.0251631290364709E-2</v>
      </c>
      <c r="AR101" s="36">
        <v>0</v>
      </c>
      <c r="AS101" s="36">
        <v>624.03273183048418</v>
      </c>
      <c r="AT101" s="36">
        <v>6.0425083667238368</v>
      </c>
      <c r="AU101" s="36">
        <v>0</v>
      </c>
      <c r="AV101" s="36">
        <v>0</v>
      </c>
      <c r="AW101" s="36">
        <v>0</v>
      </c>
      <c r="AX101" s="36">
        <v>1030.1740337534893</v>
      </c>
      <c r="AY101" s="36">
        <v>0.23559258044775006</v>
      </c>
      <c r="AZ101" s="36">
        <v>7.5356045781531034</v>
      </c>
      <c r="BA101" s="36">
        <v>0.12815347898758683</v>
      </c>
      <c r="BB101" s="36">
        <v>0.64474528084813088</v>
      </c>
      <c r="BC101" s="36">
        <v>174.33157030672965</v>
      </c>
      <c r="BD101" s="36">
        <v>4.4488015639873524</v>
      </c>
      <c r="BE101" s="36">
        <v>20.076238644911715</v>
      </c>
      <c r="BF101" s="36">
        <v>3.2595323122133193E-3</v>
      </c>
      <c r="BG101" s="36">
        <v>4.439580472310363E-2</v>
      </c>
      <c r="BH101" s="36">
        <v>0.41210158474967573</v>
      </c>
      <c r="BI101" s="36">
        <v>0.42038107303802325</v>
      </c>
      <c r="BJ101" s="36">
        <v>5132.9536616254427</v>
      </c>
      <c r="BK101" s="36">
        <v>0</v>
      </c>
      <c r="BL101" s="36">
        <v>0</v>
      </c>
      <c r="BM101" s="36">
        <v>0</v>
      </c>
      <c r="BN101" s="36">
        <v>0</v>
      </c>
      <c r="BO101" s="36">
        <v>0</v>
      </c>
      <c r="BP101" s="36">
        <v>0</v>
      </c>
      <c r="BQ101" s="36">
        <v>0</v>
      </c>
      <c r="BR101" s="36">
        <v>0</v>
      </c>
      <c r="BS101" s="36">
        <v>0</v>
      </c>
      <c r="BT101" s="36">
        <v>0</v>
      </c>
      <c r="BU101" s="36">
        <v>0</v>
      </c>
      <c r="BV101" s="36">
        <v>0</v>
      </c>
      <c r="BW101" s="36">
        <v>0</v>
      </c>
      <c r="BX101" s="36">
        <v>0</v>
      </c>
      <c r="BY101" s="36">
        <v>0</v>
      </c>
      <c r="BZ101" s="36">
        <v>0</v>
      </c>
      <c r="CA101" s="36">
        <v>0</v>
      </c>
      <c r="CB101" s="36">
        <v>0</v>
      </c>
      <c r="CC101" s="36">
        <v>0</v>
      </c>
      <c r="CD101" s="36">
        <v>0</v>
      </c>
      <c r="CE101" s="36">
        <v>0</v>
      </c>
      <c r="CF101" s="36">
        <v>0</v>
      </c>
      <c r="CG101" s="36">
        <v>0</v>
      </c>
      <c r="CH101" s="36">
        <v>0</v>
      </c>
      <c r="CI101" s="36">
        <v>0</v>
      </c>
      <c r="CJ101" s="36">
        <v>0</v>
      </c>
      <c r="CK101" s="36">
        <v>0</v>
      </c>
      <c r="CL101" s="36">
        <v>0</v>
      </c>
      <c r="CM101" s="36">
        <v>0</v>
      </c>
      <c r="CN101" s="36">
        <v>0</v>
      </c>
      <c r="CO101" s="36">
        <v>0</v>
      </c>
      <c r="CP101" s="36">
        <v>0</v>
      </c>
      <c r="CQ101" s="36">
        <v>0</v>
      </c>
      <c r="CR101" s="36">
        <v>0</v>
      </c>
      <c r="CS101" s="36">
        <v>0</v>
      </c>
      <c r="CT101" s="36">
        <v>0</v>
      </c>
      <c r="CU101" s="36">
        <v>0</v>
      </c>
      <c r="CV101" s="36">
        <v>0</v>
      </c>
      <c r="CW101" s="36">
        <v>0</v>
      </c>
      <c r="CX101" s="36">
        <v>0</v>
      </c>
      <c r="CY101" s="36">
        <v>0</v>
      </c>
      <c r="CZ101" s="36">
        <v>0</v>
      </c>
      <c r="DA101" s="36">
        <v>0</v>
      </c>
      <c r="DB101" s="36">
        <v>0</v>
      </c>
      <c r="DC101" s="36">
        <v>0</v>
      </c>
      <c r="DD101" s="36">
        <v>0</v>
      </c>
      <c r="DE101" s="36">
        <v>0</v>
      </c>
      <c r="DF101" s="36">
        <v>0</v>
      </c>
      <c r="DG101" s="36">
        <v>0</v>
      </c>
      <c r="DH101" s="36">
        <v>0</v>
      </c>
      <c r="DI101" s="36">
        <v>0</v>
      </c>
      <c r="DJ101" s="36">
        <v>0</v>
      </c>
      <c r="DK101" s="36">
        <v>0</v>
      </c>
      <c r="DL101" s="36">
        <v>0</v>
      </c>
      <c r="DM101" s="36">
        <v>0</v>
      </c>
      <c r="DN101" s="36">
        <v>0</v>
      </c>
      <c r="DO101" s="36">
        <v>0</v>
      </c>
      <c r="DP101" s="36">
        <v>0</v>
      </c>
      <c r="DQ101" s="36">
        <v>0</v>
      </c>
      <c r="DR101" s="36">
        <v>0</v>
      </c>
      <c r="DS101" s="36">
        <v>0</v>
      </c>
      <c r="DT101" s="36">
        <v>0</v>
      </c>
      <c r="DU101" s="36">
        <v>0</v>
      </c>
      <c r="DV101" s="36">
        <v>0</v>
      </c>
      <c r="DW101" s="36">
        <v>0</v>
      </c>
      <c r="DX101" s="36">
        <v>0</v>
      </c>
      <c r="DY101" s="36">
        <v>0</v>
      </c>
      <c r="DZ101" s="36">
        <v>0</v>
      </c>
      <c r="EA101" s="36">
        <v>0</v>
      </c>
      <c r="EB101" s="36">
        <v>0</v>
      </c>
      <c r="EC101" s="36">
        <v>0</v>
      </c>
      <c r="ED101" s="36">
        <v>0</v>
      </c>
      <c r="EE101" s="36">
        <v>0</v>
      </c>
      <c r="EF101" s="36">
        <v>0</v>
      </c>
      <c r="EG101" s="36">
        <v>0</v>
      </c>
      <c r="EH101" s="36">
        <v>0</v>
      </c>
      <c r="EI101" s="36">
        <v>0</v>
      </c>
      <c r="EJ101" s="36">
        <v>0</v>
      </c>
      <c r="EK101" s="36">
        <v>0</v>
      </c>
      <c r="EL101" s="36">
        <v>0</v>
      </c>
      <c r="EM101" s="36">
        <v>0</v>
      </c>
      <c r="EN101" s="36">
        <v>0</v>
      </c>
      <c r="EO101" s="36">
        <v>0</v>
      </c>
      <c r="EP101" s="36">
        <v>0</v>
      </c>
      <c r="EQ101" s="36">
        <v>0</v>
      </c>
      <c r="ER101" s="36">
        <v>0</v>
      </c>
      <c r="ES101" s="36">
        <v>0</v>
      </c>
      <c r="ET101" s="36">
        <v>0</v>
      </c>
      <c r="EU101" s="36">
        <v>0</v>
      </c>
      <c r="EV101" s="36">
        <v>0</v>
      </c>
      <c r="EW101" s="36">
        <v>0</v>
      </c>
      <c r="EX101" s="36">
        <v>0</v>
      </c>
      <c r="EY101" s="36">
        <v>0</v>
      </c>
      <c r="EZ101" s="36">
        <v>0</v>
      </c>
      <c r="FA101" s="36">
        <v>0</v>
      </c>
      <c r="FB101" s="36">
        <v>0</v>
      </c>
      <c r="FC101" s="36">
        <v>0</v>
      </c>
      <c r="FD101" s="36">
        <v>0</v>
      </c>
      <c r="FE101" s="36">
        <v>0</v>
      </c>
      <c r="FF101" s="36">
        <v>0</v>
      </c>
      <c r="FG101" s="36">
        <v>0</v>
      </c>
      <c r="FH101" s="36">
        <v>0</v>
      </c>
      <c r="FI101" s="36">
        <v>0</v>
      </c>
      <c r="FJ101" s="36">
        <v>0</v>
      </c>
      <c r="FK101" s="36">
        <v>0</v>
      </c>
      <c r="FL101" s="36">
        <v>0</v>
      </c>
      <c r="FM101" s="36">
        <v>0</v>
      </c>
      <c r="FN101" s="36">
        <v>0</v>
      </c>
      <c r="FO101" s="36">
        <v>0</v>
      </c>
      <c r="FP101" s="36">
        <v>0</v>
      </c>
      <c r="FQ101" s="36">
        <v>0</v>
      </c>
      <c r="FR101" s="36">
        <v>0</v>
      </c>
      <c r="FS101" s="36">
        <v>0</v>
      </c>
      <c r="FT101" s="36">
        <v>0</v>
      </c>
      <c r="FU101" s="36">
        <v>0</v>
      </c>
      <c r="FV101" s="36">
        <v>0</v>
      </c>
      <c r="FW101" s="36">
        <v>0</v>
      </c>
      <c r="FX101" s="36">
        <v>0</v>
      </c>
      <c r="FY101" s="36">
        <v>0</v>
      </c>
      <c r="FZ101" s="36">
        <v>0</v>
      </c>
      <c r="GA101" s="36">
        <v>0</v>
      </c>
      <c r="GB101" s="36">
        <v>0</v>
      </c>
      <c r="GC101" s="36">
        <v>0</v>
      </c>
      <c r="GD101" s="36">
        <v>0</v>
      </c>
      <c r="GE101" s="36">
        <v>0</v>
      </c>
      <c r="GF101" s="36">
        <v>0</v>
      </c>
      <c r="GG101" s="42">
        <v>113.40471428797755</v>
      </c>
      <c r="GH101" s="42">
        <v>151.40479515046093</v>
      </c>
      <c r="GI101" s="42">
        <v>189.27208036142378</v>
      </c>
      <c r="GJ101" s="42">
        <v>206.34855962076674</v>
      </c>
      <c r="GK101" s="42">
        <v>274.05638554600887</v>
      </c>
      <c r="GL101" s="42">
        <v>247.63726128165573</v>
      </c>
      <c r="GM101" s="42">
        <v>248.12172379439988</v>
      </c>
      <c r="GN101" s="42">
        <v>382.39242921297745</v>
      </c>
      <c r="GO101" s="42">
        <v>604.88010589320868</v>
      </c>
      <c r="GP101" s="42">
        <v>206.34479705877138</v>
      </c>
      <c r="GQ101" s="42">
        <v>159.73328733136282</v>
      </c>
      <c r="GR101" s="42">
        <v>178.15021882313448</v>
      </c>
      <c r="GS101" s="42">
        <v>303.3978152417975</v>
      </c>
      <c r="GT101" s="42">
        <v>318.8201067891207</v>
      </c>
      <c r="GU101" s="36">
        <v>0</v>
      </c>
      <c r="GV101" s="36">
        <v>0</v>
      </c>
      <c r="GW101" s="36">
        <v>0</v>
      </c>
      <c r="GX101" s="36">
        <v>0</v>
      </c>
      <c r="GY101" s="36">
        <v>0</v>
      </c>
      <c r="GZ101" s="36">
        <v>0</v>
      </c>
      <c r="HA101" s="38">
        <v>133.29889680463384</v>
      </c>
      <c r="HB101" s="36">
        <v>6253.9595513690965</v>
      </c>
      <c r="HC101" s="36">
        <f t="shared" si="1"/>
        <v>46498.183101640963</v>
      </c>
      <c r="HD101" s="36">
        <f>SUM(CT$5:CT$213)</f>
        <v>46498.183101640963</v>
      </c>
      <c r="HE101" s="41">
        <v>0</v>
      </c>
      <c r="HG101" s="43"/>
      <c r="HH101" s="43"/>
      <c r="HI101" s="43"/>
      <c r="HJ101" s="43"/>
      <c r="HK101" s="43"/>
      <c r="HL101" s="43"/>
      <c r="HM101" s="43"/>
      <c r="HN101" s="43"/>
      <c r="HO101" s="43"/>
      <c r="HP101" s="43"/>
      <c r="HQ101" s="43"/>
      <c r="HR101" s="43"/>
      <c r="HS101" s="43"/>
      <c r="HT101" s="43"/>
    </row>
    <row r="102" spans="1:228" hidden="1" outlineLevel="1" x14ac:dyDescent="0.2">
      <c r="A102" s="9" t="s">
        <v>839</v>
      </c>
      <c r="B102" s="36">
        <v>1588.9585234980677</v>
      </c>
      <c r="C102" s="36">
        <v>140.21605834409468</v>
      </c>
      <c r="D102" s="36">
        <v>118.98312168595922</v>
      </c>
      <c r="E102" s="36">
        <v>13.267086136287643</v>
      </c>
      <c r="F102" s="36">
        <v>6.3466322284592103</v>
      </c>
      <c r="G102" s="36">
        <v>114.57831960026786</v>
      </c>
      <c r="H102" s="36">
        <v>199.36084388604826</v>
      </c>
      <c r="I102" s="36">
        <v>5873.8513037539906</v>
      </c>
      <c r="J102" s="36">
        <v>1142.476968606554</v>
      </c>
      <c r="K102" s="36">
        <v>177.82412991422103</v>
      </c>
      <c r="L102" s="36">
        <v>125.22505877350264</v>
      </c>
      <c r="M102" s="36">
        <v>37.415432974796985</v>
      </c>
      <c r="N102" s="36">
        <v>42.381302086989344</v>
      </c>
      <c r="O102" s="36">
        <v>487.91679604945693</v>
      </c>
      <c r="P102" s="36">
        <v>31362.770194835353</v>
      </c>
      <c r="Q102" s="36">
        <v>24992.470854094849</v>
      </c>
      <c r="R102" s="36">
        <v>107.48768907922104</v>
      </c>
      <c r="S102" s="36">
        <v>116.87395011848261</v>
      </c>
      <c r="T102" s="36">
        <v>2342.7304655327848</v>
      </c>
      <c r="U102" s="36">
        <v>17.779899993144976</v>
      </c>
      <c r="V102" s="36">
        <v>2463.2877765102353</v>
      </c>
      <c r="W102" s="36">
        <v>110.74186944410209</v>
      </c>
      <c r="X102" s="36">
        <v>401.31208648301669</v>
      </c>
      <c r="Y102" s="36">
        <v>41.218942186468574</v>
      </c>
      <c r="Z102" s="36">
        <v>158.16182030417986</v>
      </c>
      <c r="AA102" s="36">
        <v>883.79151165900225</v>
      </c>
      <c r="AB102" s="36">
        <v>199.34451772288637</v>
      </c>
      <c r="AC102" s="36">
        <v>27.27233474134945</v>
      </c>
      <c r="AD102" s="36">
        <v>105.31878374273933</v>
      </c>
      <c r="AE102" s="36">
        <v>521.05380345742367</v>
      </c>
      <c r="AF102" s="36">
        <v>40.45225480832034</v>
      </c>
      <c r="AG102" s="36">
        <v>93.7888524996618</v>
      </c>
      <c r="AH102" s="36">
        <v>155.06937805657549</v>
      </c>
      <c r="AI102" s="36">
        <v>247.08605472644268</v>
      </c>
      <c r="AJ102" s="36">
        <v>261.65088032601454</v>
      </c>
      <c r="AK102" s="36">
        <v>615.92178035376878</v>
      </c>
      <c r="AL102" s="36">
        <v>853.74427438231885</v>
      </c>
      <c r="AM102" s="36">
        <v>1349.2869133607353</v>
      </c>
      <c r="AN102" s="36">
        <v>397.07694188840236</v>
      </c>
      <c r="AO102" s="36">
        <v>579.23190635126116</v>
      </c>
      <c r="AP102" s="36">
        <v>229.0091225547273</v>
      </c>
      <c r="AQ102" s="36">
        <v>3.6061632888450261</v>
      </c>
      <c r="AR102" s="36">
        <v>345.56164708816806</v>
      </c>
      <c r="AS102" s="36">
        <v>927.06423296791206</v>
      </c>
      <c r="AT102" s="36">
        <v>151.34029811589798</v>
      </c>
      <c r="AU102" s="36">
        <v>381.0066757636892</v>
      </c>
      <c r="AV102" s="36">
        <v>165.33821989954785</v>
      </c>
      <c r="AW102" s="36">
        <v>333.78754370374048</v>
      </c>
      <c r="AX102" s="36">
        <v>182.50832508785257</v>
      </c>
      <c r="AY102" s="36">
        <v>31.928040710174287</v>
      </c>
      <c r="AZ102" s="36">
        <v>107.51352365167472</v>
      </c>
      <c r="BA102" s="36">
        <v>29.601831560495103</v>
      </c>
      <c r="BB102" s="36">
        <v>685.44075417303316</v>
      </c>
      <c r="BC102" s="36">
        <v>816.73975778251861</v>
      </c>
      <c r="BD102" s="36">
        <v>2125.0256222211451</v>
      </c>
      <c r="BE102" s="36">
        <v>725.05633291351478</v>
      </c>
      <c r="BF102" s="36">
        <v>24.752779230718463</v>
      </c>
      <c r="BG102" s="36">
        <v>164.48070758317681</v>
      </c>
      <c r="BH102" s="36">
        <v>85.820828908873438</v>
      </c>
      <c r="BI102" s="36">
        <v>19.359043486403266</v>
      </c>
      <c r="BJ102" s="36">
        <v>4478.173997045149</v>
      </c>
      <c r="BK102" s="36">
        <v>0</v>
      </c>
      <c r="BL102" s="36">
        <v>0</v>
      </c>
      <c r="BM102" s="36">
        <v>0</v>
      </c>
      <c r="BN102" s="36">
        <v>0</v>
      </c>
      <c r="BO102" s="36">
        <v>0</v>
      </c>
      <c r="BP102" s="36">
        <v>0</v>
      </c>
      <c r="BQ102" s="36">
        <v>0</v>
      </c>
      <c r="BR102" s="36">
        <v>0</v>
      </c>
      <c r="BS102" s="36">
        <v>0</v>
      </c>
      <c r="BT102" s="36">
        <v>0</v>
      </c>
      <c r="BU102" s="36">
        <v>0</v>
      </c>
      <c r="BV102" s="36">
        <v>0</v>
      </c>
      <c r="BW102" s="36">
        <v>0</v>
      </c>
      <c r="BX102" s="36">
        <v>0</v>
      </c>
      <c r="BY102" s="36">
        <v>0</v>
      </c>
      <c r="BZ102" s="36">
        <v>0</v>
      </c>
      <c r="CA102" s="36">
        <v>0</v>
      </c>
      <c r="CB102" s="36">
        <v>0</v>
      </c>
      <c r="CC102" s="36">
        <v>0</v>
      </c>
      <c r="CD102" s="36">
        <v>0</v>
      </c>
      <c r="CE102" s="36">
        <v>0</v>
      </c>
      <c r="CF102" s="36">
        <v>0</v>
      </c>
      <c r="CG102" s="36">
        <v>0</v>
      </c>
      <c r="CH102" s="36">
        <v>0</v>
      </c>
      <c r="CI102" s="36">
        <v>0</v>
      </c>
      <c r="CJ102" s="36">
        <v>0</v>
      </c>
      <c r="CK102" s="36">
        <v>0</v>
      </c>
      <c r="CL102" s="36">
        <v>0</v>
      </c>
      <c r="CM102" s="36">
        <v>0</v>
      </c>
      <c r="CN102" s="36">
        <v>0</v>
      </c>
      <c r="CO102" s="36">
        <v>0</v>
      </c>
      <c r="CP102" s="36">
        <v>0</v>
      </c>
      <c r="CQ102" s="36">
        <v>0</v>
      </c>
      <c r="CR102" s="36">
        <v>0</v>
      </c>
      <c r="CS102" s="36">
        <v>0</v>
      </c>
      <c r="CT102" s="36">
        <v>0</v>
      </c>
      <c r="CU102" s="36">
        <v>0</v>
      </c>
      <c r="CV102" s="36">
        <v>0</v>
      </c>
      <c r="CW102" s="36">
        <v>0</v>
      </c>
      <c r="CX102" s="36">
        <v>0</v>
      </c>
      <c r="CY102" s="36">
        <v>0</v>
      </c>
      <c r="CZ102" s="36">
        <v>0</v>
      </c>
      <c r="DA102" s="36">
        <v>0</v>
      </c>
      <c r="DB102" s="36">
        <v>0</v>
      </c>
      <c r="DC102" s="36">
        <v>0</v>
      </c>
      <c r="DD102" s="36">
        <v>0</v>
      </c>
      <c r="DE102" s="36">
        <v>0</v>
      </c>
      <c r="DF102" s="36">
        <v>0</v>
      </c>
      <c r="DG102" s="36">
        <v>0</v>
      </c>
      <c r="DH102" s="36">
        <v>0</v>
      </c>
      <c r="DI102" s="36">
        <v>0</v>
      </c>
      <c r="DJ102" s="36">
        <v>0</v>
      </c>
      <c r="DK102" s="36">
        <v>0</v>
      </c>
      <c r="DL102" s="36">
        <v>0</v>
      </c>
      <c r="DM102" s="36">
        <v>0</v>
      </c>
      <c r="DN102" s="36">
        <v>0</v>
      </c>
      <c r="DO102" s="36">
        <v>0</v>
      </c>
      <c r="DP102" s="36">
        <v>0</v>
      </c>
      <c r="DQ102" s="36">
        <v>0</v>
      </c>
      <c r="DR102" s="36">
        <v>0</v>
      </c>
      <c r="DS102" s="36">
        <v>0</v>
      </c>
      <c r="DT102" s="36">
        <v>0</v>
      </c>
      <c r="DU102" s="36">
        <v>0</v>
      </c>
      <c r="DV102" s="36">
        <v>0</v>
      </c>
      <c r="DW102" s="36">
        <v>0</v>
      </c>
      <c r="DX102" s="36">
        <v>0</v>
      </c>
      <c r="DY102" s="36">
        <v>0</v>
      </c>
      <c r="DZ102" s="36">
        <v>0</v>
      </c>
      <c r="EA102" s="36">
        <v>0</v>
      </c>
      <c r="EB102" s="36">
        <v>0</v>
      </c>
      <c r="EC102" s="36">
        <v>0</v>
      </c>
      <c r="ED102" s="36">
        <v>0</v>
      </c>
      <c r="EE102" s="36">
        <v>0</v>
      </c>
      <c r="EF102" s="36">
        <v>0</v>
      </c>
      <c r="EG102" s="36">
        <v>0</v>
      </c>
      <c r="EH102" s="36">
        <v>0</v>
      </c>
      <c r="EI102" s="36">
        <v>0</v>
      </c>
      <c r="EJ102" s="36">
        <v>0</v>
      </c>
      <c r="EK102" s="36">
        <v>0</v>
      </c>
      <c r="EL102" s="36">
        <v>0</v>
      </c>
      <c r="EM102" s="36">
        <v>0</v>
      </c>
      <c r="EN102" s="36">
        <v>0</v>
      </c>
      <c r="EO102" s="36">
        <v>0</v>
      </c>
      <c r="EP102" s="36">
        <v>0</v>
      </c>
      <c r="EQ102" s="36">
        <v>0</v>
      </c>
      <c r="ER102" s="36">
        <v>0</v>
      </c>
      <c r="ES102" s="36">
        <v>0</v>
      </c>
      <c r="ET102" s="36">
        <v>0</v>
      </c>
      <c r="EU102" s="36">
        <v>0</v>
      </c>
      <c r="EV102" s="36">
        <v>0</v>
      </c>
      <c r="EW102" s="36">
        <v>0</v>
      </c>
      <c r="EX102" s="36">
        <v>0</v>
      </c>
      <c r="EY102" s="36">
        <v>0</v>
      </c>
      <c r="EZ102" s="36">
        <v>0</v>
      </c>
      <c r="FA102" s="36">
        <v>0</v>
      </c>
      <c r="FB102" s="36">
        <v>0</v>
      </c>
      <c r="FC102" s="36">
        <v>0</v>
      </c>
      <c r="FD102" s="36">
        <v>0</v>
      </c>
      <c r="FE102" s="36">
        <v>0</v>
      </c>
      <c r="FF102" s="36">
        <v>0</v>
      </c>
      <c r="FG102" s="36">
        <v>0</v>
      </c>
      <c r="FH102" s="36">
        <v>0</v>
      </c>
      <c r="FI102" s="36">
        <v>0</v>
      </c>
      <c r="FJ102" s="36">
        <v>0</v>
      </c>
      <c r="FK102" s="36">
        <v>0</v>
      </c>
      <c r="FL102" s="36">
        <v>0</v>
      </c>
      <c r="FM102" s="36">
        <v>0</v>
      </c>
      <c r="FN102" s="36">
        <v>0</v>
      </c>
      <c r="FO102" s="36">
        <v>0</v>
      </c>
      <c r="FP102" s="36">
        <v>0</v>
      </c>
      <c r="FQ102" s="36">
        <v>0</v>
      </c>
      <c r="FR102" s="36">
        <v>0</v>
      </c>
      <c r="FS102" s="36">
        <v>0</v>
      </c>
      <c r="FT102" s="36">
        <v>0</v>
      </c>
      <c r="FU102" s="36">
        <v>0</v>
      </c>
      <c r="FV102" s="36">
        <v>0</v>
      </c>
      <c r="FW102" s="36">
        <v>0</v>
      </c>
      <c r="FX102" s="36">
        <v>0</v>
      </c>
      <c r="FY102" s="36">
        <v>0</v>
      </c>
      <c r="FZ102" s="36">
        <v>0</v>
      </c>
      <c r="GA102" s="36">
        <v>0</v>
      </c>
      <c r="GB102" s="36">
        <v>0</v>
      </c>
      <c r="GC102" s="36">
        <v>0</v>
      </c>
      <c r="GD102" s="36">
        <v>0</v>
      </c>
      <c r="GE102" s="36">
        <v>0</v>
      </c>
      <c r="GF102" s="36">
        <v>0</v>
      </c>
      <c r="GG102" s="42">
        <v>799.46239051806219</v>
      </c>
      <c r="GH102" s="42">
        <v>1515.8784491345407</v>
      </c>
      <c r="GI102" s="42">
        <v>1446.2767890426435</v>
      </c>
      <c r="GJ102" s="42">
        <v>1628.8613588987025</v>
      </c>
      <c r="GK102" s="42">
        <v>1479.4603505588266</v>
      </c>
      <c r="GL102" s="42">
        <v>1742.1080430536267</v>
      </c>
      <c r="GM102" s="42">
        <v>1759.6607013989633</v>
      </c>
      <c r="GN102" s="42">
        <v>2005.3218629282155</v>
      </c>
      <c r="GO102" s="42">
        <v>2695.1623083293234</v>
      </c>
      <c r="GP102" s="42">
        <v>723.40756853828486</v>
      </c>
      <c r="GQ102" s="42">
        <v>639.57395780675904</v>
      </c>
      <c r="GR102" s="42">
        <v>526.38534121987402</v>
      </c>
      <c r="GS102" s="42">
        <v>667.37367022255148</v>
      </c>
      <c r="GT102" s="42">
        <v>724.81372000278702</v>
      </c>
      <c r="GU102" s="36">
        <v>0</v>
      </c>
      <c r="GV102" s="36">
        <v>0</v>
      </c>
      <c r="GW102" s="36">
        <v>0</v>
      </c>
      <c r="GX102" s="36">
        <v>0</v>
      </c>
      <c r="GY102" s="36">
        <v>0</v>
      </c>
      <c r="GZ102" s="36">
        <v>0</v>
      </c>
      <c r="HA102" s="38">
        <v>-130.17772110618534</v>
      </c>
      <c r="HB102" s="36">
        <v>20363.163606610826</v>
      </c>
      <c r="HC102" s="36">
        <f t="shared" si="1"/>
        <v>129113.57515909255</v>
      </c>
      <c r="HD102" s="36">
        <f>SUM(CU$5:CU$213)</f>
        <v>129113.57515909255</v>
      </c>
      <c r="HE102" s="41">
        <v>0</v>
      </c>
      <c r="HG102" s="43"/>
      <c r="HH102" s="43"/>
      <c r="HI102" s="43"/>
      <c r="HJ102" s="43"/>
      <c r="HK102" s="43"/>
      <c r="HL102" s="43"/>
      <c r="HM102" s="43"/>
      <c r="HN102" s="43"/>
      <c r="HO102" s="43"/>
      <c r="HP102" s="43"/>
      <c r="HQ102" s="43"/>
      <c r="HR102" s="43"/>
      <c r="HS102" s="43"/>
      <c r="HT102" s="43"/>
    </row>
    <row r="103" spans="1:228" hidden="1" outlineLevel="1" x14ac:dyDescent="0.2">
      <c r="A103" s="9" t="s">
        <v>844</v>
      </c>
      <c r="B103" s="36">
        <v>0</v>
      </c>
      <c r="C103" s="36">
        <v>3.7806852783449552</v>
      </c>
      <c r="D103" s="36">
        <v>1.2599538748123567</v>
      </c>
      <c r="E103" s="36">
        <v>7.786662701693988</v>
      </c>
      <c r="F103" s="36">
        <v>3.7979268280606289</v>
      </c>
      <c r="G103" s="36">
        <v>15.572242016249991</v>
      </c>
      <c r="H103" s="36">
        <v>7.699098447667108</v>
      </c>
      <c r="I103" s="36">
        <v>91.880746561640777</v>
      </c>
      <c r="J103" s="36">
        <v>10.433115594523132</v>
      </c>
      <c r="K103" s="36">
        <v>18.163213845114324</v>
      </c>
      <c r="L103" s="36">
        <v>78.82325497271114</v>
      </c>
      <c r="M103" s="36">
        <v>1.5403447558070578</v>
      </c>
      <c r="N103" s="36">
        <v>1.874208861259423</v>
      </c>
      <c r="O103" s="36">
        <v>10.884125090863323</v>
      </c>
      <c r="P103" s="36">
        <v>14.876852128585243</v>
      </c>
      <c r="Q103" s="36">
        <v>585.59916203443947</v>
      </c>
      <c r="R103" s="36">
        <v>6.4255881636339121</v>
      </c>
      <c r="S103" s="36">
        <v>9.6953726737480981</v>
      </c>
      <c r="T103" s="36">
        <v>99.592055279423789</v>
      </c>
      <c r="U103" s="36">
        <v>6.0567563462141276</v>
      </c>
      <c r="V103" s="36">
        <v>18.053938942861151</v>
      </c>
      <c r="W103" s="36">
        <v>4.6483757651248663</v>
      </c>
      <c r="X103" s="36">
        <v>15.470344642529854</v>
      </c>
      <c r="Y103" s="36">
        <v>7.820791202207408</v>
      </c>
      <c r="Z103" s="36">
        <v>32.369934243500765</v>
      </c>
      <c r="AA103" s="36">
        <v>44.175785728131359</v>
      </c>
      <c r="AB103" s="36">
        <v>15.674996981984128</v>
      </c>
      <c r="AC103" s="36">
        <v>3.7483813223626479</v>
      </c>
      <c r="AD103" s="36">
        <v>5.9413551717684374</v>
      </c>
      <c r="AE103" s="36">
        <v>15.531286502220397</v>
      </c>
      <c r="AF103" s="36">
        <v>10.168951791502323</v>
      </c>
      <c r="AG103" s="36">
        <v>8.0710502581741377</v>
      </c>
      <c r="AH103" s="36">
        <v>11.131000496024225</v>
      </c>
      <c r="AI103" s="36">
        <v>572.16375759912899</v>
      </c>
      <c r="AJ103" s="36">
        <v>665.58009755053592</v>
      </c>
      <c r="AK103" s="36">
        <v>168.624332613082</v>
      </c>
      <c r="AL103" s="36">
        <v>364.23477366210756</v>
      </c>
      <c r="AM103" s="36">
        <v>460.90426277254124</v>
      </c>
      <c r="AN103" s="36">
        <v>208.09806046675632</v>
      </c>
      <c r="AO103" s="36">
        <v>210.2612975598318</v>
      </c>
      <c r="AP103" s="36">
        <v>92.092820426460463</v>
      </c>
      <c r="AQ103" s="36">
        <v>2.1109910683816087</v>
      </c>
      <c r="AR103" s="36">
        <v>469.21121499008245</v>
      </c>
      <c r="AS103" s="36">
        <v>75.128454757947651</v>
      </c>
      <c r="AT103" s="36">
        <v>75.718280522252059</v>
      </c>
      <c r="AU103" s="36">
        <v>522.2378568221892</v>
      </c>
      <c r="AV103" s="36">
        <v>0</v>
      </c>
      <c r="AW103" s="36">
        <v>423.86098721279478</v>
      </c>
      <c r="AX103" s="36">
        <v>96.190321113975955</v>
      </c>
      <c r="AY103" s="36">
        <v>19.190597300250012</v>
      </c>
      <c r="AZ103" s="36">
        <v>46.536226026510711</v>
      </c>
      <c r="BA103" s="36">
        <v>17.927599046954292</v>
      </c>
      <c r="BB103" s="36">
        <v>980.14978425685479</v>
      </c>
      <c r="BC103" s="36">
        <v>5703.7006036823059</v>
      </c>
      <c r="BD103" s="36">
        <v>15224.038203692791</v>
      </c>
      <c r="BE103" s="36">
        <v>565.15280937716682</v>
      </c>
      <c r="BF103" s="36">
        <v>20.377451013729395</v>
      </c>
      <c r="BG103" s="36">
        <v>335.70150202769429</v>
      </c>
      <c r="BH103" s="36">
        <v>3756.4017251236401</v>
      </c>
      <c r="BI103" s="36">
        <v>10.612289321413433</v>
      </c>
      <c r="BJ103" s="36">
        <v>4435.2825045000527</v>
      </c>
      <c r="BK103" s="36">
        <v>0</v>
      </c>
      <c r="BL103" s="36">
        <v>0</v>
      </c>
      <c r="BM103" s="36">
        <v>0</v>
      </c>
      <c r="BN103" s="36">
        <v>0</v>
      </c>
      <c r="BO103" s="36">
        <v>0</v>
      </c>
      <c r="BP103" s="36">
        <v>0</v>
      </c>
      <c r="BQ103" s="36">
        <v>0</v>
      </c>
      <c r="BR103" s="36">
        <v>0</v>
      </c>
      <c r="BS103" s="36">
        <v>0</v>
      </c>
      <c r="BT103" s="36">
        <v>0</v>
      </c>
      <c r="BU103" s="36">
        <v>0</v>
      </c>
      <c r="BV103" s="36">
        <v>0</v>
      </c>
      <c r="BW103" s="36">
        <v>0</v>
      </c>
      <c r="BX103" s="36">
        <v>0</v>
      </c>
      <c r="BY103" s="36">
        <v>0</v>
      </c>
      <c r="BZ103" s="36">
        <v>0</v>
      </c>
      <c r="CA103" s="36">
        <v>0</v>
      </c>
      <c r="CB103" s="36">
        <v>0</v>
      </c>
      <c r="CC103" s="36">
        <v>0</v>
      </c>
      <c r="CD103" s="36">
        <v>0</v>
      </c>
      <c r="CE103" s="36">
        <v>0</v>
      </c>
      <c r="CF103" s="36">
        <v>0</v>
      </c>
      <c r="CG103" s="36">
        <v>0</v>
      </c>
      <c r="CH103" s="36">
        <v>0</v>
      </c>
      <c r="CI103" s="36">
        <v>0</v>
      </c>
      <c r="CJ103" s="36">
        <v>0</v>
      </c>
      <c r="CK103" s="36">
        <v>0</v>
      </c>
      <c r="CL103" s="36">
        <v>0</v>
      </c>
      <c r="CM103" s="36">
        <v>0</v>
      </c>
      <c r="CN103" s="36">
        <v>0</v>
      </c>
      <c r="CO103" s="36">
        <v>0</v>
      </c>
      <c r="CP103" s="36">
        <v>0</v>
      </c>
      <c r="CQ103" s="36">
        <v>0</v>
      </c>
      <c r="CR103" s="36">
        <v>0</v>
      </c>
      <c r="CS103" s="36">
        <v>0</v>
      </c>
      <c r="CT103" s="36">
        <v>0</v>
      </c>
      <c r="CU103" s="36">
        <v>0</v>
      </c>
      <c r="CV103" s="36">
        <v>0</v>
      </c>
      <c r="CW103" s="36">
        <v>0</v>
      </c>
      <c r="CX103" s="36">
        <v>0</v>
      </c>
      <c r="CY103" s="36">
        <v>0</v>
      </c>
      <c r="CZ103" s="36">
        <v>0</v>
      </c>
      <c r="DA103" s="36">
        <v>0</v>
      </c>
      <c r="DB103" s="36">
        <v>0</v>
      </c>
      <c r="DC103" s="36">
        <v>0</v>
      </c>
      <c r="DD103" s="36">
        <v>0</v>
      </c>
      <c r="DE103" s="36">
        <v>0</v>
      </c>
      <c r="DF103" s="36">
        <v>0</v>
      </c>
      <c r="DG103" s="36">
        <v>0</v>
      </c>
      <c r="DH103" s="36">
        <v>0</v>
      </c>
      <c r="DI103" s="36">
        <v>0</v>
      </c>
      <c r="DJ103" s="36">
        <v>0</v>
      </c>
      <c r="DK103" s="36">
        <v>0</v>
      </c>
      <c r="DL103" s="36">
        <v>0</v>
      </c>
      <c r="DM103" s="36">
        <v>0</v>
      </c>
      <c r="DN103" s="36">
        <v>0</v>
      </c>
      <c r="DO103" s="36">
        <v>0</v>
      </c>
      <c r="DP103" s="36">
        <v>0</v>
      </c>
      <c r="DQ103" s="36">
        <v>0</v>
      </c>
      <c r="DR103" s="36">
        <v>0</v>
      </c>
      <c r="DS103" s="36">
        <v>0</v>
      </c>
      <c r="DT103" s="36">
        <v>0</v>
      </c>
      <c r="DU103" s="36">
        <v>0</v>
      </c>
      <c r="DV103" s="36">
        <v>0</v>
      </c>
      <c r="DW103" s="36">
        <v>0</v>
      </c>
      <c r="DX103" s="36">
        <v>0</v>
      </c>
      <c r="DY103" s="36">
        <v>0</v>
      </c>
      <c r="DZ103" s="36">
        <v>0</v>
      </c>
      <c r="EA103" s="36">
        <v>0</v>
      </c>
      <c r="EB103" s="36">
        <v>0</v>
      </c>
      <c r="EC103" s="36">
        <v>0</v>
      </c>
      <c r="ED103" s="36">
        <v>0</v>
      </c>
      <c r="EE103" s="36">
        <v>0</v>
      </c>
      <c r="EF103" s="36">
        <v>0</v>
      </c>
      <c r="EG103" s="36">
        <v>0</v>
      </c>
      <c r="EH103" s="36">
        <v>0</v>
      </c>
      <c r="EI103" s="36">
        <v>0</v>
      </c>
      <c r="EJ103" s="36">
        <v>0</v>
      </c>
      <c r="EK103" s="36">
        <v>0</v>
      </c>
      <c r="EL103" s="36">
        <v>0</v>
      </c>
      <c r="EM103" s="36">
        <v>0</v>
      </c>
      <c r="EN103" s="36">
        <v>0</v>
      </c>
      <c r="EO103" s="36">
        <v>0</v>
      </c>
      <c r="EP103" s="36">
        <v>0</v>
      </c>
      <c r="EQ103" s="36">
        <v>0</v>
      </c>
      <c r="ER103" s="36">
        <v>0</v>
      </c>
      <c r="ES103" s="36">
        <v>0</v>
      </c>
      <c r="ET103" s="36">
        <v>0</v>
      </c>
      <c r="EU103" s="36">
        <v>0</v>
      </c>
      <c r="EV103" s="36">
        <v>0</v>
      </c>
      <c r="EW103" s="36">
        <v>0</v>
      </c>
      <c r="EX103" s="36">
        <v>0</v>
      </c>
      <c r="EY103" s="36">
        <v>0</v>
      </c>
      <c r="EZ103" s="36">
        <v>0</v>
      </c>
      <c r="FA103" s="36">
        <v>0</v>
      </c>
      <c r="FB103" s="36">
        <v>0</v>
      </c>
      <c r="FC103" s="36">
        <v>0</v>
      </c>
      <c r="FD103" s="36">
        <v>0</v>
      </c>
      <c r="FE103" s="36">
        <v>0</v>
      </c>
      <c r="FF103" s="36">
        <v>0</v>
      </c>
      <c r="FG103" s="36">
        <v>0</v>
      </c>
      <c r="FH103" s="36">
        <v>0</v>
      </c>
      <c r="FI103" s="36">
        <v>0</v>
      </c>
      <c r="FJ103" s="36">
        <v>0</v>
      </c>
      <c r="FK103" s="36">
        <v>0</v>
      </c>
      <c r="FL103" s="36">
        <v>0</v>
      </c>
      <c r="FM103" s="36">
        <v>0</v>
      </c>
      <c r="FN103" s="36">
        <v>0</v>
      </c>
      <c r="FO103" s="36">
        <v>0</v>
      </c>
      <c r="FP103" s="36">
        <v>0</v>
      </c>
      <c r="FQ103" s="36">
        <v>0</v>
      </c>
      <c r="FR103" s="36">
        <v>0</v>
      </c>
      <c r="FS103" s="36">
        <v>0</v>
      </c>
      <c r="FT103" s="36">
        <v>0</v>
      </c>
      <c r="FU103" s="36">
        <v>0</v>
      </c>
      <c r="FV103" s="36">
        <v>0</v>
      </c>
      <c r="FW103" s="36">
        <v>0</v>
      </c>
      <c r="FX103" s="36">
        <v>0</v>
      </c>
      <c r="FY103" s="36">
        <v>0</v>
      </c>
      <c r="FZ103" s="36">
        <v>0</v>
      </c>
      <c r="GA103" s="36">
        <v>0</v>
      </c>
      <c r="GB103" s="36">
        <v>0</v>
      </c>
      <c r="GC103" s="36">
        <v>0</v>
      </c>
      <c r="GD103" s="36">
        <v>0</v>
      </c>
      <c r="GE103" s="36">
        <v>0</v>
      </c>
      <c r="GF103" s="36">
        <v>0</v>
      </c>
      <c r="GG103" s="42">
        <v>25.101755861380092</v>
      </c>
      <c r="GH103" s="42">
        <v>50.209326624624467</v>
      </c>
      <c r="GI103" s="42">
        <v>104.07130120377342</v>
      </c>
      <c r="GJ103" s="42">
        <v>191.56597030161763</v>
      </c>
      <c r="GK103" s="42">
        <v>221.49559108403807</v>
      </c>
      <c r="GL103" s="42">
        <v>536.4319098140395</v>
      </c>
      <c r="GM103" s="42">
        <v>818.55372541869394</v>
      </c>
      <c r="GN103" s="42">
        <v>968.46431412341349</v>
      </c>
      <c r="GO103" s="42">
        <v>1897.3271664693473</v>
      </c>
      <c r="GP103" s="42">
        <v>572.36847634298363</v>
      </c>
      <c r="GQ103" s="42">
        <v>468.79730158802658</v>
      </c>
      <c r="GR103" s="42">
        <v>721.84642782162246</v>
      </c>
      <c r="GS103" s="42">
        <v>876.31007710224503</v>
      </c>
      <c r="GT103" s="42">
        <v>1170.935122848314</v>
      </c>
      <c r="GU103" s="36">
        <v>0</v>
      </c>
      <c r="GV103" s="36">
        <v>0</v>
      </c>
      <c r="GW103" s="36">
        <v>0</v>
      </c>
      <c r="GX103" s="36">
        <v>0</v>
      </c>
      <c r="GY103" s="36">
        <v>0</v>
      </c>
      <c r="GZ103" s="36">
        <v>0</v>
      </c>
      <c r="HA103" s="38">
        <v>-224.80050024625962</v>
      </c>
      <c r="HB103" s="36">
        <v>1636.0867295262922</v>
      </c>
      <c r="HC103" s="36">
        <f t="shared" si="1"/>
        <v>46724.801058894765</v>
      </c>
      <c r="HD103" s="36">
        <f>SUM(CV$5:CV$213)</f>
        <v>46724.801058894765</v>
      </c>
      <c r="HE103" s="41">
        <v>0</v>
      </c>
      <c r="HG103" s="43"/>
      <c r="HH103" s="43"/>
      <c r="HI103" s="43"/>
      <c r="HJ103" s="43"/>
      <c r="HK103" s="43"/>
      <c r="HL103" s="43"/>
      <c r="HM103" s="43"/>
      <c r="HN103" s="43"/>
      <c r="HO103" s="43"/>
      <c r="HP103" s="43"/>
      <c r="HQ103" s="43"/>
      <c r="HR103" s="43"/>
      <c r="HS103" s="43"/>
      <c r="HT103" s="43"/>
    </row>
    <row r="104" spans="1:228" hidden="1" outlineLevel="1" x14ac:dyDescent="0.2">
      <c r="A104" s="9" t="s">
        <v>1506</v>
      </c>
      <c r="B104" s="36">
        <v>0</v>
      </c>
      <c r="C104" s="36">
        <v>0</v>
      </c>
      <c r="D104" s="36">
        <v>0</v>
      </c>
      <c r="E104" s="36">
        <v>0</v>
      </c>
      <c r="F104" s="36">
        <v>0</v>
      </c>
      <c r="G104" s="36">
        <v>0</v>
      </c>
      <c r="H104" s="36">
        <v>0</v>
      </c>
      <c r="I104" s="36">
        <v>0</v>
      </c>
      <c r="J104" s="36">
        <v>0</v>
      </c>
      <c r="K104" s="36">
        <v>0</v>
      </c>
      <c r="L104" s="36">
        <v>0</v>
      </c>
      <c r="M104" s="36">
        <v>0</v>
      </c>
      <c r="N104" s="36">
        <v>0</v>
      </c>
      <c r="O104" s="36">
        <v>222.69335149099442</v>
      </c>
      <c r="P104" s="36">
        <v>0</v>
      </c>
      <c r="Q104" s="36">
        <v>0</v>
      </c>
      <c r="R104" s="36">
        <v>35005.032122527569</v>
      </c>
      <c r="S104" s="36">
        <v>251.9988483021485</v>
      </c>
      <c r="T104" s="36">
        <v>741.92610947936419</v>
      </c>
      <c r="U104" s="36">
        <v>3.7132261075192496</v>
      </c>
      <c r="V104" s="36">
        <v>0.91311841116165082</v>
      </c>
      <c r="W104" s="36">
        <v>0</v>
      </c>
      <c r="X104" s="36">
        <v>71.871505122888692</v>
      </c>
      <c r="Y104" s="36">
        <v>4138.6521876428314</v>
      </c>
      <c r="Z104" s="36">
        <v>2.0666477842618907</v>
      </c>
      <c r="AA104" s="36">
        <v>0</v>
      </c>
      <c r="AB104" s="36">
        <v>282.99603901419272</v>
      </c>
      <c r="AC104" s="36">
        <v>0</v>
      </c>
      <c r="AD104" s="36">
        <v>0</v>
      </c>
      <c r="AE104" s="36">
        <v>0</v>
      </c>
      <c r="AF104" s="36">
        <v>0</v>
      </c>
      <c r="AG104" s="36">
        <v>5.4180261580858291</v>
      </c>
      <c r="AH104" s="36">
        <v>0</v>
      </c>
      <c r="AI104" s="36">
        <v>19568.629547536548</v>
      </c>
      <c r="AJ104" s="36">
        <v>0</v>
      </c>
      <c r="AK104" s="36">
        <v>0</v>
      </c>
      <c r="AL104" s="36">
        <v>0</v>
      </c>
      <c r="AM104" s="36">
        <v>0</v>
      </c>
      <c r="AN104" s="36">
        <v>0</v>
      </c>
      <c r="AO104" s="36">
        <v>306.63002014325104</v>
      </c>
      <c r="AP104" s="36">
        <v>0</v>
      </c>
      <c r="AQ104" s="36">
        <v>0</v>
      </c>
      <c r="AR104" s="36">
        <v>0</v>
      </c>
      <c r="AS104" s="36">
        <v>0</v>
      </c>
      <c r="AT104" s="36">
        <v>0</v>
      </c>
      <c r="AU104" s="36">
        <v>0</v>
      </c>
      <c r="AV104" s="36">
        <v>0</v>
      </c>
      <c r="AW104" s="36">
        <v>0</v>
      </c>
      <c r="AX104" s="36">
        <v>0</v>
      </c>
      <c r="AY104" s="36">
        <v>0</v>
      </c>
      <c r="AZ104" s="36">
        <v>0</v>
      </c>
      <c r="BA104" s="36">
        <v>0</v>
      </c>
      <c r="BB104" s="36">
        <v>0</v>
      </c>
      <c r="BC104" s="36">
        <v>35.48782309806267</v>
      </c>
      <c r="BD104" s="36">
        <v>9.9630999068380617E-4</v>
      </c>
      <c r="BE104" s="36">
        <v>1.42383779392133</v>
      </c>
      <c r="BF104" s="36">
        <v>0</v>
      </c>
      <c r="BG104" s="36">
        <v>0</v>
      </c>
      <c r="BH104" s="36">
        <v>0</v>
      </c>
      <c r="BI104" s="36">
        <v>0</v>
      </c>
      <c r="BJ104" s="36">
        <v>100.07650667191498</v>
      </c>
      <c r="BK104" s="36">
        <v>0</v>
      </c>
      <c r="BL104" s="36">
        <v>0</v>
      </c>
      <c r="BM104" s="36">
        <v>0</v>
      </c>
      <c r="BN104" s="36">
        <v>0</v>
      </c>
      <c r="BO104" s="36">
        <v>0</v>
      </c>
      <c r="BP104" s="36">
        <v>0</v>
      </c>
      <c r="BQ104" s="36">
        <v>0</v>
      </c>
      <c r="BR104" s="36">
        <v>0</v>
      </c>
      <c r="BS104" s="36">
        <v>0</v>
      </c>
      <c r="BT104" s="36">
        <v>0</v>
      </c>
      <c r="BU104" s="36">
        <v>0</v>
      </c>
      <c r="BV104" s="36">
        <v>0</v>
      </c>
      <c r="BW104" s="36">
        <v>0</v>
      </c>
      <c r="BX104" s="36">
        <v>0</v>
      </c>
      <c r="BY104" s="36">
        <v>0</v>
      </c>
      <c r="BZ104" s="36">
        <v>0</v>
      </c>
      <c r="CA104" s="36">
        <v>0</v>
      </c>
      <c r="CB104" s="36">
        <v>0</v>
      </c>
      <c r="CC104" s="36">
        <v>0</v>
      </c>
      <c r="CD104" s="36">
        <v>0</v>
      </c>
      <c r="CE104" s="36">
        <v>0</v>
      </c>
      <c r="CF104" s="36">
        <v>0</v>
      </c>
      <c r="CG104" s="36">
        <v>0</v>
      </c>
      <c r="CH104" s="36">
        <v>0</v>
      </c>
      <c r="CI104" s="36">
        <v>0</v>
      </c>
      <c r="CJ104" s="36">
        <v>0</v>
      </c>
      <c r="CK104" s="36">
        <v>0</v>
      </c>
      <c r="CL104" s="36">
        <v>0</v>
      </c>
      <c r="CM104" s="36">
        <v>0</v>
      </c>
      <c r="CN104" s="36">
        <v>0</v>
      </c>
      <c r="CO104" s="36">
        <v>0</v>
      </c>
      <c r="CP104" s="36">
        <v>0</v>
      </c>
      <c r="CQ104" s="36">
        <v>0</v>
      </c>
      <c r="CR104" s="36">
        <v>0</v>
      </c>
      <c r="CS104" s="36">
        <v>0</v>
      </c>
      <c r="CT104" s="36">
        <v>0</v>
      </c>
      <c r="CU104" s="36">
        <v>0</v>
      </c>
      <c r="CV104" s="36">
        <v>0</v>
      </c>
      <c r="CW104" s="36">
        <v>0</v>
      </c>
      <c r="CX104" s="36">
        <v>0</v>
      </c>
      <c r="CY104" s="36">
        <v>0</v>
      </c>
      <c r="CZ104" s="36">
        <v>0</v>
      </c>
      <c r="DA104" s="36">
        <v>0</v>
      </c>
      <c r="DB104" s="36">
        <v>0</v>
      </c>
      <c r="DC104" s="36">
        <v>0</v>
      </c>
      <c r="DD104" s="36">
        <v>0</v>
      </c>
      <c r="DE104" s="36">
        <v>0</v>
      </c>
      <c r="DF104" s="36">
        <v>0</v>
      </c>
      <c r="DG104" s="36">
        <v>0</v>
      </c>
      <c r="DH104" s="36">
        <v>0</v>
      </c>
      <c r="DI104" s="36">
        <v>0</v>
      </c>
      <c r="DJ104" s="36">
        <v>0</v>
      </c>
      <c r="DK104" s="36">
        <v>0</v>
      </c>
      <c r="DL104" s="36">
        <v>0</v>
      </c>
      <c r="DM104" s="36">
        <v>0</v>
      </c>
      <c r="DN104" s="36">
        <v>0</v>
      </c>
      <c r="DO104" s="36">
        <v>0</v>
      </c>
      <c r="DP104" s="36">
        <v>0</v>
      </c>
      <c r="DQ104" s="36">
        <v>0</v>
      </c>
      <c r="DR104" s="36">
        <v>0</v>
      </c>
      <c r="DS104" s="36">
        <v>0</v>
      </c>
      <c r="DT104" s="36">
        <v>0</v>
      </c>
      <c r="DU104" s="36">
        <v>0</v>
      </c>
      <c r="DV104" s="36">
        <v>0</v>
      </c>
      <c r="DW104" s="36">
        <v>0</v>
      </c>
      <c r="DX104" s="36">
        <v>0</v>
      </c>
      <c r="DY104" s="36">
        <v>0</v>
      </c>
      <c r="DZ104" s="36">
        <v>0</v>
      </c>
      <c r="EA104" s="36">
        <v>0</v>
      </c>
      <c r="EB104" s="36">
        <v>0</v>
      </c>
      <c r="EC104" s="36">
        <v>0</v>
      </c>
      <c r="ED104" s="36">
        <v>0</v>
      </c>
      <c r="EE104" s="36">
        <v>0</v>
      </c>
      <c r="EF104" s="36">
        <v>0</v>
      </c>
      <c r="EG104" s="36">
        <v>0</v>
      </c>
      <c r="EH104" s="36">
        <v>0</v>
      </c>
      <c r="EI104" s="36">
        <v>0</v>
      </c>
      <c r="EJ104" s="36">
        <v>0</v>
      </c>
      <c r="EK104" s="36">
        <v>0</v>
      </c>
      <c r="EL104" s="36">
        <v>0</v>
      </c>
      <c r="EM104" s="36">
        <v>0</v>
      </c>
      <c r="EN104" s="36">
        <v>0</v>
      </c>
      <c r="EO104" s="36">
        <v>0</v>
      </c>
      <c r="EP104" s="36">
        <v>0</v>
      </c>
      <c r="EQ104" s="36">
        <v>0</v>
      </c>
      <c r="ER104" s="36">
        <v>0</v>
      </c>
      <c r="ES104" s="36">
        <v>0</v>
      </c>
      <c r="ET104" s="36">
        <v>0</v>
      </c>
      <c r="EU104" s="36">
        <v>0</v>
      </c>
      <c r="EV104" s="36">
        <v>0</v>
      </c>
      <c r="EW104" s="36">
        <v>0</v>
      </c>
      <c r="EX104" s="36">
        <v>0</v>
      </c>
      <c r="EY104" s="36">
        <v>0</v>
      </c>
      <c r="EZ104" s="36">
        <v>0</v>
      </c>
      <c r="FA104" s="36">
        <v>0</v>
      </c>
      <c r="FB104" s="36">
        <v>0</v>
      </c>
      <c r="FC104" s="36">
        <v>0</v>
      </c>
      <c r="FD104" s="36">
        <v>0</v>
      </c>
      <c r="FE104" s="36">
        <v>0</v>
      </c>
      <c r="FF104" s="36">
        <v>0</v>
      </c>
      <c r="FG104" s="36">
        <v>0</v>
      </c>
      <c r="FH104" s="36">
        <v>0</v>
      </c>
      <c r="FI104" s="36">
        <v>0</v>
      </c>
      <c r="FJ104" s="36">
        <v>0</v>
      </c>
      <c r="FK104" s="36">
        <v>0</v>
      </c>
      <c r="FL104" s="36">
        <v>0</v>
      </c>
      <c r="FM104" s="36">
        <v>0</v>
      </c>
      <c r="FN104" s="36">
        <v>0</v>
      </c>
      <c r="FO104" s="36">
        <v>0</v>
      </c>
      <c r="FP104" s="36">
        <v>0</v>
      </c>
      <c r="FQ104" s="36">
        <v>0</v>
      </c>
      <c r="FR104" s="36">
        <v>0</v>
      </c>
      <c r="FS104" s="36">
        <v>0</v>
      </c>
      <c r="FT104" s="36">
        <v>0</v>
      </c>
      <c r="FU104" s="36">
        <v>0</v>
      </c>
      <c r="FV104" s="36">
        <v>0</v>
      </c>
      <c r="FW104" s="36">
        <v>0</v>
      </c>
      <c r="FX104" s="36">
        <v>0</v>
      </c>
      <c r="FY104" s="36">
        <v>0</v>
      </c>
      <c r="FZ104" s="36">
        <v>0</v>
      </c>
      <c r="GA104" s="36">
        <v>0</v>
      </c>
      <c r="GB104" s="36">
        <v>0</v>
      </c>
      <c r="GC104" s="36">
        <v>0</v>
      </c>
      <c r="GD104" s="36">
        <v>0</v>
      </c>
      <c r="GE104" s="36">
        <v>0</v>
      </c>
      <c r="GF104" s="36">
        <v>0</v>
      </c>
      <c r="GG104" s="42">
        <v>3.0879536257515516</v>
      </c>
      <c r="GH104" s="42">
        <v>5.1130692363845771</v>
      </c>
      <c r="GI104" s="42">
        <v>9.216093231937629</v>
      </c>
      <c r="GJ104" s="42">
        <v>13.702110752686036</v>
      </c>
      <c r="GK104" s="42">
        <v>15.245320216296685</v>
      </c>
      <c r="GL104" s="42">
        <v>28.634074542393879</v>
      </c>
      <c r="GM104" s="42">
        <v>40.054462760306066</v>
      </c>
      <c r="GN104" s="42">
        <v>76.310917845834126</v>
      </c>
      <c r="GO104" s="42">
        <v>147.80032588113588</v>
      </c>
      <c r="GP104" s="42">
        <v>37.767364380484729</v>
      </c>
      <c r="GQ104" s="42">
        <v>39.241776869491019</v>
      </c>
      <c r="GR104" s="42">
        <v>48.386147434067183</v>
      </c>
      <c r="GS104" s="42">
        <v>52.335403818986599</v>
      </c>
      <c r="GT104" s="42">
        <v>62.725047154201981</v>
      </c>
      <c r="GU104" s="36">
        <v>0</v>
      </c>
      <c r="GV104" s="36">
        <v>0</v>
      </c>
      <c r="GW104" s="36">
        <v>0</v>
      </c>
      <c r="GX104" s="36">
        <v>0</v>
      </c>
      <c r="GY104" s="36">
        <v>0</v>
      </c>
      <c r="GZ104" s="36">
        <v>0</v>
      </c>
      <c r="HA104" s="38">
        <v>2123.0838256785937</v>
      </c>
      <c r="HB104" s="36">
        <v>993.81657809832814</v>
      </c>
      <c r="HC104" s="36">
        <f t="shared" si="1"/>
        <v>64436.050385121584</v>
      </c>
      <c r="HD104" s="36">
        <f>SUM(CW$5:CW$213)</f>
        <v>64436.050385121584</v>
      </c>
      <c r="HE104" s="41">
        <v>0</v>
      </c>
      <c r="HG104" s="43"/>
      <c r="HH104" s="43"/>
      <c r="HI104" s="43"/>
      <c r="HJ104" s="43"/>
      <c r="HK104" s="43"/>
      <c r="HL104" s="43"/>
      <c r="HM104" s="43"/>
      <c r="HN104" s="43"/>
      <c r="HO104" s="43"/>
      <c r="HP104" s="43"/>
      <c r="HQ104" s="43"/>
      <c r="HR104" s="43"/>
      <c r="HS104" s="43"/>
      <c r="HT104" s="43"/>
    </row>
    <row r="105" spans="1:228" hidden="1" outlineLevel="1" x14ac:dyDescent="0.2">
      <c r="A105" s="9" t="s">
        <v>851</v>
      </c>
      <c r="B105" s="36">
        <v>15542.048281273319</v>
      </c>
      <c r="C105" s="36">
        <v>1247.8572180168057</v>
      </c>
      <c r="D105" s="36">
        <v>1155.7529272575739</v>
      </c>
      <c r="E105" s="36">
        <v>11249.903439353819</v>
      </c>
      <c r="F105" s="36">
        <v>3806.4062078948868</v>
      </c>
      <c r="G105" s="36">
        <v>25519.3947117467</v>
      </c>
      <c r="H105" s="36">
        <v>8457.6793506787835</v>
      </c>
      <c r="I105" s="36">
        <v>5763.9912405586856</v>
      </c>
      <c r="J105" s="36">
        <v>1888.6265824362088</v>
      </c>
      <c r="K105" s="36">
        <v>410.88797804468732</v>
      </c>
      <c r="L105" s="36">
        <v>291.52706023866335</v>
      </c>
      <c r="M105" s="36">
        <v>58.032143112533582</v>
      </c>
      <c r="N105" s="36">
        <v>16.621221900541787</v>
      </c>
      <c r="O105" s="36">
        <v>1072.7882214933529</v>
      </c>
      <c r="P105" s="36">
        <v>1472.2979059925349</v>
      </c>
      <c r="Q105" s="36">
        <v>466.11933175943591</v>
      </c>
      <c r="R105" s="36">
        <v>36647.63423922089</v>
      </c>
      <c r="S105" s="36">
        <v>8292.7363639464365</v>
      </c>
      <c r="T105" s="36">
        <v>7105.6096162404747</v>
      </c>
      <c r="U105" s="36">
        <v>2439.3911442061622</v>
      </c>
      <c r="V105" s="36">
        <v>865.55180155986545</v>
      </c>
      <c r="W105" s="36">
        <v>1064.587662551723</v>
      </c>
      <c r="X105" s="36">
        <v>1787.7477546973698</v>
      </c>
      <c r="Y105" s="36">
        <v>974.36118074830233</v>
      </c>
      <c r="Z105" s="36">
        <v>1776.7330536963088</v>
      </c>
      <c r="AA105" s="36">
        <v>1822.3595199812164</v>
      </c>
      <c r="AB105" s="36">
        <v>626.20505353444582</v>
      </c>
      <c r="AC105" s="36">
        <v>96.109271673145855</v>
      </c>
      <c r="AD105" s="36">
        <v>354.16066305278491</v>
      </c>
      <c r="AE105" s="36">
        <v>2145.4217917333863</v>
      </c>
      <c r="AF105" s="36">
        <v>107.31066005838056</v>
      </c>
      <c r="AG105" s="36">
        <v>1279.0324673164607</v>
      </c>
      <c r="AH105" s="36">
        <v>1162.47310108396</v>
      </c>
      <c r="AI105" s="36">
        <v>4755.5401159121302</v>
      </c>
      <c r="AJ105" s="36">
        <v>3468.435769964065</v>
      </c>
      <c r="AK105" s="36">
        <v>21373.88067981042</v>
      </c>
      <c r="AL105" s="36">
        <v>13142.94929003642</v>
      </c>
      <c r="AM105" s="36">
        <v>5777.3710602635319</v>
      </c>
      <c r="AN105" s="36">
        <v>4638.5716755502699</v>
      </c>
      <c r="AO105" s="36">
        <v>1281.3606104714017</v>
      </c>
      <c r="AP105" s="36">
        <v>78873.293815324098</v>
      </c>
      <c r="AQ105" s="36">
        <v>954.83078043691057</v>
      </c>
      <c r="AR105" s="36">
        <v>25799.232101813595</v>
      </c>
      <c r="AS105" s="36">
        <v>14415.053566302136</v>
      </c>
      <c r="AT105" s="36">
        <v>6987.9331412529646</v>
      </c>
      <c r="AU105" s="36">
        <v>942.02668372073788</v>
      </c>
      <c r="AV105" s="36">
        <v>430.77811933068568</v>
      </c>
      <c r="AW105" s="36">
        <v>1525.6159680959177</v>
      </c>
      <c r="AX105" s="36">
        <v>219.35547723674662</v>
      </c>
      <c r="AY105" s="36">
        <v>916.84343966369181</v>
      </c>
      <c r="AZ105" s="36">
        <v>309.00249686751812</v>
      </c>
      <c r="BA105" s="36">
        <v>58.193579706827684</v>
      </c>
      <c r="BB105" s="36">
        <v>1885.6915537965447</v>
      </c>
      <c r="BC105" s="36">
        <v>9661.3005827226625</v>
      </c>
      <c r="BD105" s="36">
        <v>31.615708064850129</v>
      </c>
      <c r="BE105" s="36">
        <v>3838.8087416710482</v>
      </c>
      <c r="BF105" s="36">
        <v>1921.7653311083241</v>
      </c>
      <c r="BG105" s="36">
        <v>89.738939680816699</v>
      </c>
      <c r="BH105" s="36">
        <v>439.16320077238009</v>
      </c>
      <c r="BI105" s="36">
        <v>277.122305779329</v>
      </c>
      <c r="BJ105" s="36">
        <v>47479.977698424198</v>
      </c>
      <c r="BK105" s="36">
        <v>0</v>
      </c>
      <c r="BL105" s="36">
        <v>0</v>
      </c>
      <c r="BM105" s="36">
        <v>0</v>
      </c>
      <c r="BN105" s="36">
        <v>0</v>
      </c>
      <c r="BO105" s="36">
        <v>0</v>
      </c>
      <c r="BP105" s="36">
        <v>0</v>
      </c>
      <c r="BQ105" s="36">
        <v>0</v>
      </c>
      <c r="BR105" s="36">
        <v>0</v>
      </c>
      <c r="BS105" s="36">
        <v>0</v>
      </c>
      <c r="BT105" s="36">
        <v>0</v>
      </c>
      <c r="BU105" s="36">
        <v>0</v>
      </c>
      <c r="BV105" s="36">
        <v>0</v>
      </c>
      <c r="BW105" s="36">
        <v>0</v>
      </c>
      <c r="BX105" s="36">
        <v>0</v>
      </c>
      <c r="BY105" s="36">
        <v>0</v>
      </c>
      <c r="BZ105" s="36">
        <v>0</v>
      </c>
      <c r="CA105" s="36">
        <v>0</v>
      </c>
      <c r="CB105" s="36">
        <v>0</v>
      </c>
      <c r="CC105" s="36">
        <v>0</v>
      </c>
      <c r="CD105" s="36">
        <v>0</v>
      </c>
      <c r="CE105" s="36">
        <v>0</v>
      </c>
      <c r="CF105" s="36">
        <v>0</v>
      </c>
      <c r="CG105" s="36">
        <v>0</v>
      </c>
      <c r="CH105" s="36">
        <v>0</v>
      </c>
      <c r="CI105" s="36">
        <v>0</v>
      </c>
      <c r="CJ105" s="36">
        <v>0</v>
      </c>
      <c r="CK105" s="36">
        <v>0</v>
      </c>
      <c r="CL105" s="36">
        <v>0</v>
      </c>
      <c r="CM105" s="36">
        <v>0</v>
      </c>
      <c r="CN105" s="36">
        <v>0</v>
      </c>
      <c r="CO105" s="36">
        <v>0</v>
      </c>
      <c r="CP105" s="36">
        <v>0</v>
      </c>
      <c r="CQ105" s="36">
        <v>0</v>
      </c>
      <c r="CR105" s="36">
        <v>0</v>
      </c>
      <c r="CS105" s="36">
        <v>0</v>
      </c>
      <c r="CT105" s="36">
        <v>0</v>
      </c>
      <c r="CU105" s="36">
        <v>0</v>
      </c>
      <c r="CV105" s="36">
        <v>0</v>
      </c>
      <c r="CW105" s="36">
        <v>0</v>
      </c>
      <c r="CX105" s="36">
        <v>0</v>
      </c>
      <c r="CY105" s="36">
        <v>0</v>
      </c>
      <c r="CZ105" s="36">
        <v>0</v>
      </c>
      <c r="DA105" s="36">
        <v>0</v>
      </c>
      <c r="DB105" s="36">
        <v>0</v>
      </c>
      <c r="DC105" s="36">
        <v>0</v>
      </c>
      <c r="DD105" s="36">
        <v>0</v>
      </c>
      <c r="DE105" s="36">
        <v>0</v>
      </c>
      <c r="DF105" s="36">
        <v>0</v>
      </c>
      <c r="DG105" s="36">
        <v>0</v>
      </c>
      <c r="DH105" s="36">
        <v>0</v>
      </c>
      <c r="DI105" s="36">
        <v>0</v>
      </c>
      <c r="DJ105" s="36">
        <v>0</v>
      </c>
      <c r="DK105" s="36">
        <v>0</v>
      </c>
      <c r="DL105" s="36">
        <v>0</v>
      </c>
      <c r="DM105" s="36">
        <v>0</v>
      </c>
      <c r="DN105" s="36">
        <v>0</v>
      </c>
      <c r="DO105" s="36">
        <v>0</v>
      </c>
      <c r="DP105" s="36">
        <v>0</v>
      </c>
      <c r="DQ105" s="36">
        <v>0</v>
      </c>
      <c r="DR105" s="36">
        <v>0</v>
      </c>
      <c r="DS105" s="36">
        <v>0</v>
      </c>
      <c r="DT105" s="36">
        <v>0</v>
      </c>
      <c r="DU105" s="36">
        <v>0</v>
      </c>
      <c r="DV105" s="36">
        <v>0</v>
      </c>
      <c r="DW105" s="36">
        <v>0</v>
      </c>
      <c r="DX105" s="36">
        <v>0</v>
      </c>
      <c r="DY105" s="36">
        <v>0</v>
      </c>
      <c r="DZ105" s="36">
        <v>0</v>
      </c>
      <c r="EA105" s="36">
        <v>0</v>
      </c>
      <c r="EB105" s="36">
        <v>0</v>
      </c>
      <c r="EC105" s="36">
        <v>0</v>
      </c>
      <c r="ED105" s="36">
        <v>0</v>
      </c>
      <c r="EE105" s="36">
        <v>0</v>
      </c>
      <c r="EF105" s="36">
        <v>0</v>
      </c>
      <c r="EG105" s="36">
        <v>0</v>
      </c>
      <c r="EH105" s="36">
        <v>0</v>
      </c>
      <c r="EI105" s="36">
        <v>0</v>
      </c>
      <c r="EJ105" s="36">
        <v>0</v>
      </c>
      <c r="EK105" s="36">
        <v>0</v>
      </c>
      <c r="EL105" s="36">
        <v>0</v>
      </c>
      <c r="EM105" s="36">
        <v>0</v>
      </c>
      <c r="EN105" s="36">
        <v>0</v>
      </c>
      <c r="EO105" s="36">
        <v>0</v>
      </c>
      <c r="EP105" s="36">
        <v>0</v>
      </c>
      <c r="EQ105" s="36">
        <v>0</v>
      </c>
      <c r="ER105" s="36">
        <v>0</v>
      </c>
      <c r="ES105" s="36">
        <v>0</v>
      </c>
      <c r="ET105" s="36">
        <v>0</v>
      </c>
      <c r="EU105" s="36">
        <v>0</v>
      </c>
      <c r="EV105" s="36">
        <v>0</v>
      </c>
      <c r="EW105" s="36">
        <v>0</v>
      </c>
      <c r="EX105" s="36">
        <v>0</v>
      </c>
      <c r="EY105" s="36">
        <v>0</v>
      </c>
      <c r="EZ105" s="36">
        <v>0</v>
      </c>
      <c r="FA105" s="36">
        <v>0</v>
      </c>
      <c r="FB105" s="36">
        <v>0</v>
      </c>
      <c r="FC105" s="36">
        <v>0</v>
      </c>
      <c r="FD105" s="36">
        <v>0</v>
      </c>
      <c r="FE105" s="36">
        <v>0</v>
      </c>
      <c r="FF105" s="36">
        <v>0</v>
      </c>
      <c r="FG105" s="36">
        <v>0</v>
      </c>
      <c r="FH105" s="36">
        <v>0</v>
      </c>
      <c r="FI105" s="36">
        <v>0</v>
      </c>
      <c r="FJ105" s="36">
        <v>0</v>
      </c>
      <c r="FK105" s="36">
        <v>0</v>
      </c>
      <c r="FL105" s="36">
        <v>0</v>
      </c>
      <c r="FM105" s="36">
        <v>0</v>
      </c>
      <c r="FN105" s="36">
        <v>0</v>
      </c>
      <c r="FO105" s="36">
        <v>0</v>
      </c>
      <c r="FP105" s="36">
        <v>0</v>
      </c>
      <c r="FQ105" s="36">
        <v>0</v>
      </c>
      <c r="FR105" s="36">
        <v>0</v>
      </c>
      <c r="FS105" s="36">
        <v>0</v>
      </c>
      <c r="FT105" s="36">
        <v>0</v>
      </c>
      <c r="FU105" s="36">
        <v>0</v>
      </c>
      <c r="FV105" s="36">
        <v>0</v>
      </c>
      <c r="FW105" s="36">
        <v>0</v>
      </c>
      <c r="FX105" s="36">
        <v>0</v>
      </c>
      <c r="FY105" s="36">
        <v>0</v>
      </c>
      <c r="FZ105" s="36">
        <v>0</v>
      </c>
      <c r="GA105" s="36">
        <v>0</v>
      </c>
      <c r="GB105" s="36">
        <v>0</v>
      </c>
      <c r="GC105" s="36">
        <v>0</v>
      </c>
      <c r="GD105" s="36">
        <v>0</v>
      </c>
      <c r="GE105" s="36">
        <v>0</v>
      </c>
      <c r="GF105" s="36">
        <v>0</v>
      </c>
      <c r="GG105" s="42">
        <v>594.71563714667036</v>
      </c>
      <c r="GH105" s="42">
        <v>984.73701267175363</v>
      </c>
      <c r="GI105" s="42">
        <v>1774.9472377846801</v>
      </c>
      <c r="GJ105" s="42">
        <v>2638.9190104999184</v>
      </c>
      <c r="GK105" s="42">
        <v>2936.1290436261802</v>
      </c>
      <c r="GL105" s="42">
        <v>5514.6980652730663</v>
      </c>
      <c r="GM105" s="42">
        <v>7714.1752202529933</v>
      </c>
      <c r="GN105" s="42">
        <v>14696.883965311168</v>
      </c>
      <c r="GO105" s="42">
        <v>28465.182975502808</v>
      </c>
      <c r="GP105" s="42">
        <v>7273.6980191611137</v>
      </c>
      <c r="GQ105" s="42">
        <v>7557.6582948284567</v>
      </c>
      <c r="GR105" s="42">
        <v>9318.7923096871127</v>
      </c>
      <c r="GS105" s="42">
        <v>10079.388099606489</v>
      </c>
      <c r="GT105" s="42">
        <v>12080.351878434434</v>
      </c>
      <c r="GU105" s="36">
        <v>0</v>
      </c>
      <c r="GV105" s="36">
        <v>0</v>
      </c>
      <c r="GW105" s="36">
        <v>0</v>
      </c>
      <c r="GX105" s="36">
        <v>0</v>
      </c>
      <c r="GY105" s="36">
        <v>0</v>
      </c>
      <c r="GZ105" s="36">
        <v>0</v>
      </c>
      <c r="HA105" s="38">
        <v>-8976.6746296057245</v>
      </c>
      <c r="HB105" s="36">
        <v>44561.514114421996</v>
      </c>
      <c r="HC105" s="36">
        <f t="shared" si="1"/>
        <v>545677.92785544298</v>
      </c>
      <c r="HD105" s="36">
        <f>SUM(CX$5:CX$213)</f>
        <v>545677.92785544298</v>
      </c>
      <c r="HE105" s="41">
        <v>0</v>
      </c>
      <c r="HG105" s="43"/>
      <c r="HH105" s="43"/>
      <c r="HI105" s="43"/>
      <c r="HJ105" s="43"/>
      <c r="HK105" s="43"/>
      <c r="HL105" s="43"/>
      <c r="HM105" s="43"/>
      <c r="HN105" s="43"/>
      <c r="HO105" s="43"/>
      <c r="HP105" s="43"/>
      <c r="HQ105" s="43"/>
      <c r="HR105" s="43"/>
      <c r="HS105" s="43"/>
      <c r="HT105" s="43"/>
    </row>
    <row r="106" spans="1:228" hidden="1" outlineLevel="1" x14ac:dyDescent="0.2">
      <c r="A106" s="9" t="s">
        <v>858</v>
      </c>
      <c r="B106" s="36">
        <v>22654.872861391796</v>
      </c>
      <c r="C106" s="36">
        <v>1311.3159287000481</v>
      </c>
      <c r="D106" s="36">
        <v>6.2886376625502001</v>
      </c>
      <c r="E106" s="36">
        <v>285.60921144329023</v>
      </c>
      <c r="F106" s="36">
        <v>1365.0891311856126</v>
      </c>
      <c r="G106" s="36">
        <v>40872.192480235957</v>
      </c>
      <c r="H106" s="36">
        <v>679.17584444195734</v>
      </c>
      <c r="I106" s="36">
        <v>345.30646144371246</v>
      </c>
      <c r="J106" s="36">
        <v>735.82911137758197</v>
      </c>
      <c r="K106" s="36">
        <v>1354.9596855175791</v>
      </c>
      <c r="L106" s="36">
        <v>145.9230682704067</v>
      </c>
      <c r="M106" s="36">
        <v>317.99246016494362</v>
      </c>
      <c r="N106" s="36">
        <v>882.10329912691998</v>
      </c>
      <c r="O106" s="36">
        <v>536.38476545618664</v>
      </c>
      <c r="P106" s="36">
        <v>1828.7256796484253</v>
      </c>
      <c r="Q106" s="36">
        <v>366.11407466338812</v>
      </c>
      <c r="R106" s="36">
        <v>3725.5448356759566</v>
      </c>
      <c r="S106" s="36">
        <v>19858.787182113228</v>
      </c>
      <c r="T106" s="36">
        <v>21740.228357890941</v>
      </c>
      <c r="U106" s="36">
        <v>2700.9489338971789</v>
      </c>
      <c r="V106" s="36">
        <v>15012.806739470399</v>
      </c>
      <c r="W106" s="36">
        <v>118.92491375004677</v>
      </c>
      <c r="X106" s="36">
        <v>406.01155593838365</v>
      </c>
      <c r="Y106" s="36">
        <v>36.666366947529916</v>
      </c>
      <c r="Z106" s="36">
        <v>123.67644469807585</v>
      </c>
      <c r="AA106" s="36">
        <v>149.11821901246404</v>
      </c>
      <c r="AB106" s="36">
        <v>314.91492224408893</v>
      </c>
      <c r="AC106" s="36">
        <v>12.089686249168096</v>
      </c>
      <c r="AD106" s="36">
        <v>0.68310127503412355</v>
      </c>
      <c r="AE106" s="36">
        <v>520.84035358122458</v>
      </c>
      <c r="AF106" s="36">
        <v>8.7858307861246434</v>
      </c>
      <c r="AG106" s="36">
        <v>157.36799666797035</v>
      </c>
      <c r="AH106" s="36">
        <v>224.62992006665462</v>
      </c>
      <c r="AI106" s="36">
        <v>50.517755919331783</v>
      </c>
      <c r="AJ106" s="36">
        <v>58.102654932398224</v>
      </c>
      <c r="AK106" s="36">
        <v>0</v>
      </c>
      <c r="AL106" s="36">
        <v>0</v>
      </c>
      <c r="AM106" s="36">
        <v>0</v>
      </c>
      <c r="AN106" s="36">
        <v>0</v>
      </c>
      <c r="AO106" s="36">
        <v>11.023889178331261</v>
      </c>
      <c r="AP106" s="36">
        <v>0</v>
      </c>
      <c r="AQ106" s="36">
        <v>0</v>
      </c>
      <c r="AR106" s="36">
        <v>0</v>
      </c>
      <c r="AS106" s="36">
        <v>0</v>
      </c>
      <c r="AT106" s="36">
        <v>0</v>
      </c>
      <c r="AU106" s="36">
        <v>0</v>
      </c>
      <c r="AV106" s="36">
        <v>0</v>
      </c>
      <c r="AW106" s="36">
        <v>0</v>
      </c>
      <c r="AX106" s="36">
        <v>0.3787717808306344</v>
      </c>
      <c r="AY106" s="36">
        <v>0</v>
      </c>
      <c r="AZ106" s="36">
        <v>0</v>
      </c>
      <c r="BA106" s="36">
        <v>0</v>
      </c>
      <c r="BB106" s="36">
        <v>0</v>
      </c>
      <c r="BC106" s="36">
        <v>737.92948397441285</v>
      </c>
      <c r="BD106" s="36">
        <v>3.867901462939388</v>
      </c>
      <c r="BE106" s="36">
        <v>120.73121865178648</v>
      </c>
      <c r="BF106" s="36">
        <v>309.24469866188031</v>
      </c>
      <c r="BG106" s="36">
        <v>0</v>
      </c>
      <c r="BH106" s="36">
        <v>0</v>
      </c>
      <c r="BI106" s="36">
        <v>6.3661855783000023</v>
      </c>
      <c r="BJ106" s="36">
        <v>4392.7337002495751</v>
      </c>
      <c r="BK106" s="36">
        <v>0</v>
      </c>
      <c r="BL106" s="36">
        <v>0</v>
      </c>
      <c r="BM106" s="36">
        <v>0</v>
      </c>
      <c r="BN106" s="36">
        <v>0</v>
      </c>
      <c r="BO106" s="36">
        <v>0</v>
      </c>
      <c r="BP106" s="36">
        <v>0</v>
      </c>
      <c r="BQ106" s="36">
        <v>0</v>
      </c>
      <c r="BR106" s="36">
        <v>0</v>
      </c>
      <c r="BS106" s="36">
        <v>0</v>
      </c>
      <c r="BT106" s="36">
        <v>0</v>
      </c>
      <c r="BU106" s="36">
        <v>0</v>
      </c>
      <c r="BV106" s="36">
        <v>0</v>
      </c>
      <c r="BW106" s="36">
        <v>0</v>
      </c>
      <c r="BX106" s="36">
        <v>0</v>
      </c>
      <c r="BY106" s="36">
        <v>0</v>
      </c>
      <c r="BZ106" s="36">
        <v>0</v>
      </c>
      <c r="CA106" s="36">
        <v>0</v>
      </c>
      <c r="CB106" s="36">
        <v>0</v>
      </c>
      <c r="CC106" s="36">
        <v>0</v>
      </c>
      <c r="CD106" s="36">
        <v>0</v>
      </c>
      <c r="CE106" s="36">
        <v>0</v>
      </c>
      <c r="CF106" s="36">
        <v>0</v>
      </c>
      <c r="CG106" s="36">
        <v>0</v>
      </c>
      <c r="CH106" s="36">
        <v>0</v>
      </c>
      <c r="CI106" s="36">
        <v>0</v>
      </c>
      <c r="CJ106" s="36">
        <v>0</v>
      </c>
      <c r="CK106" s="36">
        <v>0</v>
      </c>
      <c r="CL106" s="36">
        <v>0</v>
      </c>
      <c r="CM106" s="36">
        <v>0</v>
      </c>
      <c r="CN106" s="36">
        <v>0</v>
      </c>
      <c r="CO106" s="36">
        <v>0</v>
      </c>
      <c r="CP106" s="36">
        <v>0</v>
      </c>
      <c r="CQ106" s="36">
        <v>0</v>
      </c>
      <c r="CR106" s="36">
        <v>0</v>
      </c>
      <c r="CS106" s="36">
        <v>0</v>
      </c>
      <c r="CT106" s="36">
        <v>0</v>
      </c>
      <c r="CU106" s="36">
        <v>0</v>
      </c>
      <c r="CV106" s="36">
        <v>0</v>
      </c>
      <c r="CW106" s="36">
        <v>0</v>
      </c>
      <c r="CX106" s="36">
        <v>0</v>
      </c>
      <c r="CY106" s="36">
        <v>0</v>
      </c>
      <c r="CZ106" s="36">
        <v>0</v>
      </c>
      <c r="DA106" s="36">
        <v>0</v>
      </c>
      <c r="DB106" s="36">
        <v>0</v>
      </c>
      <c r="DC106" s="36">
        <v>0</v>
      </c>
      <c r="DD106" s="36">
        <v>0</v>
      </c>
      <c r="DE106" s="36">
        <v>0</v>
      </c>
      <c r="DF106" s="36">
        <v>0</v>
      </c>
      <c r="DG106" s="36">
        <v>0</v>
      </c>
      <c r="DH106" s="36">
        <v>0</v>
      </c>
      <c r="DI106" s="36">
        <v>0</v>
      </c>
      <c r="DJ106" s="36">
        <v>0</v>
      </c>
      <c r="DK106" s="36">
        <v>0</v>
      </c>
      <c r="DL106" s="36">
        <v>0</v>
      </c>
      <c r="DM106" s="36">
        <v>0</v>
      </c>
      <c r="DN106" s="36">
        <v>0</v>
      </c>
      <c r="DO106" s="36">
        <v>0</v>
      </c>
      <c r="DP106" s="36">
        <v>0</v>
      </c>
      <c r="DQ106" s="36">
        <v>0</v>
      </c>
      <c r="DR106" s="36">
        <v>0</v>
      </c>
      <c r="DS106" s="36">
        <v>0</v>
      </c>
      <c r="DT106" s="36">
        <v>0</v>
      </c>
      <c r="DU106" s="36">
        <v>0</v>
      </c>
      <c r="DV106" s="36">
        <v>0</v>
      </c>
      <c r="DW106" s="36">
        <v>0</v>
      </c>
      <c r="DX106" s="36">
        <v>0</v>
      </c>
      <c r="DY106" s="36">
        <v>0</v>
      </c>
      <c r="DZ106" s="36">
        <v>0</v>
      </c>
      <c r="EA106" s="36">
        <v>0</v>
      </c>
      <c r="EB106" s="36">
        <v>0</v>
      </c>
      <c r="EC106" s="36">
        <v>0</v>
      </c>
      <c r="ED106" s="36">
        <v>0</v>
      </c>
      <c r="EE106" s="36">
        <v>0</v>
      </c>
      <c r="EF106" s="36">
        <v>0</v>
      </c>
      <c r="EG106" s="36">
        <v>0</v>
      </c>
      <c r="EH106" s="36">
        <v>0</v>
      </c>
      <c r="EI106" s="36">
        <v>0</v>
      </c>
      <c r="EJ106" s="36">
        <v>0</v>
      </c>
      <c r="EK106" s="36">
        <v>0</v>
      </c>
      <c r="EL106" s="36">
        <v>0</v>
      </c>
      <c r="EM106" s="36">
        <v>0</v>
      </c>
      <c r="EN106" s="36">
        <v>0</v>
      </c>
      <c r="EO106" s="36">
        <v>0</v>
      </c>
      <c r="EP106" s="36">
        <v>0</v>
      </c>
      <c r="EQ106" s="36">
        <v>0</v>
      </c>
      <c r="ER106" s="36">
        <v>0</v>
      </c>
      <c r="ES106" s="36">
        <v>0</v>
      </c>
      <c r="ET106" s="36">
        <v>0</v>
      </c>
      <c r="EU106" s="36">
        <v>0</v>
      </c>
      <c r="EV106" s="36">
        <v>0</v>
      </c>
      <c r="EW106" s="36">
        <v>0</v>
      </c>
      <c r="EX106" s="36">
        <v>0</v>
      </c>
      <c r="EY106" s="36">
        <v>0</v>
      </c>
      <c r="EZ106" s="36">
        <v>0</v>
      </c>
      <c r="FA106" s="36">
        <v>0</v>
      </c>
      <c r="FB106" s="36">
        <v>0</v>
      </c>
      <c r="FC106" s="36">
        <v>0</v>
      </c>
      <c r="FD106" s="36">
        <v>0</v>
      </c>
      <c r="FE106" s="36">
        <v>0</v>
      </c>
      <c r="FF106" s="36">
        <v>0</v>
      </c>
      <c r="FG106" s="36">
        <v>0</v>
      </c>
      <c r="FH106" s="36">
        <v>0</v>
      </c>
      <c r="FI106" s="36">
        <v>0</v>
      </c>
      <c r="FJ106" s="36">
        <v>0</v>
      </c>
      <c r="FK106" s="36">
        <v>0</v>
      </c>
      <c r="FL106" s="36">
        <v>0</v>
      </c>
      <c r="FM106" s="36">
        <v>0</v>
      </c>
      <c r="FN106" s="36">
        <v>0</v>
      </c>
      <c r="FO106" s="36">
        <v>0</v>
      </c>
      <c r="FP106" s="36">
        <v>0</v>
      </c>
      <c r="FQ106" s="36">
        <v>0</v>
      </c>
      <c r="FR106" s="36">
        <v>0</v>
      </c>
      <c r="FS106" s="36">
        <v>0</v>
      </c>
      <c r="FT106" s="36">
        <v>0</v>
      </c>
      <c r="FU106" s="36">
        <v>0</v>
      </c>
      <c r="FV106" s="36">
        <v>0</v>
      </c>
      <c r="FW106" s="36">
        <v>0</v>
      </c>
      <c r="FX106" s="36">
        <v>0</v>
      </c>
      <c r="FY106" s="36">
        <v>0</v>
      </c>
      <c r="FZ106" s="36">
        <v>0</v>
      </c>
      <c r="GA106" s="36">
        <v>0</v>
      </c>
      <c r="GB106" s="36">
        <v>0</v>
      </c>
      <c r="GC106" s="36">
        <v>0</v>
      </c>
      <c r="GD106" s="36">
        <v>0</v>
      </c>
      <c r="GE106" s="36">
        <v>0</v>
      </c>
      <c r="GF106" s="36">
        <v>0</v>
      </c>
      <c r="GG106" s="42">
        <v>66.229582225952868</v>
      </c>
      <c r="GH106" s="42">
        <v>101.27223076844895</v>
      </c>
      <c r="GI106" s="42">
        <v>185.33853192435191</v>
      </c>
      <c r="GJ106" s="42">
        <v>244.9759127738557</v>
      </c>
      <c r="GK106" s="42">
        <v>334.77774966156448</v>
      </c>
      <c r="GL106" s="42">
        <v>317.37169517596152</v>
      </c>
      <c r="GM106" s="42">
        <v>416.76351410888714</v>
      </c>
      <c r="GN106" s="42">
        <v>570.65957180601106</v>
      </c>
      <c r="GO106" s="42">
        <v>1223.8568823534679</v>
      </c>
      <c r="GP106" s="42">
        <v>323.28768022394996</v>
      </c>
      <c r="GQ106" s="42">
        <v>313.10283598741017</v>
      </c>
      <c r="GR106" s="42">
        <v>251.62239752322188</v>
      </c>
      <c r="GS106" s="42">
        <v>405.18464902142438</v>
      </c>
      <c r="GT106" s="42">
        <v>371.21788607808139</v>
      </c>
      <c r="GU106" s="36">
        <v>0</v>
      </c>
      <c r="GV106" s="36">
        <v>0</v>
      </c>
      <c r="GW106" s="36">
        <v>0</v>
      </c>
      <c r="GX106" s="36">
        <v>0</v>
      </c>
      <c r="GY106" s="36">
        <v>0</v>
      </c>
      <c r="GZ106" s="36">
        <v>0</v>
      </c>
      <c r="HA106" s="38">
        <v>-1482.0210795182502</v>
      </c>
      <c r="HB106" s="36">
        <v>56985.794361734188</v>
      </c>
      <c r="HC106" s="36">
        <f t="shared" si="1"/>
        <v>205120.23872323317</v>
      </c>
      <c r="HD106" s="36">
        <f>SUM(CY$5:CY$213)</f>
        <v>205120.23872323317</v>
      </c>
      <c r="HE106" s="41">
        <v>0</v>
      </c>
      <c r="HG106" s="43"/>
      <c r="HH106" s="43"/>
      <c r="HI106" s="43"/>
      <c r="HJ106" s="43"/>
      <c r="HK106" s="43"/>
      <c r="HL106" s="43"/>
      <c r="HM106" s="43"/>
      <c r="HN106" s="43"/>
      <c r="HO106" s="43"/>
      <c r="HP106" s="43"/>
      <c r="HQ106" s="43"/>
      <c r="HR106" s="43"/>
      <c r="HS106" s="43"/>
      <c r="HT106" s="43"/>
    </row>
    <row r="107" spans="1:228" hidden="1" outlineLevel="1" x14ac:dyDescent="0.2">
      <c r="A107" s="9" t="s">
        <v>873</v>
      </c>
      <c r="B107" s="36">
        <v>3216.8294566537934</v>
      </c>
      <c r="C107" s="36">
        <v>0</v>
      </c>
      <c r="D107" s="36">
        <v>0</v>
      </c>
      <c r="E107" s="36">
        <v>0</v>
      </c>
      <c r="F107" s="36">
        <v>0</v>
      </c>
      <c r="G107" s="36">
        <v>0</v>
      </c>
      <c r="H107" s="36">
        <v>0</v>
      </c>
      <c r="I107" s="36">
        <v>8.3712147273052928E-2</v>
      </c>
      <c r="J107" s="36">
        <v>0</v>
      </c>
      <c r="K107" s="36">
        <v>54.811132332867793</v>
      </c>
      <c r="L107" s="36">
        <v>14.8811263281123</v>
      </c>
      <c r="M107" s="36">
        <v>0.45131521618710396</v>
      </c>
      <c r="N107" s="36">
        <v>22.931602990346889</v>
      </c>
      <c r="O107" s="36">
        <v>250.93066850648333</v>
      </c>
      <c r="P107" s="36">
        <v>509.26748178339619</v>
      </c>
      <c r="Q107" s="36">
        <v>1832.6447403269096</v>
      </c>
      <c r="R107" s="36">
        <v>2.6605889499058617</v>
      </c>
      <c r="S107" s="36">
        <v>87.762488252093235</v>
      </c>
      <c r="T107" s="36">
        <v>2386.035069129985</v>
      </c>
      <c r="U107" s="36">
        <v>9.2311790983029294</v>
      </c>
      <c r="V107" s="36">
        <v>865.46549254111096</v>
      </c>
      <c r="W107" s="36">
        <v>134.05191956956071</v>
      </c>
      <c r="X107" s="36">
        <v>292.1539132057593</v>
      </c>
      <c r="Y107" s="36">
        <v>181.49538277685048</v>
      </c>
      <c r="Z107" s="36">
        <v>471.62821836708616</v>
      </c>
      <c r="AA107" s="36">
        <v>690.46558555591491</v>
      </c>
      <c r="AB107" s="36">
        <v>156.80840336100135</v>
      </c>
      <c r="AC107" s="36">
        <v>0.70572215796453364</v>
      </c>
      <c r="AD107" s="36">
        <v>17.581266807130827</v>
      </c>
      <c r="AE107" s="36">
        <v>735.8325062890566</v>
      </c>
      <c r="AF107" s="36">
        <v>136.9450231549738</v>
      </c>
      <c r="AG107" s="36">
        <v>82.004005724293989</v>
      </c>
      <c r="AH107" s="36">
        <v>352.01236613614145</v>
      </c>
      <c r="AI107" s="36">
        <v>88.271325774891949</v>
      </c>
      <c r="AJ107" s="36">
        <v>103.66603180955984</v>
      </c>
      <c r="AK107" s="36">
        <v>8686.6372154867877</v>
      </c>
      <c r="AL107" s="36">
        <v>0</v>
      </c>
      <c r="AM107" s="36">
        <v>0</v>
      </c>
      <c r="AN107" s="36">
        <v>0</v>
      </c>
      <c r="AO107" s="36">
        <v>0</v>
      </c>
      <c r="AP107" s="36">
        <v>0</v>
      </c>
      <c r="AQ107" s="36">
        <v>0</v>
      </c>
      <c r="AR107" s="36">
        <v>0</v>
      </c>
      <c r="AS107" s="36">
        <v>0</v>
      </c>
      <c r="AT107" s="36">
        <v>0</v>
      </c>
      <c r="AU107" s="36">
        <v>0</v>
      </c>
      <c r="AV107" s="36">
        <v>0</v>
      </c>
      <c r="AW107" s="36">
        <v>0</v>
      </c>
      <c r="AX107" s="36">
        <v>2554.5908863060736</v>
      </c>
      <c r="AY107" s="36">
        <v>0</v>
      </c>
      <c r="AZ107" s="36">
        <v>0</v>
      </c>
      <c r="BA107" s="36">
        <v>0</v>
      </c>
      <c r="BB107" s="36">
        <v>0</v>
      </c>
      <c r="BC107" s="36">
        <v>1218.546437274972</v>
      </c>
      <c r="BD107" s="36">
        <v>111.36664455593565</v>
      </c>
      <c r="BE107" s="36">
        <v>152.93169920835956</v>
      </c>
      <c r="BF107" s="36">
        <v>0</v>
      </c>
      <c r="BG107" s="36">
        <v>0</v>
      </c>
      <c r="BH107" s="36">
        <v>17.166895041383697</v>
      </c>
      <c r="BI107" s="36">
        <v>0</v>
      </c>
      <c r="BJ107" s="36">
        <v>4244.9351687802473</v>
      </c>
      <c r="BK107" s="36">
        <v>0</v>
      </c>
      <c r="BL107" s="36">
        <v>0</v>
      </c>
      <c r="BM107" s="36">
        <v>0</v>
      </c>
      <c r="BN107" s="36">
        <v>0</v>
      </c>
      <c r="BO107" s="36">
        <v>0</v>
      </c>
      <c r="BP107" s="36">
        <v>0</v>
      </c>
      <c r="BQ107" s="36">
        <v>0</v>
      </c>
      <c r="BR107" s="36">
        <v>0</v>
      </c>
      <c r="BS107" s="36">
        <v>0</v>
      </c>
      <c r="BT107" s="36">
        <v>0</v>
      </c>
      <c r="BU107" s="36">
        <v>0</v>
      </c>
      <c r="BV107" s="36">
        <v>0</v>
      </c>
      <c r="BW107" s="36">
        <v>0</v>
      </c>
      <c r="BX107" s="36">
        <v>0</v>
      </c>
      <c r="BY107" s="36">
        <v>0</v>
      </c>
      <c r="BZ107" s="36">
        <v>0</v>
      </c>
      <c r="CA107" s="36">
        <v>0</v>
      </c>
      <c r="CB107" s="36">
        <v>0</v>
      </c>
      <c r="CC107" s="36">
        <v>0</v>
      </c>
      <c r="CD107" s="36">
        <v>0</v>
      </c>
      <c r="CE107" s="36">
        <v>0</v>
      </c>
      <c r="CF107" s="36">
        <v>0</v>
      </c>
      <c r="CG107" s="36">
        <v>0</v>
      </c>
      <c r="CH107" s="36">
        <v>0</v>
      </c>
      <c r="CI107" s="36">
        <v>0</v>
      </c>
      <c r="CJ107" s="36">
        <v>0</v>
      </c>
      <c r="CK107" s="36">
        <v>0</v>
      </c>
      <c r="CL107" s="36">
        <v>0</v>
      </c>
      <c r="CM107" s="36">
        <v>0</v>
      </c>
      <c r="CN107" s="36">
        <v>0</v>
      </c>
      <c r="CO107" s="36">
        <v>0</v>
      </c>
      <c r="CP107" s="36">
        <v>0</v>
      </c>
      <c r="CQ107" s="36">
        <v>0</v>
      </c>
      <c r="CR107" s="36">
        <v>0</v>
      </c>
      <c r="CS107" s="36">
        <v>0</v>
      </c>
      <c r="CT107" s="36">
        <v>0</v>
      </c>
      <c r="CU107" s="36">
        <v>0</v>
      </c>
      <c r="CV107" s="36">
        <v>0</v>
      </c>
      <c r="CW107" s="36">
        <v>0</v>
      </c>
      <c r="CX107" s="36">
        <v>0</v>
      </c>
      <c r="CY107" s="36">
        <v>0</v>
      </c>
      <c r="CZ107" s="36">
        <v>0</v>
      </c>
      <c r="DA107" s="36">
        <v>0</v>
      </c>
      <c r="DB107" s="36">
        <v>0</v>
      </c>
      <c r="DC107" s="36">
        <v>0</v>
      </c>
      <c r="DD107" s="36">
        <v>0</v>
      </c>
      <c r="DE107" s="36">
        <v>0</v>
      </c>
      <c r="DF107" s="36">
        <v>0</v>
      </c>
      <c r="DG107" s="36">
        <v>0</v>
      </c>
      <c r="DH107" s="36">
        <v>0</v>
      </c>
      <c r="DI107" s="36">
        <v>0</v>
      </c>
      <c r="DJ107" s="36">
        <v>0</v>
      </c>
      <c r="DK107" s="36">
        <v>0</v>
      </c>
      <c r="DL107" s="36">
        <v>0</v>
      </c>
      <c r="DM107" s="36">
        <v>0</v>
      </c>
      <c r="DN107" s="36">
        <v>0</v>
      </c>
      <c r="DO107" s="36">
        <v>0</v>
      </c>
      <c r="DP107" s="36">
        <v>0</v>
      </c>
      <c r="DQ107" s="36">
        <v>0</v>
      </c>
      <c r="DR107" s="36">
        <v>0</v>
      </c>
      <c r="DS107" s="36">
        <v>0</v>
      </c>
      <c r="DT107" s="36">
        <v>0</v>
      </c>
      <c r="DU107" s="36">
        <v>0</v>
      </c>
      <c r="DV107" s="36">
        <v>0</v>
      </c>
      <c r="DW107" s="36">
        <v>0</v>
      </c>
      <c r="DX107" s="36">
        <v>0</v>
      </c>
      <c r="DY107" s="36">
        <v>0</v>
      </c>
      <c r="DZ107" s="36">
        <v>0</v>
      </c>
      <c r="EA107" s="36">
        <v>0</v>
      </c>
      <c r="EB107" s="36">
        <v>0</v>
      </c>
      <c r="EC107" s="36">
        <v>0</v>
      </c>
      <c r="ED107" s="36">
        <v>0</v>
      </c>
      <c r="EE107" s="36">
        <v>0</v>
      </c>
      <c r="EF107" s="36">
        <v>0</v>
      </c>
      <c r="EG107" s="36">
        <v>0</v>
      </c>
      <c r="EH107" s="36">
        <v>0</v>
      </c>
      <c r="EI107" s="36">
        <v>0</v>
      </c>
      <c r="EJ107" s="36">
        <v>0</v>
      </c>
      <c r="EK107" s="36">
        <v>0</v>
      </c>
      <c r="EL107" s="36">
        <v>0</v>
      </c>
      <c r="EM107" s="36">
        <v>0</v>
      </c>
      <c r="EN107" s="36">
        <v>0</v>
      </c>
      <c r="EO107" s="36">
        <v>0</v>
      </c>
      <c r="EP107" s="36">
        <v>0</v>
      </c>
      <c r="EQ107" s="36">
        <v>0</v>
      </c>
      <c r="ER107" s="36">
        <v>0</v>
      </c>
      <c r="ES107" s="36">
        <v>0</v>
      </c>
      <c r="ET107" s="36">
        <v>0</v>
      </c>
      <c r="EU107" s="36">
        <v>0</v>
      </c>
      <c r="EV107" s="36">
        <v>0</v>
      </c>
      <c r="EW107" s="36">
        <v>0</v>
      </c>
      <c r="EX107" s="36">
        <v>0</v>
      </c>
      <c r="EY107" s="36">
        <v>0</v>
      </c>
      <c r="EZ107" s="36">
        <v>0</v>
      </c>
      <c r="FA107" s="36">
        <v>0</v>
      </c>
      <c r="FB107" s="36">
        <v>0</v>
      </c>
      <c r="FC107" s="36">
        <v>0</v>
      </c>
      <c r="FD107" s="36">
        <v>0</v>
      </c>
      <c r="FE107" s="36">
        <v>0</v>
      </c>
      <c r="FF107" s="36">
        <v>0</v>
      </c>
      <c r="FG107" s="36">
        <v>0</v>
      </c>
      <c r="FH107" s="36">
        <v>0</v>
      </c>
      <c r="FI107" s="36">
        <v>0</v>
      </c>
      <c r="FJ107" s="36">
        <v>0</v>
      </c>
      <c r="FK107" s="36">
        <v>0</v>
      </c>
      <c r="FL107" s="36">
        <v>0</v>
      </c>
      <c r="FM107" s="36">
        <v>0</v>
      </c>
      <c r="FN107" s="36">
        <v>0</v>
      </c>
      <c r="FO107" s="36">
        <v>0</v>
      </c>
      <c r="FP107" s="36">
        <v>0</v>
      </c>
      <c r="FQ107" s="36">
        <v>0</v>
      </c>
      <c r="FR107" s="36">
        <v>0</v>
      </c>
      <c r="FS107" s="36">
        <v>0</v>
      </c>
      <c r="FT107" s="36">
        <v>0</v>
      </c>
      <c r="FU107" s="36">
        <v>0</v>
      </c>
      <c r="FV107" s="36">
        <v>0</v>
      </c>
      <c r="FW107" s="36">
        <v>0</v>
      </c>
      <c r="FX107" s="36">
        <v>0</v>
      </c>
      <c r="FY107" s="36">
        <v>0</v>
      </c>
      <c r="FZ107" s="36">
        <v>0</v>
      </c>
      <c r="GA107" s="36">
        <v>0</v>
      </c>
      <c r="GB107" s="36">
        <v>0</v>
      </c>
      <c r="GC107" s="36">
        <v>0</v>
      </c>
      <c r="GD107" s="36">
        <v>0</v>
      </c>
      <c r="GE107" s="36">
        <v>0</v>
      </c>
      <c r="GF107" s="36">
        <v>0</v>
      </c>
      <c r="GG107" s="42">
        <v>7.9700984928856791</v>
      </c>
      <c r="GH107" s="42">
        <v>82.230523133989109</v>
      </c>
      <c r="GI107" s="42">
        <v>136.09487792242837</v>
      </c>
      <c r="GJ107" s="42">
        <v>223.30730777218992</v>
      </c>
      <c r="GK107" s="42">
        <v>17.89987046657285</v>
      </c>
      <c r="GL107" s="42">
        <v>50.682189017268861</v>
      </c>
      <c r="GM107" s="42">
        <v>64.312375610505185</v>
      </c>
      <c r="GN107" s="42">
        <v>105.59471264029979</v>
      </c>
      <c r="GO107" s="42">
        <v>23.777012248088433</v>
      </c>
      <c r="GP107" s="42">
        <v>0</v>
      </c>
      <c r="GQ107" s="42">
        <v>17.517416920274247</v>
      </c>
      <c r="GR107" s="42">
        <v>41.673368717669227</v>
      </c>
      <c r="GS107" s="42">
        <v>35.712524162359195</v>
      </c>
      <c r="GT107" s="42">
        <v>0</v>
      </c>
      <c r="GU107" s="36">
        <v>0</v>
      </c>
      <c r="GV107" s="36">
        <v>0</v>
      </c>
      <c r="GW107" s="36">
        <v>0</v>
      </c>
      <c r="GX107" s="36">
        <v>0</v>
      </c>
      <c r="GY107" s="36">
        <v>0</v>
      </c>
      <c r="GZ107" s="36">
        <v>0</v>
      </c>
      <c r="HA107" s="38">
        <v>323.36913741115859</v>
      </c>
      <c r="HB107" s="36">
        <v>2756.2288495899825</v>
      </c>
      <c r="HC107" s="36">
        <f t="shared" si="1"/>
        <v>33570.152935706385</v>
      </c>
      <c r="HD107" s="36">
        <f>SUM(CZ$5:CZ$213)</f>
        <v>33570.152935706385</v>
      </c>
      <c r="HE107" s="41">
        <v>0</v>
      </c>
      <c r="HG107" s="43"/>
      <c r="HH107" s="43"/>
      <c r="HI107" s="43"/>
      <c r="HJ107" s="43"/>
      <c r="HK107" s="43"/>
      <c r="HL107" s="43"/>
      <c r="HM107" s="43"/>
      <c r="HN107" s="43"/>
      <c r="HO107" s="43"/>
      <c r="HP107" s="43"/>
      <c r="HQ107" s="43"/>
      <c r="HR107" s="43"/>
      <c r="HS107" s="43"/>
      <c r="HT107" s="43"/>
    </row>
    <row r="108" spans="1:228" hidden="1" outlineLevel="1" x14ac:dyDescent="0.2">
      <c r="A108" s="9" t="s">
        <v>878</v>
      </c>
      <c r="B108" s="36">
        <v>2880.7434192366009</v>
      </c>
      <c r="C108" s="36">
        <v>0</v>
      </c>
      <c r="D108" s="36">
        <v>0</v>
      </c>
      <c r="E108" s="36">
        <v>0</v>
      </c>
      <c r="F108" s="36">
        <v>0</v>
      </c>
      <c r="G108" s="36">
        <v>0</v>
      </c>
      <c r="H108" s="36">
        <v>0</v>
      </c>
      <c r="I108" s="36">
        <v>624.01382290576589</v>
      </c>
      <c r="J108" s="36">
        <v>20.325845256049814</v>
      </c>
      <c r="K108" s="36">
        <v>0</v>
      </c>
      <c r="L108" s="36">
        <v>0</v>
      </c>
      <c r="M108" s="36">
        <v>0</v>
      </c>
      <c r="N108" s="36">
        <v>0</v>
      </c>
      <c r="O108" s="36">
        <v>0</v>
      </c>
      <c r="P108" s="36">
        <v>0</v>
      </c>
      <c r="Q108" s="36">
        <v>0</v>
      </c>
      <c r="R108" s="36">
        <v>0</v>
      </c>
      <c r="S108" s="36">
        <v>7.6009638518590492</v>
      </c>
      <c r="T108" s="36">
        <v>6774.7732913772998</v>
      </c>
      <c r="U108" s="36">
        <v>0</v>
      </c>
      <c r="V108" s="36">
        <v>0</v>
      </c>
      <c r="W108" s="36">
        <v>0</v>
      </c>
      <c r="X108" s="36">
        <v>0</v>
      </c>
      <c r="Y108" s="36">
        <v>0</v>
      </c>
      <c r="Z108" s="36">
        <v>0</v>
      </c>
      <c r="AA108" s="36">
        <v>0</v>
      </c>
      <c r="AB108" s="36">
        <v>0</v>
      </c>
      <c r="AC108" s="36">
        <v>0</v>
      </c>
      <c r="AD108" s="36">
        <v>16.359469716669182</v>
      </c>
      <c r="AE108" s="36">
        <v>0</v>
      </c>
      <c r="AF108" s="36">
        <v>0</v>
      </c>
      <c r="AG108" s="36">
        <v>0</v>
      </c>
      <c r="AH108" s="36">
        <v>0</v>
      </c>
      <c r="AI108" s="36">
        <v>154.16641349042666</v>
      </c>
      <c r="AJ108" s="36">
        <v>192.73531324590695</v>
      </c>
      <c r="AK108" s="36">
        <v>0</v>
      </c>
      <c r="AL108" s="36">
        <v>0</v>
      </c>
      <c r="AM108" s="36">
        <v>0</v>
      </c>
      <c r="AN108" s="36">
        <v>0</v>
      </c>
      <c r="AO108" s="36">
        <v>0</v>
      </c>
      <c r="AP108" s="36">
        <v>0</v>
      </c>
      <c r="AQ108" s="36">
        <v>0</v>
      </c>
      <c r="AR108" s="36">
        <v>0</v>
      </c>
      <c r="AS108" s="36">
        <v>0</v>
      </c>
      <c r="AT108" s="36">
        <v>0</v>
      </c>
      <c r="AU108" s="36">
        <v>0</v>
      </c>
      <c r="AV108" s="36">
        <v>0</v>
      </c>
      <c r="AW108" s="36">
        <v>0</v>
      </c>
      <c r="AX108" s="36">
        <v>0</v>
      </c>
      <c r="AY108" s="36">
        <v>0</v>
      </c>
      <c r="AZ108" s="36">
        <v>0</v>
      </c>
      <c r="BA108" s="36">
        <v>0</v>
      </c>
      <c r="BB108" s="36">
        <v>0</v>
      </c>
      <c r="BC108" s="36">
        <v>3205.1741238183345</v>
      </c>
      <c r="BD108" s="36">
        <v>14.703397479386201</v>
      </c>
      <c r="BE108" s="36">
        <v>31408.616288269899</v>
      </c>
      <c r="BF108" s="36">
        <v>25.85736023413309</v>
      </c>
      <c r="BG108" s="36">
        <v>0</v>
      </c>
      <c r="BH108" s="36">
        <v>0.47288514973965923</v>
      </c>
      <c r="BI108" s="36">
        <v>0</v>
      </c>
      <c r="BJ108" s="36">
        <v>285.60557404076513</v>
      </c>
      <c r="BK108" s="36">
        <v>0</v>
      </c>
      <c r="BL108" s="36">
        <v>0</v>
      </c>
      <c r="BM108" s="36">
        <v>0</v>
      </c>
      <c r="BN108" s="36">
        <v>0</v>
      </c>
      <c r="BO108" s="36">
        <v>0</v>
      </c>
      <c r="BP108" s="36">
        <v>0</v>
      </c>
      <c r="BQ108" s="36">
        <v>0</v>
      </c>
      <c r="BR108" s="36">
        <v>0</v>
      </c>
      <c r="BS108" s="36">
        <v>0</v>
      </c>
      <c r="BT108" s="36">
        <v>0</v>
      </c>
      <c r="BU108" s="36">
        <v>0</v>
      </c>
      <c r="BV108" s="36">
        <v>0</v>
      </c>
      <c r="BW108" s="36">
        <v>0</v>
      </c>
      <c r="BX108" s="36">
        <v>0</v>
      </c>
      <c r="BY108" s="36">
        <v>0</v>
      </c>
      <c r="BZ108" s="36">
        <v>0</v>
      </c>
      <c r="CA108" s="36">
        <v>0</v>
      </c>
      <c r="CB108" s="36">
        <v>0</v>
      </c>
      <c r="CC108" s="36">
        <v>0</v>
      </c>
      <c r="CD108" s="36">
        <v>0</v>
      </c>
      <c r="CE108" s="36">
        <v>0</v>
      </c>
      <c r="CF108" s="36">
        <v>0</v>
      </c>
      <c r="CG108" s="36">
        <v>0</v>
      </c>
      <c r="CH108" s="36">
        <v>0</v>
      </c>
      <c r="CI108" s="36">
        <v>0</v>
      </c>
      <c r="CJ108" s="36">
        <v>0</v>
      </c>
      <c r="CK108" s="36">
        <v>0</v>
      </c>
      <c r="CL108" s="36">
        <v>0</v>
      </c>
      <c r="CM108" s="36">
        <v>0</v>
      </c>
      <c r="CN108" s="36">
        <v>0</v>
      </c>
      <c r="CO108" s="36">
        <v>0</v>
      </c>
      <c r="CP108" s="36">
        <v>0</v>
      </c>
      <c r="CQ108" s="36">
        <v>0</v>
      </c>
      <c r="CR108" s="36">
        <v>0</v>
      </c>
      <c r="CS108" s="36">
        <v>0</v>
      </c>
      <c r="CT108" s="36">
        <v>0</v>
      </c>
      <c r="CU108" s="36">
        <v>0</v>
      </c>
      <c r="CV108" s="36">
        <v>0</v>
      </c>
      <c r="CW108" s="36">
        <v>0</v>
      </c>
      <c r="CX108" s="36">
        <v>0</v>
      </c>
      <c r="CY108" s="36">
        <v>0</v>
      </c>
      <c r="CZ108" s="36">
        <v>0</v>
      </c>
      <c r="DA108" s="36">
        <v>0</v>
      </c>
      <c r="DB108" s="36">
        <v>0</v>
      </c>
      <c r="DC108" s="36">
        <v>0</v>
      </c>
      <c r="DD108" s="36">
        <v>0</v>
      </c>
      <c r="DE108" s="36">
        <v>0</v>
      </c>
      <c r="DF108" s="36">
        <v>0</v>
      </c>
      <c r="DG108" s="36">
        <v>0</v>
      </c>
      <c r="DH108" s="36">
        <v>0</v>
      </c>
      <c r="DI108" s="36">
        <v>0</v>
      </c>
      <c r="DJ108" s="36">
        <v>0</v>
      </c>
      <c r="DK108" s="36">
        <v>0</v>
      </c>
      <c r="DL108" s="36">
        <v>0</v>
      </c>
      <c r="DM108" s="36">
        <v>0</v>
      </c>
      <c r="DN108" s="36">
        <v>0</v>
      </c>
      <c r="DO108" s="36">
        <v>0</v>
      </c>
      <c r="DP108" s="36">
        <v>0</v>
      </c>
      <c r="DQ108" s="36">
        <v>0</v>
      </c>
      <c r="DR108" s="36">
        <v>0</v>
      </c>
      <c r="DS108" s="36">
        <v>0</v>
      </c>
      <c r="DT108" s="36">
        <v>0</v>
      </c>
      <c r="DU108" s="36">
        <v>0</v>
      </c>
      <c r="DV108" s="36">
        <v>0</v>
      </c>
      <c r="DW108" s="36">
        <v>0</v>
      </c>
      <c r="DX108" s="36">
        <v>0</v>
      </c>
      <c r="DY108" s="36">
        <v>0</v>
      </c>
      <c r="DZ108" s="36">
        <v>0</v>
      </c>
      <c r="EA108" s="36">
        <v>0</v>
      </c>
      <c r="EB108" s="36">
        <v>0</v>
      </c>
      <c r="EC108" s="36">
        <v>0</v>
      </c>
      <c r="ED108" s="36">
        <v>0</v>
      </c>
      <c r="EE108" s="36">
        <v>0</v>
      </c>
      <c r="EF108" s="36">
        <v>0</v>
      </c>
      <c r="EG108" s="36">
        <v>0</v>
      </c>
      <c r="EH108" s="36">
        <v>0</v>
      </c>
      <c r="EI108" s="36">
        <v>0</v>
      </c>
      <c r="EJ108" s="36">
        <v>0</v>
      </c>
      <c r="EK108" s="36">
        <v>0</v>
      </c>
      <c r="EL108" s="36">
        <v>0</v>
      </c>
      <c r="EM108" s="36">
        <v>0</v>
      </c>
      <c r="EN108" s="36">
        <v>0</v>
      </c>
      <c r="EO108" s="36">
        <v>0</v>
      </c>
      <c r="EP108" s="36">
        <v>0</v>
      </c>
      <c r="EQ108" s="36">
        <v>0</v>
      </c>
      <c r="ER108" s="36">
        <v>0</v>
      </c>
      <c r="ES108" s="36">
        <v>0</v>
      </c>
      <c r="ET108" s="36">
        <v>0</v>
      </c>
      <c r="EU108" s="36">
        <v>0</v>
      </c>
      <c r="EV108" s="36">
        <v>0</v>
      </c>
      <c r="EW108" s="36">
        <v>0</v>
      </c>
      <c r="EX108" s="36">
        <v>0</v>
      </c>
      <c r="EY108" s="36">
        <v>0</v>
      </c>
      <c r="EZ108" s="36">
        <v>0</v>
      </c>
      <c r="FA108" s="36">
        <v>0</v>
      </c>
      <c r="FB108" s="36">
        <v>0</v>
      </c>
      <c r="FC108" s="36">
        <v>0</v>
      </c>
      <c r="FD108" s="36">
        <v>0</v>
      </c>
      <c r="FE108" s="36">
        <v>0</v>
      </c>
      <c r="FF108" s="36">
        <v>0</v>
      </c>
      <c r="FG108" s="36">
        <v>0</v>
      </c>
      <c r="FH108" s="36">
        <v>0</v>
      </c>
      <c r="FI108" s="36">
        <v>0</v>
      </c>
      <c r="FJ108" s="36">
        <v>0</v>
      </c>
      <c r="FK108" s="36">
        <v>0</v>
      </c>
      <c r="FL108" s="36">
        <v>0</v>
      </c>
      <c r="FM108" s="36">
        <v>0</v>
      </c>
      <c r="FN108" s="36">
        <v>0</v>
      </c>
      <c r="FO108" s="36">
        <v>0</v>
      </c>
      <c r="FP108" s="36">
        <v>0</v>
      </c>
      <c r="FQ108" s="36">
        <v>0</v>
      </c>
      <c r="FR108" s="36">
        <v>0</v>
      </c>
      <c r="FS108" s="36">
        <v>0</v>
      </c>
      <c r="FT108" s="36">
        <v>0</v>
      </c>
      <c r="FU108" s="36">
        <v>0</v>
      </c>
      <c r="FV108" s="36">
        <v>0</v>
      </c>
      <c r="FW108" s="36">
        <v>0</v>
      </c>
      <c r="FX108" s="36">
        <v>0</v>
      </c>
      <c r="FY108" s="36">
        <v>0</v>
      </c>
      <c r="FZ108" s="36">
        <v>0</v>
      </c>
      <c r="GA108" s="36">
        <v>0</v>
      </c>
      <c r="GB108" s="36">
        <v>0</v>
      </c>
      <c r="GC108" s="36">
        <v>0</v>
      </c>
      <c r="GD108" s="36">
        <v>0</v>
      </c>
      <c r="GE108" s="36">
        <v>0</v>
      </c>
      <c r="GF108" s="36">
        <v>0</v>
      </c>
      <c r="GG108" s="42">
        <v>1532.3057869498348</v>
      </c>
      <c r="GH108" s="42">
        <v>2162.6860115212585</v>
      </c>
      <c r="GI108" s="42">
        <v>2963.9489464321</v>
      </c>
      <c r="GJ108" s="42">
        <v>2854.5028389038098</v>
      </c>
      <c r="GK108" s="42">
        <v>3664.5212218669758</v>
      </c>
      <c r="GL108" s="42">
        <v>4417.9053405680361</v>
      </c>
      <c r="GM108" s="42">
        <v>4700.8701513658898</v>
      </c>
      <c r="GN108" s="42">
        <v>9941.846936774853</v>
      </c>
      <c r="GO108" s="42">
        <v>13493.027275146795</v>
      </c>
      <c r="GP108" s="42">
        <v>4460.1558497980413</v>
      </c>
      <c r="GQ108" s="42">
        <v>3786.5308528046821</v>
      </c>
      <c r="GR108" s="42">
        <v>5976.9361778346502</v>
      </c>
      <c r="GS108" s="42">
        <v>4978.2019315784573</v>
      </c>
      <c r="GT108" s="42">
        <v>6498.9116493753463</v>
      </c>
      <c r="GU108" s="36">
        <v>0</v>
      </c>
      <c r="GV108" s="36">
        <v>0</v>
      </c>
      <c r="GW108" s="36">
        <v>0</v>
      </c>
      <c r="GX108" s="36">
        <v>0</v>
      </c>
      <c r="GY108" s="36">
        <v>0</v>
      </c>
      <c r="GZ108" s="36">
        <v>0</v>
      </c>
      <c r="HA108" s="38">
        <v>-670.3853738357866</v>
      </c>
      <c r="HB108" s="36">
        <v>7126.1080643495579</v>
      </c>
      <c r="HC108" s="36">
        <f t="shared" si="1"/>
        <v>123499.22182950735</v>
      </c>
      <c r="HD108" s="36">
        <f>SUM(DA$5:DA$213)</f>
        <v>123499.22182950735</v>
      </c>
      <c r="HE108" s="41">
        <v>0</v>
      </c>
      <c r="HG108" s="43"/>
      <c r="HH108" s="43"/>
      <c r="HI108" s="43"/>
      <c r="HJ108" s="43"/>
      <c r="HK108" s="43"/>
      <c r="HL108" s="43"/>
      <c r="HM108" s="43"/>
      <c r="HN108" s="43"/>
      <c r="HO108" s="43"/>
      <c r="HP108" s="43"/>
      <c r="HQ108" s="43"/>
      <c r="HR108" s="43"/>
      <c r="HS108" s="43"/>
      <c r="HT108" s="43"/>
    </row>
    <row r="109" spans="1:228" hidden="1" outlineLevel="1" x14ac:dyDescent="0.2">
      <c r="A109" s="9" t="s">
        <v>882</v>
      </c>
      <c r="B109" s="36">
        <v>1927.9941161903748</v>
      </c>
      <c r="C109" s="36">
        <v>0</v>
      </c>
      <c r="D109" s="36">
        <v>0</v>
      </c>
      <c r="E109" s="36">
        <v>0</v>
      </c>
      <c r="F109" s="36">
        <v>0</v>
      </c>
      <c r="G109" s="36">
        <v>0</v>
      </c>
      <c r="H109" s="36">
        <v>0</v>
      </c>
      <c r="I109" s="36">
        <v>559.45452583175711</v>
      </c>
      <c r="J109" s="36">
        <v>76.842925543962522</v>
      </c>
      <c r="K109" s="36">
        <v>12.465349515582187</v>
      </c>
      <c r="L109" s="36">
        <v>1407.0534592544464</v>
      </c>
      <c r="M109" s="36">
        <v>6.3020025664368351</v>
      </c>
      <c r="N109" s="36">
        <v>1.102114552692165</v>
      </c>
      <c r="O109" s="36">
        <v>16.947770713198945</v>
      </c>
      <c r="P109" s="36">
        <v>568.74259078562443</v>
      </c>
      <c r="Q109" s="36">
        <v>95.149888961267507</v>
      </c>
      <c r="R109" s="36">
        <v>4.7628823373073637</v>
      </c>
      <c r="S109" s="36">
        <v>97.346569131672311</v>
      </c>
      <c r="T109" s="36">
        <v>4225.992184043881</v>
      </c>
      <c r="U109" s="36">
        <v>9.7279784754394854</v>
      </c>
      <c r="V109" s="36">
        <v>48.199899682843728</v>
      </c>
      <c r="W109" s="36">
        <v>1.3501900436191425</v>
      </c>
      <c r="X109" s="36">
        <v>52.5380974825366</v>
      </c>
      <c r="Y109" s="36">
        <v>30.760431320571808</v>
      </c>
      <c r="Z109" s="36">
        <v>237.12875239920589</v>
      </c>
      <c r="AA109" s="36">
        <v>223.19665756184756</v>
      </c>
      <c r="AB109" s="36">
        <v>49.852334561528437</v>
      </c>
      <c r="AC109" s="36">
        <v>41.789410049568232</v>
      </c>
      <c r="AD109" s="36">
        <v>3.4240124691542198</v>
      </c>
      <c r="AE109" s="36">
        <v>878.29508376781894</v>
      </c>
      <c r="AF109" s="36">
        <v>6.4713978644108536</v>
      </c>
      <c r="AG109" s="36">
        <v>37.630478929186914</v>
      </c>
      <c r="AH109" s="36">
        <v>64.920776601483524</v>
      </c>
      <c r="AI109" s="36">
        <v>51.846316530644238</v>
      </c>
      <c r="AJ109" s="36">
        <v>59.508136597068074</v>
      </c>
      <c r="AK109" s="36">
        <v>0</v>
      </c>
      <c r="AL109" s="36">
        <v>0</v>
      </c>
      <c r="AM109" s="36">
        <v>0</v>
      </c>
      <c r="AN109" s="36">
        <v>0</v>
      </c>
      <c r="AO109" s="36">
        <v>611.06183210993322</v>
      </c>
      <c r="AP109" s="36">
        <v>217.36744701315686</v>
      </c>
      <c r="AQ109" s="36">
        <v>5.7748345540566586</v>
      </c>
      <c r="AR109" s="36">
        <v>6.4138267361447792</v>
      </c>
      <c r="AS109" s="36">
        <v>0</v>
      </c>
      <c r="AT109" s="36">
        <v>129.48120406828357</v>
      </c>
      <c r="AU109" s="36">
        <v>0</v>
      </c>
      <c r="AV109" s="36">
        <v>0</v>
      </c>
      <c r="AW109" s="36">
        <v>0</v>
      </c>
      <c r="AX109" s="36">
        <v>0</v>
      </c>
      <c r="AY109" s="36">
        <v>0</v>
      </c>
      <c r="AZ109" s="36">
        <v>0</v>
      </c>
      <c r="BA109" s="36">
        <v>0</v>
      </c>
      <c r="BB109" s="36">
        <v>0</v>
      </c>
      <c r="BC109" s="36">
        <v>588.20533002020966</v>
      </c>
      <c r="BD109" s="36">
        <v>54.342559973039982</v>
      </c>
      <c r="BE109" s="36">
        <v>1220.8400744080041</v>
      </c>
      <c r="BF109" s="36">
        <v>1205.2580433338394</v>
      </c>
      <c r="BG109" s="36">
        <v>0</v>
      </c>
      <c r="BH109" s="36">
        <v>34.429816478252022</v>
      </c>
      <c r="BI109" s="36">
        <v>376.01826463962817</v>
      </c>
      <c r="BJ109" s="36">
        <v>6835.1323528592184</v>
      </c>
      <c r="BK109" s="36">
        <v>0</v>
      </c>
      <c r="BL109" s="36">
        <v>0</v>
      </c>
      <c r="BM109" s="36">
        <v>0</v>
      </c>
      <c r="BN109" s="36">
        <v>0</v>
      </c>
      <c r="BO109" s="36">
        <v>0</v>
      </c>
      <c r="BP109" s="36">
        <v>0</v>
      </c>
      <c r="BQ109" s="36">
        <v>0</v>
      </c>
      <c r="BR109" s="36">
        <v>0</v>
      </c>
      <c r="BS109" s="36">
        <v>0</v>
      </c>
      <c r="BT109" s="36">
        <v>0</v>
      </c>
      <c r="BU109" s="36">
        <v>0</v>
      </c>
      <c r="BV109" s="36">
        <v>0</v>
      </c>
      <c r="BW109" s="36">
        <v>0</v>
      </c>
      <c r="BX109" s="36">
        <v>0</v>
      </c>
      <c r="BY109" s="36">
        <v>0</v>
      </c>
      <c r="BZ109" s="36">
        <v>0</v>
      </c>
      <c r="CA109" s="36">
        <v>0</v>
      </c>
      <c r="CB109" s="36">
        <v>0</v>
      </c>
      <c r="CC109" s="36">
        <v>0</v>
      </c>
      <c r="CD109" s="36">
        <v>0</v>
      </c>
      <c r="CE109" s="36">
        <v>0</v>
      </c>
      <c r="CF109" s="36">
        <v>0</v>
      </c>
      <c r="CG109" s="36">
        <v>0</v>
      </c>
      <c r="CH109" s="36">
        <v>0</v>
      </c>
      <c r="CI109" s="36">
        <v>0</v>
      </c>
      <c r="CJ109" s="36">
        <v>0</v>
      </c>
      <c r="CK109" s="36">
        <v>0</v>
      </c>
      <c r="CL109" s="36">
        <v>0</v>
      </c>
      <c r="CM109" s="36">
        <v>0</v>
      </c>
      <c r="CN109" s="36">
        <v>0</v>
      </c>
      <c r="CO109" s="36">
        <v>0</v>
      </c>
      <c r="CP109" s="36">
        <v>0</v>
      </c>
      <c r="CQ109" s="36">
        <v>0</v>
      </c>
      <c r="CR109" s="36">
        <v>0</v>
      </c>
      <c r="CS109" s="36">
        <v>0</v>
      </c>
      <c r="CT109" s="36">
        <v>0</v>
      </c>
      <c r="CU109" s="36">
        <v>0</v>
      </c>
      <c r="CV109" s="36">
        <v>0</v>
      </c>
      <c r="CW109" s="36">
        <v>0</v>
      </c>
      <c r="CX109" s="36">
        <v>0</v>
      </c>
      <c r="CY109" s="36">
        <v>0</v>
      </c>
      <c r="CZ109" s="36">
        <v>0</v>
      </c>
      <c r="DA109" s="36">
        <v>0</v>
      </c>
      <c r="DB109" s="36">
        <v>0</v>
      </c>
      <c r="DC109" s="36">
        <v>0</v>
      </c>
      <c r="DD109" s="36">
        <v>0</v>
      </c>
      <c r="DE109" s="36">
        <v>0</v>
      </c>
      <c r="DF109" s="36">
        <v>0</v>
      </c>
      <c r="DG109" s="36">
        <v>0</v>
      </c>
      <c r="DH109" s="36">
        <v>0</v>
      </c>
      <c r="DI109" s="36">
        <v>0</v>
      </c>
      <c r="DJ109" s="36">
        <v>0</v>
      </c>
      <c r="DK109" s="36">
        <v>0</v>
      </c>
      <c r="DL109" s="36">
        <v>0</v>
      </c>
      <c r="DM109" s="36">
        <v>0</v>
      </c>
      <c r="DN109" s="36">
        <v>0</v>
      </c>
      <c r="DO109" s="36">
        <v>0</v>
      </c>
      <c r="DP109" s="36">
        <v>0</v>
      </c>
      <c r="DQ109" s="36">
        <v>0</v>
      </c>
      <c r="DR109" s="36">
        <v>0</v>
      </c>
      <c r="DS109" s="36">
        <v>0</v>
      </c>
      <c r="DT109" s="36">
        <v>0</v>
      </c>
      <c r="DU109" s="36">
        <v>0</v>
      </c>
      <c r="DV109" s="36">
        <v>0</v>
      </c>
      <c r="DW109" s="36">
        <v>0</v>
      </c>
      <c r="DX109" s="36">
        <v>0</v>
      </c>
      <c r="DY109" s="36">
        <v>0</v>
      </c>
      <c r="DZ109" s="36">
        <v>0</v>
      </c>
      <c r="EA109" s="36">
        <v>0</v>
      </c>
      <c r="EB109" s="36">
        <v>0</v>
      </c>
      <c r="EC109" s="36">
        <v>0</v>
      </c>
      <c r="ED109" s="36">
        <v>0</v>
      </c>
      <c r="EE109" s="36">
        <v>0</v>
      </c>
      <c r="EF109" s="36">
        <v>0</v>
      </c>
      <c r="EG109" s="36">
        <v>0</v>
      </c>
      <c r="EH109" s="36">
        <v>0</v>
      </c>
      <c r="EI109" s="36">
        <v>0</v>
      </c>
      <c r="EJ109" s="36">
        <v>0</v>
      </c>
      <c r="EK109" s="36">
        <v>0</v>
      </c>
      <c r="EL109" s="36">
        <v>0</v>
      </c>
      <c r="EM109" s="36">
        <v>0</v>
      </c>
      <c r="EN109" s="36">
        <v>0</v>
      </c>
      <c r="EO109" s="36">
        <v>0</v>
      </c>
      <c r="EP109" s="36">
        <v>0</v>
      </c>
      <c r="EQ109" s="36">
        <v>0</v>
      </c>
      <c r="ER109" s="36">
        <v>0</v>
      </c>
      <c r="ES109" s="36">
        <v>0</v>
      </c>
      <c r="ET109" s="36">
        <v>0</v>
      </c>
      <c r="EU109" s="36">
        <v>0</v>
      </c>
      <c r="EV109" s="36">
        <v>0</v>
      </c>
      <c r="EW109" s="36">
        <v>0</v>
      </c>
      <c r="EX109" s="36">
        <v>0</v>
      </c>
      <c r="EY109" s="36">
        <v>0</v>
      </c>
      <c r="EZ109" s="36">
        <v>0</v>
      </c>
      <c r="FA109" s="36">
        <v>0</v>
      </c>
      <c r="FB109" s="36">
        <v>0</v>
      </c>
      <c r="FC109" s="36">
        <v>0</v>
      </c>
      <c r="FD109" s="36">
        <v>0</v>
      </c>
      <c r="FE109" s="36">
        <v>0</v>
      </c>
      <c r="FF109" s="36">
        <v>0</v>
      </c>
      <c r="FG109" s="36">
        <v>0</v>
      </c>
      <c r="FH109" s="36">
        <v>0</v>
      </c>
      <c r="FI109" s="36">
        <v>0</v>
      </c>
      <c r="FJ109" s="36">
        <v>0</v>
      </c>
      <c r="FK109" s="36">
        <v>0</v>
      </c>
      <c r="FL109" s="36">
        <v>0</v>
      </c>
      <c r="FM109" s="36">
        <v>0</v>
      </c>
      <c r="FN109" s="36">
        <v>0</v>
      </c>
      <c r="FO109" s="36">
        <v>0</v>
      </c>
      <c r="FP109" s="36">
        <v>0</v>
      </c>
      <c r="FQ109" s="36">
        <v>0</v>
      </c>
      <c r="FR109" s="36">
        <v>0</v>
      </c>
      <c r="FS109" s="36">
        <v>0</v>
      </c>
      <c r="FT109" s="36">
        <v>0</v>
      </c>
      <c r="FU109" s="36">
        <v>0</v>
      </c>
      <c r="FV109" s="36">
        <v>0</v>
      </c>
      <c r="FW109" s="36">
        <v>0</v>
      </c>
      <c r="FX109" s="36">
        <v>0</v>
      </c>
      <c r="FY109" s="36">
        <v>0</v>
      </c>
      <c r="FZ109" s="36">
        <v>0</v>
      </c>
      <c r="GA109" s="36">
        <v>0</v>
      </c>
      <c r="GB109" s="36">
        <v>0</v>
      </c>
      <c r="GC109" s="36">
        <v>0</v>
      </c>
      <c r="GD109" s="36">
        <v>0</v>
      </c>
      <c r="GE109" s="36">
        <v>0</v>
      </c>
      <c r="GF109" s="36">
        <v>0</v>
      </c>
      <c r="GG109" s="42">
        <v>2151.434271818955</v>
      </c>
      <c r="GH109" s="42">
        <v>2866.133241420875</v>
      </c>
      <c r="GI109" s="42">
        <v>3028.1167184473416</v>
      </c>
      <c r="GJ109" s="42">
        <v>3383.1502748540383</v>
      </c>
      <c r="GK109" s="42">
        <v>3538.7394313361115</v>
      </c>
      <c r="GL109" s="42">
        <v>3704.0609827580383</v>
      </c>
      <c r="GM109" s="42">
        <v>3925.0049787329062</v>
      </c>
      <c r="GN109" s="42">
        <v>4780.5519721923802</v>
      </c>
      <c r="GO109" s="42">
        <v>5909.7720798525006</v>
      </c>
      <c r="GP109" s="42">
        <v>1522.6530076139879</v>
      </c>
      <c r="GQ109" s="42">
        <v>1346.1126965104681</v>
      </c>
      <c r="GR109" s="42">
        <v>1535.1039863997657</v>
      </c>
      <c r="GS109" s="42">
        <v>1816.3644720879252</v>
      </c>
      <c r="GT109" s="42">
        <v>2387.4995705955307</v>
      </c>
      <c r="GU109" s="36">
        <v>0</v>
      </c>
      <c r="GV109" s="36">
        <v>0</v>
      </c>
      <c r="GW109" s="36">
        <v>0</v>
      </c>
      <c r="GX109" s="36">
        <v>0</v>
      </c>
      <c r="GY109" s="36">
        <v>0</v>
      </c>
      <c r="GZ109" s="36">
        <v>0</v>
      </c>
      <c r="HA109" s="38">
        <v>-113.40874614566565</v>
      </c>
      <c r="HB109" s="36">
        <v>11995.452659692097</v>
      </c>
      <c r="HC109" s="36">
        <f t="shared" si="1"/>
        <v>75857.863518126149</v>
      </c>
      <c r="HD109" s="36">
        <f>SUM(DB$5:DB$213)</f>
        <v>75857.863518126149</v>
      </c>
      <c r="HE109" s="41">
        <v>0</v>
      </c>
      <c r="HG109" s="43"/>
      <c r="HH109" s="43"/>
      <c r="HI109" s="43"/>
      <c r="HJ109" s="43"/>
      <c r="HK109" s="43"/>
      <c r="HL109" s="43"/>
      <c r="HM109" s="43"/>
      <c r="HN109" s="43"/>
      <c r="HO109" s="43"/>
      <c r="HP109" s="43"/>
      <c r="HQ109" s="43"/>
      <c r="HR109" s="43"/>
      <c r="HS109" s="43"/>
      <c r="HT109" s="43"/>
    </row>
    <row r="110" spans="1:228" hidden="1" outlineLevel="1" x14ac:dyDescent="0.2">
      <c r="A110" s="9" t="s">
        <v>887</v>
      </c>
      <c r="B110" s="36">
        <v>1850.4174908457014</v>
      </c>
      <c r="C110" s="36">
        <v>654.13640262738079</v>
      </c>
      <c r="D110" s="36">
        <v>0</v>
      </c>
      <c r="E110" s="36">
        <v>0</v>
      </c>
      <c r="F110" s="36">
        <v>0</v>
      </c>
      <c r="G110" s="36">
        <v>0</v>
      </c>
      <c r="H110" s="36">
        <v>0</v>
      </c>
      <c r="I110" s="36">
        <v>1384.3514799235716</v>
      </c>
      <c r="J110" s="36">
        <v>181.68473445404425</v>
      </c>
      <c r="K110" s="36">
        <v>1569.3356319212276</v>
      </c>
      <c r="L110" s="36">
        <v>145.68084466752595</v>
      </c>
      <c r="M110" s="36">
        <v>390.48465692060125</v>
      </c>
      <c r="N110" s="36">
        <v>109.55854752345822</v>
      </c>
      <c r="O110" s="36">
        <v>114.17329420056581</v>
      </c>
      <c r="P110" s="36">
        <v>4342.8420633260466</v>
      </c>
      <c r="Q110" s="36">
        <v>225.82304156181391</v>
      </c>
      <c r="R110" s="36">
        <v>1079.6258047147235</v>
      </c>
      <c r="S110" s="36">
        <v>27317.887398984989</v>
      </c>
      <c r="T110" s="36">
        <v>8838.5790737686093</v>
      </c>
      <c r="U110" s="36">
        <v>1275.0613225414511</v>
      </c>
      <c r="V110" s="36">
        <v>688.22530737837883</v>
      </c>
      <c r="W110" s="36">
        <v>17.301564129335105</v>
      </c>
      <c r="X110" s="36">
        <v>1433.1706968110745</v>
      </c>
      <c r="Y110" s="36">
        <v>269.92781496577328</v>
      </c>
      <c r="Z110" s="36">
        <v>131.57961530629402</v>
      </c>
      <c r="AA110" s="36">
        <v>122.38626839808481</v>
      </c>
      <c r="AB110" s="36">
        <v>9.5468010363029823</v>
      </c>
      <c r="AC110" s="36">
        <v>6.2145788933611563E-2</v>
      </c>
      <c r="AD110" s="36">
        <v>4.562739329448787</v>
      </c>
      <c r="AE110" s="36">
        <v>831.98552024792878</v>
      </c>
      <c r="AF110" s="36">
        <v>0.23043345688676792</v>
      </c>
      <c r="AG110" s="36">
        <v>65.572693975808761</v>
      </c>
      <c r="AH110" s="36">
        <v>84.755967559547912</v>
      </c>
      <c r="AI110" s="36">
        <v>1.1073612301267013</v>
      </c>
      <c r="AJ110" s="36">
        <v>1.2794675289319764</v>
      </c>
      <c r="AK110" s="36">
        <v>1996.2460803639417</v>
      </c>
      <c r="AL110" s="36">
        <v>0</v>
      </c>
      <c r="AM110" s="36">
        <v>0</v>
      </c>
      <c r="AN110" s="36">
        <v>0</v>
      </c>
      <c r="AO110" s="36">
        <v>0</v>
      </c>
      <c r="AP110" s="36">
        <v>0</v>
      </c>
      <c r="AQ110" s="36">
        <v>2.7707000084561813</v>
      </c>
      <c r="AR110" s="36">
        <v>0</v>
      </c>
      <c r="AS110" s="36">
        <v>0</v>
      </c>
      <c r="AT110" s="36">
        <v>0</v>
      </c>
      <c r="AU110" s="36">
        <v>0</v>
      </c>
      <c r="AV110" s="36">
        <v>0</v>
      </c>
      <c r="AW110" s="36">
        <v>0</v>
      </c>
      <c r="AX110" s="36">
        <v>0</v>
      </c>
      <c r="AY110" s="36">
        <v>0</v>
      </c>
      <c r="AZ110" s="36">
        <v>0</v>
      </c>
      <c r="BA110" s="36">
        <v>0</v>
      </c>
      <c r="BB110" s="36">
        <v>0</v>
      </c>
      <c r="BC110" s="36">
        <v>20.270968097620848</v>
      </c>
      <c r="BD110" s="36">
        <v>0</v>
      </c>
      <c r="BE110" s="36">
        <v>525.77159259495534</v>
      </c>
      <c r="BF110" s="36">
        <v>156.0025614562646</v>
      </c>
      <c r="BG110" s="36">
        <v>0</v>
      </c>
      <c r="BH110" s="36">
        <v>0</v>
      </c>
      <c r="BI110" s="36">
        <v>96.799085084003778</v>
      </c>
      <c r="BJ110" s="36">
        <v>2169.9679669257457</v>
      </c>
      <c r="BK110" s="36">
        <v>0</v>
      </c>
      <c r="BL110" s="36">
        <v>0</v>
      </c>
      <c r="BM110" s="36">
        <v>0</v>
      </c>
      <c r="BN110" s="36">
        <v>0</v>
      </c>
      <c r="BO110" s="36">
        <v>0</v>
      </c>
      <c r="BP110" s="36">
        <v>0</v>
      </c>
      <c r="BQ110" s="36">
        <v>0</v>
      </c>
      <c r="BR110" s="36">
        <v>0</v>
      </c>
      <c r="BS110" s="36">
        <v>0</v>
      </c>
      <c r="BT110" s="36">
        <v>0</v>
      </c>
      <c r="BU110" s="36">
        <v>0</v>
      </c>
      <c r="BV110" s="36">
        <v>0</v>
      </c>
      <c r="BW110" s="36">
        <v>0</v>
      </c>
      <c r="BX110" s="36">
        <v>0</v>
      </c>
      <c r="BY110" s="36">
        <v>0</v>
      </c>
      <c r="BZ110" s="36">
        <v>0</v>
      </c>
      <c r="CA110" s="36">
        <v>0</v>
      </c>
      <c r="CB110" s="36">
        <v>0</v>
      </c>
      <c r="CC110" s="36">
        <v>0</v>
      </c>
      <c r="CD110" s="36">
        <v>0</v>
      </c>
      <c r="CE110" s="36">
        <v>0</v>
      </c>
      <c r="CF110" s="36">
        <v>0</v>
      </c>
      <c r="CG110" s="36">
        <v>0</v>
      </c>
      <c r="CH110" s="36">
        <v>0</v>
      </c>
      <c r="CI110" s="36">
        <v>0</v>
      </c>
      <c r="CJ110" s="36">
        <v>0</v>
      </c>
      <c r="CK110" s="36">
        <v>0</v>
      </c>
      <c r="CL110" s="36">
        <v>0</v>
      </c>
      <c r="CM110" s="36">
        <v>0</v>
      </c>
      <c r="CN110" s="36">
        <v>0</v>
      </c>
      <c r="CO110" s="36">
        <v>0</v>
      </c>
      <c r="CP110" s="36">
        <v>0</v>
      </c>
      <c r="CQ110" s="36">
        <v>0</v>
      </c>
      <c r="CR110" s="36">
        <v>0</v>
      </c>
      <c r="CS110" s="36">
        <v>0</v>
      </c>
      <c r="CT110" s="36">
        <v>0</v>
      </c>
      <c r="CU110" s="36">
        <v>0</v>
      </c>
      <c r="CV110" s="36">
        <v>0</v>
      </c>
      <c r="CW110" s="36">
        <v>0</v>
      </c>
      <c r="CX110" s="36">
        <v>0</v>
      </c>
      <c r="CY110" s="36">
        <v>0</v>
      </c>
      <c r="CZ110" s="36">
        <v>0</v>
      </c>
      <c r="DA110" s="36">
        <v>0</v>
      </c>
      <c r="DB110" s="36">
        <v>0</v>
      </c>
      <c r="DC110" s="36">
        <v>0</v>
      </c>
      <c r="DD110" s="36">
        <v>0</v>
      </c>
      <c r="DE110" s="36">
        <v>0</v>
      </c>
      <c r="DF110" s="36">
        <v>0</v>
      </c>
      <c r="DG110" s="36">
        <v>0</v>
      </c>
      <c r="DH110" s="36">
        <v>0</v>
      </c>
      <c r="DI110" s="36">
        <v>0</v>
      </c>
      <c r="DJ110" s="36">
        <v>0</v>
      </c>
      <c r="DK110" s="36">
        <v>0</v>
      </c>
      <c r="DL110" s="36">
        <v>0</v>
      </c>
      <c r="DM110" s="36">
        <v>0</v>
      </c>
      <c r="DN110" s="36">
        <v>0</v>
      </c>
      <c r="DO110" s="36">
        <v>0</v>
      </c>
      <c r="DP110" s="36">
        <v>0</v>
      </c>
      <c r="DQ110" s="36">
        <v>0</v>
      </c>
      <c r="DR110" s="36">
        <v>0</v>
      </c>
      <c r="DS110" s="36">
        <v>0</v>
      </c>
      <c r="DT110" s="36">
        <v>0</v>
      </c>
      <c r="DU110" s="36">
        <v>0</v>
      </c>
      <c r="DV110" s="36">
        <v>0</v>
      </c>
      <c r="DW110" s="36">
        <v>0</v>
      </c>
      <c r="DX110" s="36">
        <v>0</v>
      </c>
      <c r="DY110" s="36">
        <v>0</v>
      </c>
      <c r="DZ110" s="36">
        <v>0</v>
      </c>
      <c r="EA110" s="36">
        <v>0</v>
      </c>
      <c r="EB110" s="36">
        <v>0</v>
      </c>
      <c r="EC110" s="36">
        <v>0</v>
      </c>
      <c r="ED110" s="36">
        <v>0</v>
      </c>
      <c r="EE110" s="36">
        <v>0</v>
      </c>
      <c r="EF110" s="36">
        <v>0</v>
      </c>
      <c r="EG110" s="36">
        <v>0</v>
      </c>
      <c r="EH110" s="36">
        <v>0</v>
      </c>
      <c r="EI110" s="36">
        <v>0</v>
      </c>
      <c r="EJ110" s="36">
        <v>0</v>
      </c>
      <c r="EK110" s="36">
        <v>0</v>
      </c>
      <c r="EL110" s="36">
        <v>0</v>
      </c>
      <c r="EM110" s="36">
        <v>0</v>
      </c>
      <c r="EN110" s="36">
        <v>0</v>
      </c>
      <c r="EO110" s="36">
        <v>0</v>
      </c>
      <c r="EP110" s="36">
        <v>0</v>
      </c>
      <c r="EQ110" s="36">
        <v>0</v>
      </c>
      <c r="ER110" s="36">
        <v>0</v>
      </c>
      <c r="ES110" s="36">
        <v>0</v>
      </c>
      <c r="ET110" s="36">
        <v>0</v>
      </c>
      <c r="EU110" s="36">
        <v>0</v>
      </c>
      <c r="EV110" s="36">
        <v>0</v>
      </c>
      <c r="EW110" s="36">
        <v>0</v>
      </c>
      <c r="EX110" s="36">
        <v>0</v>
      </c>
      <c r="EY110" s="36">
        <v>0</v>
      </c>
      <c r="EZ110" s="36">
        <v>0</v>
      </c>
      <c r="FA110" s="36">
        <v>0</v>
      </c>
      <c r="FB110" s="36">
        <v>0</v>
      </c>
      <c r="FC110" s="36">
        <v>0</v>
      </c>
      <c r="FD110" s="36">
        <v>0</v>
      </c>
      <c r="FE110" s="36">
        <v>0</v>
      </c>
      <c r="FF110" s="36">
        <v>0</v>
      </c>
      <c r="FG110" s="36">
        <v>0</v>
      </c>
      <c r="FH110" s="36">
        <v>0</v>
      </c>
      <c r="FI110" s="36">
        <v>0</v>
      </c>
      <c r="FJ110" s="36">
        <v>0</v>
      </c>
      <c r="FK110" s="36">
        <v>0</v>
      </c>
      <c r="FL110" s="36">
        <v>0</v>
      </c>
      <c r="FM110" s="36">
        <v>0</v>
      </c>
      <c r="FN110" s="36">
        <v>0</v>
      </c>
      <c r="FO110" s="36">
        <v>0</v>
      </c>
      <c r="FP110" s="36">
        <v>0</v>
      </c>
      <c r="FQ110" s="36">
        <v>0</v>
      </c>
      <c r="FR110" s="36">
        <v>0</v>
      </c>
      <c r="FS110" s="36">
        <v>0</v>
      </c>
      <c r="FT110" s="36">
        <v>0</v>
      </c>
      <c r="FU110" s="36">
        <v>0</v>
      </c>
      <c r="FV110" s="36">
        <v>0</v>
      </c>
      <c r="FW110" s="36">
        <v>0</v>
      </c>
      <c r="FX110" s="36">
        <v>0</v>
      </c>
      <c r="FY110" s="36">
        <v>0</v>
      </c>
      <c r="FZ110" s="36">
        <v>0</v>
      </c>
      <c r="GA110" s="36">
        <v>0</v>
      </c>
      <c r="GB110" s="36">
        <v>0</v>
      </c>
      <c r="GC110" s="36">
        <v>0</v>
      </c>
      <c r="GD110" s="36">
        <v>0</v>
      </c>
      <c r="GE110" s="36">
        <v>0</v>
      </c>
      <c r="GF110" s="36">
        <v>0</v>
      </c>
      <c r="GG110" s="42">
        <v>4.7183231866293071E-2</v>
      </c>
      <c r="GH110" s="42">
        <v>0.48680726379741573</v>
      </c>
      <c r="GI110" s="42">
        <v>0.80568592553287721</v>
      </c>
      <c r="GJ110" s="42">
        <v>1.3219862325989999</v>
      </c>
      <c r="GK110" s="42">
        <v>0.10596779191057767</v>
      </c>
      <c r="GL110" s="42">
        <v>0.30004014103811522</v>
      </c>
      <c r="GM110" s="42">
        <v>0.38073127113940214</v>
      </c>
      <c r="GN110" s="42">
        <v>0.62512399499318438</v>
      </c>
      <c r="GO110" s="42">
        <v>0.14076065471344718</v>
      </c>
      <c r="GP110" s="42">
        <v>0</v>
      </c>
      <c r="GQ110" s="42">
        <v>0.10370365497811682</v>
      </c>
      <c r="GR110" s="42">
        <v>0.24670764365214165</v>
      </c>
      <c r="GS110" s="42">
        <v>0.21141925781560819</v>
      </c>
      <c r="GT110" s="42">
        <v>0</v>
      </c>
      <c r="GU110" s="36">
        <v>0</v>
      </c>
      <c r="GV110" s="36">
        <v>0</v>
      </c>
      <c r="GW110" s="36">
        <v>0</v>
      </c>
      <c r="GX110" s="36">
        <v>0</v>
      </c>
      <c r="GY110" s="36">
        <v>0</v>
      </c>
      <c r="GZ110" s="36">
        <v>0</v>
      </c>
      <c r="HA110" s="38">
        <v>-874.16135769154062</v>
      </c>
      <c r="HB110" s="36">
        <v>14276.112720541536</v>
      </c>
      <c r="HC110" s="36">
        <f t="shared" si="1"/>
        <v>71515.892619569582</v>
      </c>
      <c r="HD110" s="36">
        <f>SUM(DC$5:DC$213)</f>
        <v>71515.892619569582</v>
      </c>
      <c r="HE110" s="41">
        <v>0</v>
      </c>
      <c r="HG110" s="43"/>
      <c r="HH110" s="43"/>
      <c r="HI110" s="43"/>
      <c r="HJ110" s="43"/>
      <c r="HK110" s="43"/>
      <c r="HL110" s="43"/>
      <c r="HM110" s="43"/>
      <c r="HN110" s="43"/>
      <c r="HO110" s="43"/>
      <c r="HP110" s="43"/>
      <c r="HQ110" s="43"/>
      <c r="HR110" s="43"/>
      <c r="HS110" s="43"/>
      <c r="HT110" s="43"/>
    </row>
    <row r="111" spans="1:228" hidden="1" outlineLevel="1" x14ac:dyDescent="0.2">
      <c r="A111" s="9" t="s">
        <v>894</v>
      </c>
      <c r="B111" s="36">
        <v>2430.2699395605005</v>
      </c>
      <c r="C111" s="36">
        <v>9.1349605852469153</v>
      </c>
      <c r="D111" s="36">
        <v>0.79848149567727333</v>
      </c>
      <c r="E111" s="36">
        <v>533.62789939553727</v>
      </c>
      <c r="F111" s="36">
        <v>469.63668263473744</v>
      </c>
      <c r="G111" s="36">
        <v>1900.5050568142769</v>
      </c>
      <c r="H111" s="36">
        <v>238.95908637363635</v>
      </c>
      <c r="I111" s="36">
        <v>50.932534407167893</v>
      </c>
      <c r="J111" s="36">
        <v>20.008493285613589</v>
      </c>
      <c r="K111" s="36">
        <v>123.50544219312469</v>
      </c>
      <c r="L111" s="36">
        <v>12.516917845789418</v>
      </c>
      <c r="M111" s="36">
        <v>1.335493915389427</v>
      </c>
      <c r="N111" s="36">
        <v>56.2221966037242</v>
      </c>
      <c r="O111" s="36">
        <v>20.147001906665217</v>
      </c>
      <c r="P111" s="36">
        <v>9.4354722448313417</v>
      </c>
      <c r="Q111" s="36">
        <v>8.9423351087349694</v>
      </c>
      <c r="R111" s="36">
        <v>3.9327744715960109</v>
      </c>
      <c r="S111" s="36">
        <v>17.850599439562938</v>
      </c>
      <c r="T111" s="36">
        <v>37.989632497870545</v>
      </c>
      <c r="U111" s="36">
        <v>1923.1528984151064</v>
      </c>
      <c r="V111" s="36">
        <v>23.784376031547314</v>
      </c>
      <c r="W111" s="36">
        <v>75.111977656058684</v>
      </c>
      <c r="X111" s="36">
        <v>76.676496685242469</v>
      </c>
      <c r="Y111" s="36">
        <v>4.3783106718659583</v>
      </c>
      <c r="Z111" s="36">
        <v>257.97420940412758</v>
      </c>
      <c r="AA111" s="36">
        <v>350.76693190545501</v>
      </c>
      <c r="AB111" s="36">
        <v>36.565923161714949</v>
      </c>
      <c r="AC111" s="36">
        <v>4.1577841842743233</v>
      </c>
      <c r="AD111" s="36">
        <v>48.960440718752892</v>
      </c>
      <c r="AE111" s="36">
        <v>1400.4935465150591</v>
      </c>
      <c r="AF111" s="36">
        <v>114.89785224269379</v>
      </c>
      <c r="AG111" s="36">
        <v>26.346042986178837</v>
      </c>
      <c r="AH111" s="36">
        <v>605.46274259930431</v>
      </c>
      <c r="AI111" s="36">
        <v>133.28630033405844</v>
      </c>
      <c r="AJ111" s="36">
        <v>127.30553740985613</v>
      </c>
      <c r="AK111" s="36">
        <v>2562.6409801119353</v>
      </c>
      <c r="AL111" s="36">
        <v>354.36987808711638</v>
      </c>
      <c r="AM111" s="36">
        <v>157.42638466283347</v>
      </c>
      <c r="AN111" s="36">
        <v>125.24667366166619</v>
      </c>
      <c r="AO111" s="36">
        <v>27.189875582498811</v>
      </c>
      <c r="AP111" s="36">
        <v>3405.1102337373554</v>
      </c>
      <c r="AQ111" s="36">
        <v>27.386627109403342</v>
      </c>
      <c r="AR111" s="36">
        <v>33.863870874613909</v>
      </c>
      <c r="AS111" s="36">
        <v>43.902979864195217</v>
      </c>
      <c r="AT111" s="36">
        <v>341.83162005444399</v>
      </c>
      <c r="AU111" s="36">
        <v>0</v>
      </c>
      <c r="AV111" s="36">
        <v>0</v>
      </c>
      <c r="AW111" s="36">
        <v>192.40264245931871</v>
      </c>
      <c r="AX111" s="36">
        <v>5.8848258136423874</v>
      </c>
      <c r="AY111" s="36">
        <v>24.334279688021958</v>
      </c>
      <c r="AZ111" s="36">
        <v>8.2561687958726733</v>
      </c>
      <c r="BA111" s="36">
        <v>1.5460700800658964</v>
      </c>
      <c r="BB111" s="36">
        <v>90.851909505002226</v>
      </c>
      <c r="BC111" s="36">
        <v>587.52389242542768</v>
      </c>
      <c r="BD111" s="36">
        <v>0.11305834853045699</v>
      </c>
      <c r="BE111" s="36">
        <v>498.12808647411811</v>
      </c>
      <c r="BF111" s="36">
        <v>23.295201517475387</v>
      </c>
      <c r="BG111" s="36">
        <v>2.4106053409363577</v>
      </c>
      <c r="BH111" s="36">
        <v>10.954195081289642</v>
      </c>
      <c r="BI111" s="36">
        <v>7.605139495974818</v>
      </c>
      <c r="BJ111" s="36">
        <v>4499.3585640530728</v>
      </c>
      <c r="BK111" s="36">
        <v>0</v>
      </c>
      <c r="BL111" s="36">
        <v>0</v>
      </c>
      <c r="BM111" s="36">
        <v>0</v>
      </c>
      <c r="BN111" s="36">
        <v>0</v>
      </c>
      <c r="BO111" s="36">
        <v>0</v>
      </c>
      <c r="BP111" s="36">
        <v>0</v>
      </c>
      <c r="BQ111" s="36">
        <v>0</v>
      </c>
      <c r="BR111" s="36">
        <v>0</v>
      </c>
      <c r="BS111" s="36">
        <v>0</v>
      </c>
      <c r="BT111" s="36">
        <v>0</v>
      </c>
      <c r="BU111" s="36">
        <v>0</v>
      </c>
      <c r="BV111" s="36">
        <v>0</v>
      </c>
      <c r="BW111" s="36">
        <v>0</v>
      </c>
      <c r="BX111" s="36">
        <v>0</v>
      </c>
      <c r="BY111" s="36">
        <v>0</v>
      </c>
      <c r="BZ111" s="36">
        <v>0</v>
      </c>
      <c r="CA111" s="36">
        <v>0</v>
      </c>
      <c r="CB111" s="36">
        <v>0</v>
      </c>
      <c r="CC111" s="36">
        <v>0</v>
      </c>
      <c r="CD111" s="36">
        <v>0</v>
      </c>
      <c r="CE111" s="36">
        <v>0</v>
      </c>
      <c r="CF111" s="36">
        <v>0</v>
      </c>
      <c r="CG111" s="36">
        <v>0</v>
      </c>
      <c r="CH111" s="36">
        <v>0</v>
      </c>
      <c r="CI111" s="36">
        <v>0</v>
      </c>
      <c r="CJ111" s="36">
        <v>0</v>
      </c>
      <c r="CK111" s="36">
        <v>0</v>
      </c>
      <c r="CL111" s="36">
        <v>0</v>
      </c>
      <c r="CM111" s="36">
        <v>0</v>
      </c>
      <c r="CN111" s="36">
        <v>0</v>
      </c>
      <c r="CO111" s="36">
        <v>0</v>
      </c>
      <c r="CP111" s="36">
        <v>0</v>
      </c>
      <c r="CQ111" s="36">
        <v>0</v>
      </c>
      <c r="CR111" s="36">
        <v>0</v>
      </c>
      <c r="CS111" s="36">
        <v>0</v>
      </c>
      <c r="CT111" s="36">
        <v>0</v>
      </c>
      <c r="CU111" s="36">
        <v>0</v>
      </c>
      <c r="CV111" s="36">
        <v>0</v>
      </c>
      <c r="CW111" s="36">
        <v>0</v>
      </c>
      <c r="CX111" s="36">
        <v>0</v>
      </c>
      <c r="CY111" s="36">
        <v>0</v>
      </c>
      <c r="CZ111" s="36">
        <v>0</v>
      </c>
      <c r="DA111" s="36">
        <v>0</v>
      </c>
      <c r="DB111" s="36">
        <v>0</v>
      </c>
      <c r="DC111" s="36">
        <v>0</v>
      </c>
      <c r="DD111" s="36">
        <v>0</v>
      </c>
      <c r="DE111" s="36">
        <v>0</v>
      </c>
      <c r="DF111" s="36">
        <v>0</v>
      </c>
      <c r="DG111" s="36">
        <v>0</v>
      </c>
      <c r="DH111" s="36">
        <v>0</v>
      </c>
      <c r="DI111" s="36">
        <v>0</v>
      </c>
      <c r="DJ111" s="36">
        <v>0</v>
      </c>
      <c r="DK111" s="36">
        <v>0</v>
      </c>
      <c r="DL111" s="36">
        <v>0</v>
      </c>
      <c r="DM111" s="36">
        <v>0</v>
      </c>
      <c r="DN111" s="36">
        <v>0</v>
      </c>
      <c r="DO111" s="36">
        <v>0</v>
      </c>
      <c r="DP111" s="36">
        <v>0</v>
      </c>
      <c r="DQ111" s="36">
        <v>0</v>
      </c>
      <c r="DR111" s="36">
        <v>0</v>
      </c>
      <c r="DS111" s="36">
        <v>0</v>
      </c>
      <c r="DT111" s="36">
        <v>0</v>
      </c>
      <c r="DU111" s="36">
        <v>0</v>
      </c>
      <c r="DV111" s="36">
        <v>0</v>
      </c>
      <c r="DW111" s="36">
        <v>0</v>
      </c>
      <c r="DX111" s="36">
        <v>0</v>
      </c>
      <c r="DY111" s="36">
        <v>0</v>
      </c>
      <c r="DZ111" s="36">
        <v>0</v>
      </c>
      <c r="EA111" s="36">
        <v>0</v>
      </c>
      <c r="EB111" s="36">
        <v>0</v>
      </c>
      <c r="EC111" s="36">
        <v>0</v>
      </c>
      <c r="ED111" s="36">
        <v>0</v>
      </c>
      <c r="EE111" s="36">
        <v>0</v>
      </c>
      <c r="EF111" s="36">
        <v>0</v>
      </c>
      <c r="EG111" s="36">
        <v>0</v>
      </c>
      <c r="EH111" s="36">
        <v>0</v>
      </c>
      <c r="EI111" s="36">
        <v>0</v>
      </c>
      <c r="EJ111" s="36">
        <v>0</v>
      </c>
      <c r="EK111" s="36">
        <v>0</v>
      </c>
      <c r="EL111" s="36">
        <v>0</v>
      </c>
      <c r="EM111" s="36">
        <v>0</v>
      </c>
      <c r="EN111" s="36">
        <v>0</v>
      </c>
      <c r="EO111" s="36">
        <v>0</v>
      </c>
      <c r="EP111" s="36">
        <v>0</v>
      </c>
      <c r="EQ111" s="36">
        <v>0</v>
      </c>
      <c r="ER111" s="36">
        <v>0</v>
      </c>
      <c r="ES111" s="36">
        <v>0</v>
      </c>
      <c r="ET111" s="36">
        <v>0</v>
      </c>
      <c r="EU111" s="36">
        <v>0</v>
      </c>
      <c r="EV111" s="36">
        <v>0</v>
      </c>
      <c r="EW111" s="36">
        <v>0</v>
      </c>
      <c r="EX111" s="36">
        <v>0</v>
      </c>
      <c r="EY111" s="36">
        <v>0</v>
      </c>
      <c r="EZ111" s="36">
        <v>0</v>
      </c>
      <c r="FA111" s="36">
        <v>0</v>
      </c>
      <c r="FB111" s="36">
        <v>0</v>
      </c>
      <c r="FC111" s="36">
        <v>0</v>
      </c>
      <c r="FD111" s="36">
        <v>0</v>
      </c>
      <c r="FE111" s="36">
        <v>0</v>
      </c>
      <c r="FF111" s="36">
        <v>0</v>
      </c>
      <c r="FG111" s="36">
        <v>0</v>
      </c>
      <c r="FH111" s="36">
        <v>0</v>
      </c>
      <c r="FI111" s="36">
        <v>0</v>
      </c>
      <c r="FJ111" s="36">
        <v>0</v>
      </c>
      <c r="FK111" s="36">
        <v>0</v>
      </c>
      <c r="FL111" s="36">
        <v>0</v>
      </c>
      <c r="FM111" s="36">
        <v>0</v>
      </c>
      <c r="FN111" s="36">
        <v>0</v>
      </c>
      <c r="FO111" s="36">
        <v>0</v>
      </c>
      <c r="FP111" s="36">
        <v>0</v>
      </c>
      <c r="FQ111" s="36">
        <v>0</v>
      </c>
      <c r="FR111" s="36">
        <v>0</v>
      </c>
      <c r="FS111" s="36">
        <v>0</v>
      </c>
      <c r="FT111" s="36">
        <v>0</v>
      </c>
      <c r="FU111" s="36">
        <v>0</v>
      </c>
      <c r="FV111" s="36">
        <v>0</v>
      </c>
      <c r="FW111" s="36">
        <v>0</v>
      </c>
      <c r="FX111" s="36">
        <v>0</v>
      </c>
      <c r="FY111" s="36">
        <v>0</v>
      </c>
      <c r="FZ111" s="36">
        <v>0</v>
      </c>
      <c r="GA111" s="36">
        <v>0</v>
      </c>
      <c r="GB111" s="36">
        <v>0</v>
      </c>
      <c r="GC111" s="36">
        <v>0</v>
      </c>
      <c r="GD111" s="36">
        <v>0</v>
      </c>
      <c r="GE111" s="36">
        <v>0</v>
      </c>
      <c r="GF111" s="36">
        <v>0</v>
      </c>
      <c r="GG111" s="42">
        <v>17.345123799860449</v>
      </c>
      <c r="GH111" s="42">
        <v>68.396610181959176</v>
      </c>
      <c r="GI111" s="42">
        <v>299.51956710006078</v>
      </c>
      <c r="GJ111" s="42">
        <v>495.61382968871089</v>
      </c>
      <c r="GK111" s="42">
        <v>567.2608317827486</v>
      </c>
      <c r="GL111" s="42">
        <v>910.31545496726426</v>
      </c>
      <c r="GM111" s="42">
        <v>1768.8799900016363</v>
      </c>
      <c r="GN111" s="42">
        <v>3322.0358219529162</v>
      </c>
      <c r="GO111" s="42">
        <v>6255.133062249768</v>
      </c>
      <c r="GP111" s="42">
        <v>1281.4666624348686</v>
      </c>
      <c r="GQ111" s="42">
        <v>1599.8415042665879</v>
      </c>
      <c r="GR111" s="42">
        <v>2341.990769414791</v>
      </c>
      <c r="GS111" s="42">
        <v>5085.8071995540477</v>
      </c>
      <c r="GT111" s="42">
        <v>3986.8622915137253</v>
      </c>
      <c r="GU111" s="36">
        <v>0</v>
      </c>
      <c r="GV111" s="36">
        <v>0</v>
      </c>
      <c r="GW111" s="36">
        <v>0</v>
      </c>
      <c r="GX111" s="36">
        <v>0</v>
      </c>
      <c r="GY111" s="36">
        <v>0</v>
      </c>
      <c r="GZ111" s="36">
        <v>0</v>
      </c>
      <c r="HA111" s="38">
        <v>375.62154620468937</v>
      </c>
      <c r="HB111" s="36">
        <v>6442.8112409996547</v>
      </c>
      <c r="HC111" s="36">
        <f t="shared" si="1"/>
        <v>59005.607640639071</v>
      </c>
      <c r="HD111" s="36">
        <f>SUM(DD$5:DD$213)</f>
        <v>59005.607640639071</v>
      </c>
      <c r="HE111" s="41">
        <v>0</v>
      </c>
      <c r="HG111" s="43"/>
      <c r="HH111" s="43"/>
      <c r="HI111" s="43"/>
      <c r="HJ111" s="43"/>
      <c r="HK111" s="43"/>
      <c r="HL111" s="43"/>
      <c r="HM111" s="43"/>
      <c r="HN111" s="43"/>
      <c r="HO111" s="43"/>
      <c r="HP111" s="43"/>
      <c r="HQ111" s="43"/>
      <c r="HR111" s="43"/>
      <c r="HS111" s="43"/>
      <c r="HT111" s="43"/>
    </row>
    <row r="112" spans="1:228" hidden="1" outlineLevel="1" x14ac:dyDescent="0.2">
      <c r="A112" s="9" t="s">
        <v>909</v>
      </c>
      <c r="B112" s="36">
        <v>5481.5261359823153</v>
      </c>
      <c r="C112" s="36">
        <v>167.66036710638406</v>
      </c>
      <c r="D112" s="36">
        <v>31.233820490945803</v>
      </c>
      <c r="E112" s="36">
        <v>6.7757920025807454</v>
      </c>
      <c r="F112" s="36">
        <v>6.6167471158652038</v>
      </c>
      <c r="G112" s="36">
        <v>55.099769892431567</v>
      </c>
      <c r="H112" s="36">
        <v>0</v>
      </c>
      <c r="I112" s="36">
        <v>8861.5114235424116</v>
      </c>
      <c r="J112" s="36">
        <v>2427.3552034035811</v>
      </c>
      <c r="K112" s="36">
        <v>411.55989412116753</v>
      </c>
      <c r="L112" s="36">
        <v>148.10115430660971</v>
      </c>
      <c r="M112" s="36">
        <v>16.664602765179673</v>
      </c>
      <c r="N112" s="36">
        <v>52.767130226087261</v>
      </c>
      <c r="O112" s="36">
        <v>650.5809299143142</v>
      </c>
      <c r="P112" s="36">
        <v>487.76909916783711</v>
      </c>
      <c r="Q112" s="36">
        <v>390.46394406444915</v>
      </c>
      <c r="R112" s="36">
        <v>228.90592793987562</v>
      </c>
      <c r="S112" s="36">
        <v>397.24385156257489</v>
      </c>
      <c r="T112" s="36">
        <v>3059.7712583167568</v>
      </c>
      <c r="U112" s="36">
        <v>34.458170179042412</v>
      </c>
      <c r="V112" s="36">
        <v>1974.4503719073491</v>
      </c>
      <c r="W112" s="36">
        <v>143.97940246167209</v>
      </c>
      <c r="X112" s="36">
        <v>1323.7459314100659</v>
      </c>
      <c r="Y112" s="36">
        <v>173.52817401065337</v>
      </c>
      <c r="Z112" s="36">
        <v>831.76794394225749</v>
      </c>
      <c r="AA112" s="36">
        <v>1414.3473675286232</v>
      </c>
      <c r="AB112" s="36">
        <v>1031.5824988464833</v>
      </c>
      <c r="AC112" s="36">
        <v>995.80941420196268</v>
      </c>
      <c r="AD112" s="36">
        <v>577.23217128776207</v>
      </c>
      <c r="AE112" s="36">
        <v>2372.0992194221899</v>
      </c>
      <c r="AF112" s="36">
        <v>16.543098917963594</v>
      </c>
      <c r="AG112" s="36">
        <v>297.54216081291332</v>
      </c>
      <c r="AH112" s="36">
        <v>823.72706128096854</v>
      </c>
      <c r="AI112" s="36">
        <v>1.3458347550576506</v>
      </c>
      <c r="AJ112" s="36">
        <v>131.05474459495048</v>
      </c>
      <c r="AK112" s="36">
        <v>10901.082995367949</v>
      </c>
      <c r="AL112" s="36">
        <v>217.16320000206267</v>
      </c>
      <c r="AM112" s="36">
        <v>488.94028398944113</v>
      </c>
      <c r="AN112" s="36">
        <v>44.467047834207889</v>
      </c>
      <c r="AO112" s="36">
        <v>87.650235537375465</v>
      </c>
      <c r="AP112" s="36">
        <v>91.029236364560902</v>
      </c>
      <c r="AQ112" s="36">
        <v>1.3204585061513305</v>
      </c>
      <c r="AR112" s="36">
        <v>183.91520811142877</v>
      </c>
      <c r="AS112" s="36">
        <v>239.75054193078614</v>
      </c>
      <c r="AT112" s="36">
        <v>323.16416147020203</v>
      </c>
      <c r="AU112" s="36">
        <v>0</v>
      </c>
      <c r="AV112" s="36">
        <v>0</v>
      </c>
      <c r="AW112" s="36">
        <v>0</v>
      </c>
      <c r="AX112" s="36">
        <v>1.8837415392235095</v>
      </c>
      <c r="AY112" s="36">
        <v>0.87748727223691958</v>
      </c>
      <c r="AZ112" s="36">
        <v>28.007016138665151</v>
      </c>
      <c r="BA112" s="36">
        <v>0.47531196433097289</v>
      </c>
      <c r="BB112" s="36">
        <v>28.082347659230948</v>
      </c>
      <c r="BC112" s="36">
        <v>35.194721070707594</v>
      </c>
      <c r="BD112" s="36">
        <v>10.402078070838998</v>
      </c>
      <c r="BE112" s="36">
        <v>183.0420496793968</v>
      </c>
      <c r="BF112" s="36">
        <v>3661.927233965107</v>
      </c>
      <c r="BG112" s="36">
        <v>0.16140525932008068</v>
      </c>
      <c r="BH112" s="36">
        <v>1.4941141298055558</v>
      </c>
      <c r="BI112" s="36">
        <v>1.4755449600848749</v>
      </c>
      <c r="BJ112" s="36">
        <v>11914.074687072673</v>
      </c>
      <c r="BK112" s="36">
        <v>0</v>
      </c>
      <c r="BL112" s="36">
        <v>0</v>
      </c>
      <c r="BM112" s="36">
        <v>0</v>
      </c>
      <c r="BN112" s="36">
        <v>0</v>
      </c>
      <c r="BO112" s="36">
        <v>0</v>
      </c>
      <c r="BP112" s="36">
        <v>0</v>
      </c>
      <c r="BQ112" s="36">
        <v>0</v>
      </c>
      <c r="BR112" s="36">
        <v>0</v>
      </c>
      <c r="BS112" s="36">
        <v>0</v>
      </c>
      <c r="BT112" s="36">
        <v>0</v>
      </c>
      <c r="BU112" s="36">
        <v>0</v>
      </c>
      <c r="BV112" s="36">
        <v>0</v>
      </c>
      <c r="BW112" s="36">
        <v>0</v>
      </c>
      <c r="BX112" s="36">
        <v>0</v>
      </c>
      <c r="BY112" s="36">
        <v>0</v>
      </c>
      <c r="BZ112" s="36">
        <v>0</v>
      </c>
      <c r="CA112" s="36">
        <v>0</v>
      </c>
      <c r="CB112" s="36">
        <v>0</v>
      </c>
      <c r="CC112" s="36">
        <v>0</v>
      </c>
      <c r="CD112" s="36">
        <v>0</v>
      </c>
      <c r="CE112" s="36">
        <v>0</v>
      </c>
      <c r="CF112" s="36">
        <v>0</v>
      </c>
      <c r="CG112" s="36">
        <v>0</v>
      </c>
      <c r="CH112" s="36">
        <v>0</v>
      </c>
      <c r="CI112" s="36">
        <v>0</v>
      </c>
      <c r="CJ112" s="36">
        <v>0</v>
      </c>
      <c r="CK112" s="36">
        <v>0</v>
      </c>
      <c r="CL112" s="36">
        <v>0</v>
      </c>
      <c r="CM112" s="36">
        <v>0</v>
      </c>
      <c r="CN112" s="36">
        <v>0</v>
      </c>
      <c r="CO112" s="36">
        <v>0</v>
      </c>
      <c r="CP112" s="36">
        <v>0</v>
      </c>
      <c r="CQ112" s="36">
        <v>0</v>
      </c>
      <c r="CR112" s="36">
        <v>0</v>
      </c>
      <c r="CS112" s="36">
        <v>0</v>
      </c>
      <c r="CT112" s="36">
        <v>0</v>
      </c>
      <c r="CU112" s="36">
        <v>0</v>
      </c>
      <c r="CV112" s="36">
        <v>0</v>
      </c>
      <c r="CW112" s="36">
        <v>0</v>
      </c>
      <c r="CX112" s="36">
        <v>0</v>
      </c>
      <c r="CY112" s="36">
        <v>0</v>
      </c>
      <c r="CZ112" s="36">
        <v>0</v>
      </c>
      <c r="DA112" s="36">
        <v>0</v>
      </c>
      <c r="DB112" s="36">
        <v>0</v>
      </c>
      <c r="DC112" s="36">
        <v>0</v>
      </c>
      <c r="DD112" s="36">
        <v>0</v>
      </c>
      <c r="DE112" s="36">
        <v>0</v>
      </c>
      <c r="DF112" s="36">
        <v>0</v>
      </c>
      <c r="DG112" s="36">
        <v>0</v>
      </c>
      <c r="DH112" s="36">
        <v>0</v>
      </c>
      <c r="DI112" s="36">
        <v>0</v>
      </c>
      <c r="DJ112" s="36">
        <v>0</v>
      </c>
      <c r="DK112" s="36">
        <v>0</v>
      </c>
      <c r="DL112" s="36">
        <v>0</v>
      </c>
      <c r="DM112" s="36">
        <v>0</v>
      </c>
      <c r="DN112" s="36">
        <v>0</v>
      </c>
      <c r="DO112" s="36">
        <v>0</v>
      </c>
      <c r="DP112" s="36">
        <v>0</v>
      </c>
      <c r="DQ112" s="36">
        <v>0</v>
      </c>
      <c r="DR112" s="36">
        <v>0</v>
      </c>
      <c r="DS112" s="36">
        <v>0</v>
      </c>
      <c r="DT112" s="36">
        <v>0</v>
      </c>
      <c r="DU112" s="36">
        <v>0</v>
      </c>
      <c r="DV112" s="36">
        <v>0</v>
      </c>
      <c r="DW112" s="36">
        <v>0</v>
      </c>
      <c r="DX112" s="36">
        <v>0</v>
      </c>
      <c r="DY112" s="36">
        <v>0</v>
      </c>
      <c r="DZ112" s="36">
        <v>0</v>
      </c>
      <c r="EA112" s="36">
        <v>0</v>
      </c>
      <c r="EB112" s="36">
        <v>0</v>
      </c>
      <c r="EC112" s="36">
        <v>0</v>
      </c>
      <c r="ED112" s="36">
        <v>0</v>
      </c>
      <c r="EE112" s="36">
        <v>0</v>
      </c>
      <c r="EF112" s="36">
        <v>0</v>
      </c>
      <c r="EG112" s="36">
        <v>0</v>
      </c>
      <c r="EH112" s="36">
        <v>0</v>
      </c>
      <c r="EI112" s="36">
        <v>0</v>
      </c>
      <c r="EJ112" s="36">
        <v>0</v>
      </c>
      <c r="EK112" s="36">
        <v>0</v>
      </c>
      <c r="EL112" s="36">
        <v>0</v>
      </c>
      <c r="EM112" s="36">
        <v>0</v>
      </c>
      <c r="EN112" s="36">
        <v>0</v>
      </c>
      <c r="EO112" s="36">
        <v>0</v>
      </c>
      <c r="EP112" s="36">
        <v>0</v>
      </c>
      <c r="EQ112" s="36">
        <v>0</v>
      </c>
      <c r="ER112" s="36">
        <v>0</v>
      </c>
      <c r="ES112" s="36">
        <v>0</v>
      </c>
      <c r="ET112" s="36">
        <v>0</v>
      </c>
      <c r="EU112" s="36">
        <v>0</v>
      </c>
      <c r="EV112" s="36">
        <v>0</v>
      </c>
      <c r="EW112" s="36">
        <v>0</v>
      </c>
      <c r="EX112" s="36">
        <v>0</v>
      </c>
      <c r="EY112" s="36">
        <v>0</v>
      </c>
      <c r="EZ112" s="36">
        <v>0</v>
      </c>
      <c r="FA112" s="36">
        <v>0</v>
      </c>
      <c r="FB112" s="36">
        <v>0</v>
      </c>
      <c r="FC112" s="36">
        <v>0</v>
      </c>
      <c r="FD112" s="36">
        <v>0</v>
      </c>
      <c r="FE112" s="36">
        <v>0</v>
      </c>
      <c r="FF112" s="36">
        <v>0</v>
      </c>
      <c r="FG112" s="36">
        <v>0</v>
      </c>
      <c r="FH112" s="36">
        <v>0</v>
      </c>
      <c r="FI112" s="36">
        <v>0</v>
      </c>
      <c r="FJ112" s="36">
        <v>0</v>
      </c>
      <c r="FK112" s="36">
        <v>0</v>
      </c>
      <c r="FL112" s="36">
        <v>0</v>
      </c>
      <c r="FM112" s="36">
        <v>0</v>
      </c>
      <c r="FN112" s="36">
        <v>0</v>
      </c>
      <c r="FO112" s="36">
        <v>0</v>
      </c>
      <c r="FP112" s="36">
        <v>0</v>
      </c>
      <c r="FQ112" s="36">
        <v>0</v>
      </c>
      <c r="FR112" s="36">
        <v>0</v>
      </c>
      <c r="FS112" s="36">
        <v>0</v>
      </c>
      <c r="FT112" s="36">
        <v>0</v>
      </c>
      <c r="FU112" s="36">
        <v>0</v>
      </c>
      <c r="FV112" s="36">
        <v>0</v>
      </c>
      <c r="FW112" s="36">
        <v>0</v>
      </c>
      <c r="FX112" s="36">
        <v>0</v>
      </c>
      <c r="FY112" s="36">
        <v>0</v>
      </c>
      <c r="FZ112" s="36">
        <v>0</v>
      </c>
      <c r="GA112" s="36">
        <v>0</v>
      </c>
      <c r="GB112" s="36">
        <v>0</v>
      </c>
      <c r="GC112" s="36">
        <v>0</v>
      </c>
      <c r="GD112" s="36">
        <v>0</v>
      </c>
      <c r="GE112" s="36">
        <v>0</v>
      </c>
      <c r="GF112" s="36">
        <v>0</v>
      </c>
      <c r="GG112" s="42">
        <v>90.315305231324345</v>
      </c>
      <c r="GH112" s="42">
        <v>138.57383035048161</v>
      </c>
      <c r="GI112" s="42">
        <v>189.56535384126178</v>
      </c>
      <c r="GJ112" s="42">
        <v>163.04733490504333</v>
      </c>
      <c r="GK112" s="42">
        <v>211.81802766803395</v>
      </c>
      <c r="GL112" s="42">
        <v>343.11336329804232</v>
      </c>
      <c r="GM112" s="42">
        <v>348.71769575519107</v>
      </c>
      <c r="GN112" s="42">
        <v>400.74271187727931</v>
      </c>
      <c r="GO112" s="42">
        <v>1148.704562562689</v>
      </c>
      <c r="GP112" s="42">
        <v>182.70785086715946</v>
      </c>
      <c r="GQ112" s="42">
        <v>296.21838318414041</v>
      </c>
      <c r="GR112" s="42">
        <v>204.95107455843464</v>
      </c>
      <c r="GS112" s="42">
        <v>392.26188680957142</v>
      </c>
      <c r="GT112" s="42">
        <v>553.16289135014256</v>
      </c>
      <c r="GU112" s="36">
        <v>0</v>
      </c>
      <c r="GV112" s="36">
        <v>0</v>
      </c>
      <c r="GW112" s="36">
        <v>0</v>
      </c>
      <c r="GX112" s="36">
        <v>0</v>
      </c>
      <c r="GY112" s="36">
        <v>0</v>
      </c>
      <c r="GZ112" s="36">
        <v>0</v>
      </c>
      <c r="HA112" s="38">
        <v>464.80876046490448</v>
      </c>
      <c r="HB112" s="36">
        <v>8372.6546219513766</v>
      </c>
      <c r="HC112" s="36">
        <f t="shared" si="1"/>
        <v>76971.765380052151</v>
      </c>
      <c r="HD112" s="36">
        <f>SUM(DE$5:DE$213)</f>
        <v>76971.765380052137</v>
      </c>
      <c r="HE112" s="41">
        <v>0</v>
      </c>
      <c r="HG112" s="43"/>
      <c r="HH112" s="43"/>
      <c r="HI112" s="43"/>
      <c r="HJ112" s="43"/>
      <c r="HK112" s="43"/>
      <c r="HL112" s="43"/>
      <c r="HM112" s="43"/>
      <c r="HN112" s="43"/>
      <c r="HO112" s="43"/>
      <c r="HP112" s="43"/>
      <c r="HQ112" s="43"/>
      <c r="HR112" s="43"/>
      <c r="HS112" s="43"/>
      <c r="HT112" s="43"/>
    </row>
    <row r="113" spans="1:228" hidden="1" outlineLevel="1" x14ac:dyDescent="0.2">
      <c r="A113" s="9" t="s">
        <v>913</v>
      </c>
      <c r="B113" s="36">
        <v>552.22866942149335</v>
      </c>
      <c r="C113" s="36">
        <v>49.547329430162009</v>
      </c>
      <c r="D113" s="36">
        <v>47.338758553929061</v>
      </c>
      <c r="E113" s="36">
        <v>46.205955586018369</v>
      </c>
      <c r="F113" s="36">
        <v>45.30527055112735</v>
      </c>
      <c r="G113" s="36">
        <v>507.84789267882002</v>
      </c>
      <c r="H113" s="36">
        <v>70.608574368636795</v>
      </c>
      <c r="I113" s="36">
        <v>910.77918817134969</v>
      </c>
      <c r="J113" s="36">
        <v>2742.4213111628837</v>
      </c>
      <c r="K113" s="36">
        <v>10.421936295206347</v>
      </c>
      <c r="L113" s="36">
        <v>1.4684714316337231</v>
      </c>
      <c r="M113" s="36">
        <v>0.75560549709534797</v>
      </c>
      <c r="N113" s="36">
        <v>0.80289186114387789</v>
      </c>
      <c r="O113" s="36">
        <v>68.337946536291881</v>
      </c>
      <c r="P113" s="36">
        <v>22.439644386707688</v>
      </c>
      <c r="Q113" s="36">
        <v>4.61413589445859</v>
      </c>
      <c r="R113" s="36">
        <v>7.5150022290727279</v>
      </c>
      <c r="S113" s="36">
        <v>9.4206970005304953</v>
      </c>
      <c r="T113" s="36">
        <v>695.13200644953758</v>
      </c>
      <c r="U113" s="36">
        <v>0.69625112341293816</v>
      </c>
      <c r="V113" s="36">
        <v>304.03737068807908</v>
      </c>
      <c r="W113" s="36">
        <v>1115.3092461632268</v>
      </c>
      <c r="X113" s="36">
        <v>201.62693191295344</v>
      </c>
      <c r="Y113" s="36">
        <v>7.4613028712346177</v>
      </c>
      <c r="Z113" s="36">
        <v>350.48771101495447</v>
      </c>
      <c r="AA113" s="36">
        <v>62.906778514507394</v>
      </c>
      <c r="AB113" s="36">
        <v>115.36119026476256</v>
      </c>
      <c r="AC113" s="36">
        <v>1131.5476308683478</v>
      </c>
      <c r="AD113" s="36">
        <v>203.40773612242555</v>
      </c>
      <c r="AE113" s="36">
        <v>876.48310056928938</v>
      </c>
      <c r="AF113" s="36">
        <v>952.96714404290469</v>
      </c>
      <c r="AG113" s="36">
        <v>55.202126553120145</v>
      </c>
      <c r="AH113" s="36">
        <v>33.10096537808451</v>
      </c>
      <c r="AI113" s="36">
        <v>56.410680386998756</v>
      </c>
      <c r="AJ113" s="36">
        <v>65.084023125895925</v>
      </c>
      <c r="AK113" s="36">
        <v>1249.1085191637819</v>
      </c>
      <c r="AL113" s="36">
        <v>38.294096069621489</v>
      </c>
      <c r="AM113" s="36">
        <v>85.902050958014996</v>
      </c>
      <c r="AN113" s="36">
        <v>7.8619310706766159</v>
      </c>
      <c r="AO113" s="36">
        <v>140.74825806561674</v>
      </c>
      <c r="AP113" s="36">
        <v>5.3008149778381917</v>
      </c>
      <c r="AQ113" s="36">
        <v>3.3654353814182345E-2</v>
      </c>
      <c r="AR113" s="36">
        <v>0</v>
      </c>
      <c r="AS113" s="36">
        <v>9.0251601340437073</v>
      </c>
      <c r="AT113" s="36">
        <v>3.6747321022925998</v>
      </c>
      <c r="AU113" s="36">
        <v>0</v>
      </c>
      <c r="AV113" s="36">
        <v>0</v>
      </c>
      <c r="AW113" s="36">
        <v>0</v>
      </c>
      <c r="AX113" s="36">
        <v>545.02887490161595</v>
      </c>
      <c r="AY113" s="36">
        <v>0.15732483462439553</v>
      </c>
      <c r="AZ113" s="36">
        <v>5.0164350026285316</v>
      </c>
      <c r="BA113" s="36">
        <v>8.4864643802203793E-2</v>
      </c>
      <c r="BB113" s="36">
        <v>4.6766249845870203</v>
      </c>
      <c r="BC113" s="36">
        <v>749.10920337396283</v>
      </c>
      <c r="BD113" s="36">
        <v>6.7773244552878849</v>
      </c>
      <c r="BE113" s="36">
        <v>88.38255645174192</v>
      </c>
      <c r="BF113" s="36">
        <v>2.0319254639984919E-3</v>
      </c>
      <c r="BG113" s="36">
        <v>164.82438932401391</v>
      </c>
      <c r="BH113" s="36">
        <v>0.26730256213904308</v>
      </c>
      <c r="BI113" s="36">
        <v>0.26387542961418731</v>
      </c>
      <c r="BJ113" s="36">
        <v>1910.1830413376501</v>
      </c>
      <c r="BK113" s="36">
        <v>0</v>
      </c>
      <c r="BL113" s="36">
        <v>0</v>
      </c>
      <c r="BM113" s="36">
        <v>0</v>
      </c>
      <c r="BN113" s="36">
        <v>0</v>
      </c>
      <c r="BO113" s="36">
        <v>0</v>
      </c>
      <c r="BP113" s="36">
        <v>0</v>
      </c>
      <c r="BQ113" s="36">
        <v>0</v>
      </c>
      <c r="BR113" s="36">
        <v>0</v>
      </c>
      <c r="BS113" s="36">
        <v>0</v>
      </c>
      <c r="BT113" s="36">
        <v>0</v>
      </c>
      <c r="BU113" s="36">
        <v>0</v>
      </c>
      <c r="BV113" s="36">
        <v>0</v>
      </c>
      <c r="BW113" s="36">
        <v>0</v>
      </c>
      <c r="BX113" s="36">
        <v>0</v>
      </c>
      <c r="BY113" s="36">
        <v>0</v>
      </c>
      <c r="BZ113" s="36">
        <v>0</v>
      </c>
      <c r="CA113" s="36">
        <v>0</v>
      </c>
      <c r="CB113" s="36">
        <v>0</v>
      </c>
      <c r="CC113" s="36">
        <v>0</v>
      </c>
      <c r="CD113" s="36">
        <v>0</v>
      </c>
      <c r="CE113" s="36">
        <v>0</v>
      </c>
      <c r="CF113" s="36">
        <v>0</v>
      </c>
      <c r="CG113" s="36">
        <v>0</v>
      </c>
      <c r="CH113" s="36">
        <v>0</v>
      </c>
      <c r="CI113" s="36">
        <v>0</v>
      </c>
      <c r="CJ113" s="36">
        <v>0</v>
      </c>
      <c r="CK113" s="36">
        <v>0</v>
      </c>
      <c r="CL113" s="36">
        <v>0</v>
      </c>
      <c r="CM113" s="36">
        <v>0</v>
      </c>
      <c r="CN113" s="36">
        <v>0</v>
      </c>
      <c r="CO113" s="36">
        <v>0</v>
      </c>
      <c r="CP113" s="36">
        <v>0</v>
      </c>
      <c r="CQ113" s="36">
        <v>0</v>
      </c>
      <c r="CR113" s="36">
        <v>0</v>
      </c>
      <c r="CS113" s="36">
        <v>0</v>
      </c>
      <c r="CT113" s="36">
        <v>0</v>
      </c>
      <c r="CU113" s="36">
        <v>0</v>
      </c>
      <c r="CV113" s="36">
        <v>0</v>
      </c>
      <c r="CW113" s="36">
        <v>0</v>
      </c>
      <c r="CX113" s="36">
        <v>0</v>
      </c>
      <c r="CY113" s="36">
        <v>0</v>
      </c>
      <c r="CZ113" s="36">
        <v>0</v>
      </c>
      <c r="DA113" s="36">
        <v>0</v>
      </c>
      <c r="DB113" s="36">
        <v>0</v>
      </c>
      <c r="DC113" s="36">
        <v>0</v>
      </c>
      <c r="DD113" s="36">
        <v>0</v>
      </c>
      <c r="DE113" s="36">
        <v>0</v>
      </c>
      <c r="DF113" s="36">
        <v>0</v>
      </c>
      <c r="DG113" s="36">
        <v>0</v>
      </c>
      <c r="DH113" s="36">
        <v>0</v>
      </c>
      <c r="DI113" s="36">
        <v>0</v>
      </c>
      <c r="DJ113" s="36">
        <v>0</v>
      </c>
      <c r="DK113" s="36">
        <v>0</v>
      </c>
      <c r="DL113" s="36">
        <v>0</v>
      </c>
      <c r="DM113" s="36">
        <v>0</v>
      </c>
      <c r="DN113" s="36">
        <v>0</v>
      </c>
      <c r="DO113" s="36">
        <v>0</v>
      </c>
      <c r="DP113" s="36">
        <v>0</v>
      </c>
      <c r="DQ113" s="36">
        <v>0</v>
      </c>
      <c r="DR113" s="36">
        <v>0</v>
      </c>
      <c r="DS113" s="36">
        <v>0</v>
      </c>
      <c r="DT113" s="36">
        <v>0</v>
      </c>
      <c r="DU113" s="36">
        <v>0</v>
      </c>
      <c r="DV113" s="36">
        <v>0</v>
      </c>
      <c r="DW113" s="36">
        <v>0</v>
      </c>
      <c r="DX113" s="36">
        <v>0</v>
      </c>
      <c r="DY113" s="36">
        <v>0</v>
      </c>
      <c r="DZ113" s="36">
        <v>0</v>
      </c>
      <c r="EA113" s="36">
        <v>0</v>
      </c>
      <c r="EB113" s="36">
        <v>0</v>
      </c>
      <c r="EC113" s="36">
        <v>0</v>
      </c>
      <c r="ED113" s="36">
        <v>0</v>
      </c>
      <c r="EE113" s="36">
        <v>0</v>
      </c>
      <c r="EF113" s="36">
        <v>0</v>
      </c>
      <c r="EG113" s="36">
        <v>0</v>
      </c>
      <c r="EH113" s="36">
        <v>0</v>
      </c>
      <c r="EI113" s="36">
        <v>0</v>
      </c>
      <c r="EJ113" s="36">
        <v>0</v>
      </c>
      <c r="EK113" s="36">
        <v>0</v>
      </c>
      <c r="EL113" s="36">
        <v>0</v>
      </c>
      <c r="EM113" s="36">
        <v>0</v>
      </c>
      <c r="EN113" s="36">
        <v>0</v>
      </c>
      <c r="EO113" s="36">
        <v>0</v>
      </c>
      <c r="EP113" s="36">
        <v>0</v>
      </c>
      <c r="EQ113" s="36">
        <v>0</v>
      </c>
      <c r="ER113" s="36">
        <v>0</v>
      </c>
      <c r="ES113" s="36">
        <v>0</v>
      </c>
      <c r="ET113" s="36">
        <v>0</v>
      </c>
      <c r="EU113" s="36">
        <v>0</v>
      </c>
      <c r="EV113" s="36">
        <v>0</v>
      </c>
      <c r="EW113" s="36">
        <v>0</v>
      </c>
      <c r="EX113" s="36">
        <v>0</v>
      </c>
      <c r="EY113" s="36">
        <v>0</v>
      </c>
      <c r="EZ113" s="36">
        <v>0</v>
      </c>
      <c r="FA113" s="36">
        <v>0</v>
      </c>
      <c r="FB113" s="36">
        <v>0</v>
      </c>
      <c r="FC113" s="36">
        <v>0</v>
      </c>
      <c r="FD113" s="36">
        <v>0</v>
      </c>
      <c r="FE113" s="36">
        <v>0</v>
      </c>
      <c r="FF113" s="36">
        <v>0</v>
      </c>
      <c r="FG113" s="36">
        <v>0</v>
      </c>
      <c r="FH113" s="36">
        <v>0</v>
      </c>
      <c r="FI113" s="36">
        <v>0</v>
      </c>
      <c r="FJ113" s="36">
        <v>0</v>
      </c>
      <c r="FK113" s="36">
        <v>0</v>
      </c>
      <c r="FL113" s="36">
        <v>0</v>
      </c>
      <c r="FM113" s="36">
        <v>0</v>
      </c>
      <c r="FN113" s="36">
        <v>0</v>
      </c>
      <c r="FO113" s="36">
        <v>0</v>
      </c>
      <c r="FP113" s="36">
        <v>0</v>
      </c>
      <c r="FQ113" s="36">
        <v>0</v>
      </c>
      <c r="FR113" s="36">
        <v>0</v>
      </c>
      <c r="FS113" s="36">
        <v>0</v>
      </c>
      <c r="FT113" s="36">
        <v>0</v>
      </c>
      <c r="FU113" s="36">
        <v>0</v>
      </c>
      <c r="FV113" s="36">
        <v>0</v>
      </c>
      <c r="FW113" s="36">
        <v>0</v>
      </c>
      <c r="FX113" s="36">
        <v>0</v>
      </c>
      <c r="FY113" s="36">
        <v>0</v>
      </c>
      <c r="FZ113" s="36">
        <v>0</v>
      </c>
      <c r="GA113" s="36">
        <v>0</v>
      </c>
      <c r="GB113" s="36">
        <v>0</v>
      </c>
      <c r="GC113" s="36">
        <v>0</v>
      </c>
      <c r="GD113" s="36">
        <v>0</v>
      </c>
      <c r="GE113" s="36">
        <v>0</v>
      </c>
      <c r="GF113" s="36">
        <v>0</v>
      </c>
      <c r="GG113" s="42">
        <v>38.092441184919622</v>
      </c>
      <c r="GH113" s="42">
        <v>43.212072756509862</v>
      </c>
      <c r="GI113" s="42">
        <v>60.425294501978108</v>
      </c>
      <c r="GJ113" s="42">
        <v>57.478628797356173</v>
      </c>
      <c r="GK113" s="42">
        <v>67.612149380864381</v>
      </c>
      <c r="GL113" s="42">
        <v>82.504664135526184</v>
      </c>
      <c r="GM113" s="42">
        <v>126.30378233846486</v>
      </c>
      <c r="GN113" s="42">
        <v>147.72818101120217</v>
      </c>
      <c r="GO113" s="42">
        <v>228.33150215865888</v>
      </c>
      <c r="GP113" s="42">
        <v>39.694375291432515</v>
      </c>
      <c r="GQ113" s="42">
        <v>33.816895618781288</v>
      </c>
      <c r="GR113" s="42">
        <v>68.594652464200323</v>
      </c>
      <c r="GS113" s="42">
        <v>45.401781909904798</v>
      </c>
      <c r="GT113" s="42">
        <v>108.56129242092481</v>
      </c>
      <c r="GU113" s="36">
        <v>0</v>
      </c>
      <c r="GV113" s="36">
        <v>0</v>
      </c>
      <c r="GW113" s="36">
        <v>0</v>
      </c>
      <c r="GX113" s="36">
        <v>0</v>
      </c>
      <c r="GY113" s="36">
        <v>0</v>
      </c>
      <c r="GZ113" s="36">
        <v>0</v>
      </c>
      <c r="HA113" s="38">
        <v>3.6002543715949287</v>
      </c>
      <c r="HB113" s="36">
        <v>2213.4039835810258</v>
      </c>
      <c r="HC113" s="36">
        <f t="shared" si="1"/>
        <v>19704.766495152471</v>
      </c>
      <c r="HD113" s="36">
        <f>SUM(DF$5:DF$213)</f>
        <v>19704.766495152471</v>
      </c>
      <c r="HE113" s="41">
        <v>0</v>
      </c>
      <c r="HG113" s="43"/>
      <c r="HH113" s="43"/>
      <c r="HI113" s="43"/>
      <c r="HJ113" s="43"/>
      <c r="HK113" s="43"/>
      <c r="HL113" s="43"/>
      <c r="HM113" s="43"/>
      <c r="HN113" s="43"/>
      <c r="HO113" s="43"/>
      <c r="HP113" s="43"/>
      <c r="HQ113" s="43"/>
      <c r="HR113" s="43"/>
      <c r="HS113" s="43"/>
      <c r="HT113" s="43"/>
    </row>
    <row r="114" spans="1:228" hidden="1" outlineLevel="1" x14ac:dyDescent="0.2">
      <c r="A114" s="9" t="s">
        <v>918</v>
      </c>
      <c r="B114" s="36">
        <v>0</v>
      </c>
      <c r="C114" s="36">
        <v>0</v>
      </c>
      <c r="D114" s="36">
        <v>0</v>
      </c>
      <c r="E114" s="36">
        <v>0</v>
      </c>
      <c r="F114" s="36">
        <v>0</v>
      </c>
      <c r="G114" s="36">
        <v>0</v>
      </c>
      <c r="H114" s="36">
        <v>0</v>
      </c>
      <c r="I114" s="36">
        <v>0</v>
      </c>
      <c r="J114" s="36">
        <v>0</v>
      </c>
      <c r="K114" s="36">
        <v>0</v>
      </c>
      <c r="L114" s="36">
        <v>0</v>
      </c>
      <c r="M114" s="36">
        <v>0</v>
      </c>
      <c r="N114" s="36">
        <v>0</v>
      </c>
      <c r="O114" s="36">
        <v>0</v>
      </c>
      <c r="P114" s="36">
        <v>0</v>
      </c>
      <c r="Q114" s="36">
        <v>0</v>
      </c>
      <c r="R114" s="36">
        <v>0</v>
      </c>
      <c r="S114" s="36">
        <v>0</v>
      </c>
      <c r="T114" s="36">
        <v>0</v>
      </c>
      <c r="U114" s="36">
        <v>0</v>
      </c>
      <c r="V114" s="36">
        <v>0</v>
      </c>
      <c r="W114" s="36">
        <v>0</v>
      </c>
      <c r="X114" s="36">
        <v>0</v>
      </c>
      <c r="Y114" s="36">
        <v>0</v>
      </c>
      <c r="Z114" s="36">
        <v>0</v>
      </c>
      <c r="AA114" s="36">
        <v>0</v>
      </c>
      <c r="AB114" s="36">
        <v>0</v>
      </c>
      <c r="AC114" s="36">
        <v>0</v>
      </c>
      <c r="AD114" s="36">
        <v>0</v>
      </c>
      <c r="AE114" s="36">
        <v>0</v>
      </c>
      <c r="AF114" s="36">
        <v>0</v>
      </c>
      <c r="AG114" s="36">
        <v>0</v>
      </c>
      <c r="AH114" s="36">
        <v>0</v>
      </c>
      <c r="AI114" s="36">
        <v>0</v>
      </c>
      <c r="AJ114" s="36">
        <v>0</v>
      </c>
      <c r="AK114" s="36">
        <v>0</v>
      </c>
      <c r="AL114" s="36">
        <v>0</v>
      </c>
      <c r="AM114" s="36">
        <v>0</v>
      </c>
      <c r="AN114" s="36">
        <v>0</v>
      </c>
      <c r="AO114" s="36">
        <v>66.706827250661973</v>
      </c>
      <c r="AP114" s="36">
        <v>0</v>
      </c>
      <c r="AQ114" s="36">
        <v>0</v>
      </c>
      <c r="AR114" s="36">
        <v>0</v>
      </c>
      <c r="AS114" s="36">
        <v>0</v>
      </c>
      <c r="AT114" s="36">
        <v>0</v>
      </c>
      <c r="AU114" s="36">
        <v>0</v>
      </c>
      <c r="AV114" s="36">
        <v>0</v>
      </c>
      <c r="AW114" s="36">
        <v>0</v>
      </c>
      <c r="AX114" s="36">
        <v>5371.9996569296127</v>
      </c>
      <c r="AY114" s="36">
        <v>0</v>
      </c>
      <c r="AZ114" s="36">
        <v>0</v>
      </c>
      <c r="BA114" s="36">
        <v>0</v>
      </c>
      <c r="BB114" s="36">
        <v>0</v>
      </c>
      <c r="BC114" s="36">
        <v>1.2612774798940749</v>
      </c>
      <c r="BD114" s="36">
        <v>0</v>
      </c>
      <c r="BE114" s="36">
        <v>8.2224168512955401E-2</v>
      </c>
      <c r="BF114" s="36">
        <v>0</v>
      </c>
      <c r="BG114" s="36">
        <v>0</v>
      </c>
      <c r="BH114" s="36">
        <v>0</v>
      </c>
      <c r="BI114" s="36">
        <v>0</v>
      </c>
      <c r="BJ114" s="36">
        <v>33.388152573856729</v>
      </c>
      <c r="BK114" s="36">
        <v>0</v>
      </c>
      <c r="BL114" s="36">
        <v>0</v>
      </c>
      <c r="BM114" s="36">
        <v>0</v>
      </c>
      <c r="BN114" s="36">
        <v>0</v>
      </c>
      <c r="BO114" s="36">
        <v>0</v>
      </c>
      <c r="BP114" s="36">
        <v>0</v>
      </c>
      <c r="BQ114" s="36">
        <v>0</v>
      </c>
      <c r="BR114" s="36">
        <v>0</v>
      </c>
      <c r="BS114" s="36">
        <v>0</v>
      </c>
      <c r="BT114" s="36">
        <v>0</v>
      </c>
      <c r="BU114" s="36">
        <v>0</v>
      </c>
      <c r="BV114" s="36">
        <v>0</v>
      </c>
      <c r="BW114" s="36">
        <v>0</v>
      </c>
      <c r="BX114" s="36">
        <v>0</v>
      </c>
      <c r="BY114" s="36">
        <v>0</v>
      </c>
      <c r="BZ114" s="36">
        <v>0</v>
      </c>
      <c r="CA114" s="36">
        <v>0</v>
      </c>
      <c r="CB114" s="36">
        <v>0</v>
      </c>
      <c r="CC114" s="36">
        <v>0</v>
      </c>
      <c r="CD114" s="36">
        <v>0</v>
      </c>
      <c r="CE114" s="36">
        <v>0</v>
      </c>
      <c r="CF114" s="36">
        <v>0</v>
      </c>
      <c r="CG114" s="36">
        <v>0</v>
      </c>
      <c r="CH114" s="36">
        <v>0</v>
      </c>
      <c r="CI114" s="36">
        <v>0</v>
      </c>
      <c r="CJ114" s="36">
        <v>0</v>
      </c>
      <c r="CK114" s="36">
        <v>0</v>
      </c>
      <c r="CL114" s="36">
        <v>0</v>
      </c>
      <c r="CM114" s="36">
        <v>0</v>
      </c>
      <c r="CN114" s="36">
        <v>0</v>
      </c>
      <c r="CO114" s="36">
        <v>0</v>
      </c>
      <c r="CP114" s="36">
        <v>0</v>
      </c>
      <c r="CQ114" s="36">
        <v>0</v>
      </c>
      <c r="CR114" s="36">
        <v>0</v>
      </c>
      <c r="CS114" s="36">
        <v>0</v>
      </c>
      <c r="CT114" s="36">
        <v>0</v>
      </c>
      <c r="CU114" s="36">
        <v>0</v>
      </c>
      <c r="CV114" s="36">
        <v>0</v>
      </c>
      <c r="CW114" s="36">
        <v>0</v>
      </c>
      <c r="CX114" s="36">
        <v>0</v>
      </c>
      <c r="CY114" s="36">
        <v>0</v>
      </c>
      <c r="CZ114" s="36">
        <v>0</v>
      </c>
      <c r="DA114" s="36">
        <v>0</v>
      </c>
      <c r="DB114" s="36">
        <v>0</v>
      </c>
      <c r="DC114" s="36">
        <v>0</v>
      </c>
      <c r="DD114" s="36">
        <v>0</v>
      </c>
      <c r="DE114" s="36">
        <v>0</v>
      </c>
      <c r="DF114" s="36">
        <v>0</v>
      </c>
      <c r="DG114" s="36">
        <v>0</v>
      </c>
      <c r="DH114" s="36">
        <v>0</v>
      </c>
      <c r="DI114" s="36">
        <v>0</v>
      </c>
      <c r="DJ114" s="36">
        <v>0</v>
      </c>
      <c r="DK114" s="36">
        <v>0</v>
      </c>
      <c r="DL114" s="36">
        <v>0</v>
      </c>
      <c r="DM114" s="36">
        <v>0</v>
      </c>
      <c r="DN114" s="36">
        <v>0</v>
      </c>
      <c r="DO114" s="36">
        <v>0</v>
      </c>
      <c r="DP114" s="36">
        <v>0</v>
      </c>
      <c r="DQ114" s="36">
        <v>0</v>
      </c>
      <c r="DR114" s="36">
        <v>0</v>
      </c>
      <c r="DS114" s="36">
        <v>0</v>
      </c>
      <c r="DT114" s="36">
        <v>0</v>
      </c>
      <c r="DU114" s="36">
        <v>0</v>
      </c>
      <c r="DV114" s="36">
        <v>0</v>
      </c>
      <c r="DW114" s="36">
        <v>0</v>
      </c>
      <c r="DX114" s="36">
        <v>0</v>
      </c>
      <c r="DY114" s="36">
        <v>0</v>
      </c>
      <c r="DZ114" s="36">
        <v>0</v>
      </c>
      <c r="EA114" s="36">
        <v>0</v>
      </c>
      <c r="EB114" s="36">
        <v>0</v>
      </c>
      <c r="EC114" s="36">
        <v>0</v>
      </c>
      <c r="ED114" s="36">
        <v>0</v>
      </c>
      <c r="EE114" s="36">
        <v>0</v>
      </c>
      <c r="EF114" s="36">
        <v>0</v>
      </c>
      <c r="EG114" s="36">
        <v>0</v>
      </c>
      <c r="EH114" s="36">
        <v>0</v>
      </c>
      <c r="EI114" s="36">
        <v>0</v>
      </c>
      <c r="EJ114" s="36">
        <v>0</v>
      </c>
      <c r="EK114" s="36">
        <v>0</v>
      </c>
      <c r="EL114" s="36">
        <v>0</v>
      </c>
      <c r="EM114" s="36">
        <v>0</v>
      </c>
      <c r="EN114" s="36">
        <v>0</v>
      </c>
      <c r="EO114" s="36">
        <v>0</v>
      </c>
      <c r="EP114" s="36">
        <v>0</v>
      </c>
      <c r="EQ114" s="36">
        <v>0</v>
      </c>
      <c r="ER114" s="36">
        <v>0</v>
      </c>
      <c r="ES114" s="36">
        <v>0</v>
      </c>
      <c r="ET114" s="36">
        <v>0</v>
      </c>
      <c r="EU114" s="36">
        <v>0</v>
      </c>
      <c r="EV114" s="36">
        <v>0</v>
      </c>
      <c r="EW114" s="36">
        <v>0</v>
      </c>
      <c r="EX114" s="36">
        <v>0</v>
      </c>
      <c r="EY114" s="36">
        <v>0</v>
      </c>
      <c r="EZ114" s="36">
        <v>0</v>
      </c>
      <c r="FA114" s="36">
        <v>0</v>
      </c>
      <c r="FB114" s="36">
        <v>0</v>
      </c>
      <c r="FC114" s="36">
        <v>0</v>
      </c>
      <c r="FD114" s="36">
        <v>0</v>
      </c>
      <c r="FE114" s="36">
        <v>0</v>
      </c>
      <c r="FF114" s="36">
        <v>0</v>
      </c>
      <c r="FG114" s="36">
        <v>0</v>
      </c>
      <c r="FH114" s="36">
        <v>0</v>
      </c>
      <c r="FI114" s="36">
        <v>0</v>
      </c>
      <c r="FJ114" s="36">
        <v>0</v>
      </c>
      <c r="FK114" s="36">
        <v>0</v>
      </c>
      <c r="FL114" s="36">
        <v>0</v>
      </c>
      <c r="FM114" s="36">
        <v>0</v>
      </c>
      <c r="FN114" s="36">
        <v>0</v>
      </c>
      <c r="FO114" s="36">
        <v>0</v>
      </c>
      <c r="FP114" s="36">
        <v>0</v>
      </c>
      <c r="FQ114" s="36">
        <v>0</v>
      </c>
      <c r="FR114" s="36">
        <v>0</v>
      </c>
      <c r="FS114" s="36">
        <v>0</v>
      </c>
      <c r="FT114" s="36">
        <v>0</v>
      </c>
      <c r="FU114" s="36">
        <v>0</v>
      </c>
      <c r="FV114" s="36">
        <v>0</v>
      </c>
      <c r="FW114" s="36">
        <v>0</v>
      </c>
      <c r="FX114" s="36">
        <v>0</v>
      </c>
      <c r="FY114" s="36">
        <v>0</v>
      </c>
      <c r="FZ114" s="36">
        <v>0</v>
      </c>
      <c r="GA114" s="36">
        <v>0</v>
      </c>
      <c r="GB114" s="36">
        <v>0</v>
      </c>
      <c r="GC114" s="36">
        <v>0</v>
      </c>
      <c r="GD114" s="36">
        <v>0</v>
      </c>
      <c r="GE114" s="36">
        <v>0</v>
      </c>
      <c r="GF114" s="36">
        <v>0</v>
      </c>
      <c r="GG114" s="42">
        <v>1.7671141604912894</v>
      </c>
      <c r="GH114" s="42">
        <v>0.24241599365296121</v>
      </c>
      <c r="GI114" s="42">
        <v>0</v>
      </c>
      <c r="GJ114" s="42">
        <v>4.2485580153012403</v>
      </c>
      <c r="GK114" s="42">
        <v>0</v>
      </c>
      <c r="GL114" s="42">
        <v>49.969845389987931</v>
      </c>
      <c r="GM114" s="42">
        <v>49.264023760464333</v>
      </c>
      <c r="GN114" s="42">
        <v>44.752985863637917</v>
      </c>
      <c r="GO114" s="42">
        <v>1140.352009387899</v>
      </c>
      <c r="GP114" s="42">
        <v>165.62634181539809</v>
      </c>
      <c r="GQ114" s="42">
        <v>677.60910725714689</v>
      </c>
      <c r="GR114" s="42">
        <v>244.99579634952741</v>
      </c>
      <c r="GS114" s="42">
        <v>512.53361836215629</v>
      </c>
      <c r="GT114" s="42">
        <v>2746.4724990754844</v>
      </c>
      <c r="GU114" s="36">
        <v>0</v>
      </c>
      <c r="GV114" s="36">
        <v>0</v>
      </c>
      <c r="GW114" s="36">
        <v>0</v>
      </c>
      <c r="GX114" s="36">
        <v>0</v>
      </c>
      <c r="GY114" s="36">
        <v>0</v>
      </c>
      <c r="GZ114" s="36">
        <v>0</v>
      </c>
      <c r="HA114" s="38">
        <v>129.3774851337821</v>
      </c>
      <c r="HB114" s="36">
        <v>1903.8935658033174</v>
      </c>
      <c r="HC114" s="36">
        <f t="shared" si="1"/>
        <v>13144.543504770787</v>
      </c>
      <c r="HD114" s="36">
        <f>SUM(DG$5:DG$213)</f>
        <v>13144.543504770787</v>
      </c>
      <c r="HE114" s="41">
        <v>0</v>
      </c>
      <c r="HG114" s="43"/>
      <c r="HH114" s="43"/>
      <c r="HI114" s="43"/>
      <c r="HJ114" s="43"/>
      <c r="HK114" s="43"/>
      <c r="HL114" s="43"/>
      <c r="HM114" s="43"/>
      <c r="HN114" s="43"/>
      <c r="HO114" s="43"/>
      <c r="HP114" s="43"/>
      <c r="HQ114" s="43"/>
      <c r="HR114" s="43"/>
      <c r="HS114" s="43"/>
      <c r="HT114" s="43"/>
    </row>
    <row r="115" spans="1:228" hidden="1" outlineLevel="1" x14ac:dyDescent="0.2">
      <c r="A115" s="9" t="s">
        <v>923</v>
      </c>
      <c r="B115" s="36">
        <v>0</v>
      </c>
      <c r="C115" s="36">
        <v>0</v>
      </c>
      <c r="D115" s="36">
        <v>0</v>
      </c>
      <c r="E115" s="36">
        <v>0</v>
      </c>
      <c r="F115" s="36">
        <v>0</v>
      </c>
      <c r="G115" s="36">
        <v>0</v>
      </c>
      <c r="H115" s="36">
        <v>0</v>
      </c>
      <c r="I115" s="36">
        <v>0</v>
      </c>
      <c r="J115" s="36">
        <v>0</v>
      </c>
      <c r="K115" s="36">
        <v>0</v>
      </c>
      <c r="L115" s="36">
        <v>0</v>
      </c>
      <c r="M115" s="36">
        <v>0</v>
      </c>
      <c r="N115" s="36">
        <v>0</v>
      </c>
      <c r="O115" s="36">
        <v>0</v>
      </c>
      <c r="P115" s="36">
        <v>0</v>
      </c>
      <c r="Q115" s="36">
        <v>0</v>
      </c>
      <c r="R115" s="36">
        <v>0</v>
      </c>
      <c r="S115" s="36">
        <v>0</v>
      </c>
      <c r="T115" s="36">
        <v>0</v>
      </c>
      <c r="U115" s="36">
        <v>0</v>
      </c>
      <c r="V115" s="36">
        <v>0</v>
      </c>
      <c r="W115" s="36">
        <v>0</v>
      </c>
      <c r="X115" s="36">
        <v>0</v>
      </c>
      <c r="Y115" s="36">
        <v>0</v>
      </c>
      <c r="Z115" s="36">
        <v>0</v>
      </c>
      <c r="AA115" s="36">
        <v>214.08736969154833</v>
      </c>
      <c r="AB115" s="36">
        <v>0</v>
      </c>
      <c r="AC115" s="36">
        <v>0</v>
      </c>
      <c r="AD115" s="36">
        <v>0</v>
      </c>
      <c r="AE115" s="36">
        <v>0</v>
      </c>
      <c r="AF115" s="36">
        <v>0</v>
      </c>
      <c r="AG115" s="36">
        <v>0</v>
      </c>
      <c r="AH115" s="36">
        <v>0</v>
      </c>
      <c r="AI115" s="36">
        <v>0</v>
      </c>
      <c r="AJ115" s="36">
        <v>0</v>
      </c>
      <c r="AK115" s="36">
        <v>13009.288663528496</v>
      </c>
      <c r="AL115" s="36">
        <v>0</v>
      </c>
      <c r="AM115" s="36">
        <v>0</v>
      </c>
      <c r="AN115" s="36">
        <v>0</v>
      </c>
      <c r="AO115" s="36">
        <v>0</v>
      </c>
      <c r="AP115" s="36">
        <v>0</v>
      </c>
      <c r="AQ115" s="36">
        <v>0</v>
      </c>
      <c r="AR115" s="36">
        <v>0</v>
      </c>
      <c r="AS115" s="36">
        <v>0</v>
      </c>
      <c r="AT115" s="36">
        <v>0</v>
      </c>
      <c r="AU115" s="36">
        <v>0</v>
      </c>
      <c r="AV115" s="36">
        <v>0</v>
      </c>
      <c r="AW115" s="36">
        <v>0</v>
      </c>
      <c r="AX115" s="36">
        <v>2132.703622155449</v>
      </c>
      <c r="AY115" s="36">
        <v>0</v>
      </c>
      <c r="AZ115" s="36">
        <v>0</v>
      </c>
      <c r="BA115" s="36">
        <v>0</v>
      </c>
      <c r="BB115" s="36">
        <v>0</v>
      </c>
      <c r="BC115" s="36">
        <v>166.14914263741917</v>
      </c>
      <c r="BD115" s="36">
        <v>1.0840910979653819</v>
      </c>
      <c r="BE115" s="36">
        <v>13.973922279857447</v>
      </c>
      <c r="BF115" s="36">
        <v>0</v>
      </c>
      <c r="BG115" s="36">
        <v>0</v>
      </c>
      <c r="BH115" s="36">
        <v>0</v>
      </c>
      <c r="BI115" s="36">
        <v>0</v>
      </c>
      <c r="BJ115" s="36">
        <v>3734.6628899156658</v>
      </c>
      <c r="BK115" s="36">
        <v>0</v>
      </c>
      <c r="BL115" s="36">
        <v>0</v>
      </c>
      <c r="BM115" s="36">
        <v>0</v>
      </c>
      <c r="BN115" s="36">
        <v>0</v>
      </c>
      <c r="BO115" s="36">
        <v>0</v>
      </c>
      <c r="BP115" s="36">
        <v>0</v>
      </c>
      <c r="BQ115" s="36">
        <v>0</v>
      </c>
      <c r="BR115" s="36">
        <v>0</v>
      </c>
      <c r="BS115" s="36">
        <v>0</v>
      </c>
      <c r="BT115" s="36">
        <v>0</v>
      </c>
      <c r="BU115" s="36">
        <v>0</v>
      </c>
      <c r="BV115" s="36">
        <v>0</v>
      </c>
      <c r="BW115" s="36">
        <v>0</v>
      </c>
      <c r="BX115" s="36">
        <v>0</v>
      </c>
      <c r="BY115" s="36">
        <v>0</v>
      </c>
      <c r="BZ115" s="36">
        <v>0</v>
      </c>
      <c r="CA115" s="36">
        <v>0</v>
      </c>
      <c r="CB115" s="36">
        <v>0</v>
      </c>
      <c r="CC115" s="36">
        <v>0</v>
      </c>
      <c r="CD115" s="36">
        <v>0</v>
      </c>
      <c r="CE115" s="36">
        <v>0</v>
      </c>
      <c r="CF115" s="36">
        <v>0</v>
      </c>
      <c r="CG115" s="36">
        <v>0</v>
      </c>
      <c r="CH115" s="36">
        <v>0</v>
      </c>
      <c r="CI115" s="36">
        <v>0</v>
      </c>
      <c r="CJ115" s="36">
        <v>0</v>
      </c>
      <c r="CK115" s="36">
        <v>0</v>
      </c>
      <c r="CL115" s="36">
        <v>0</v>
      </c>
      <c r="CM115" s="36">
        <v>0</v>
      </c>
      <c r="CN115" s="36">
        <v>0</v>
      </c>
      <c r="CO115" s="36">
        <v>0</v>
      </c>
      <c r="CP115" s="36">
        <v>0</v>
      </c>
      <c r="CQ115" s="36">
        <v>0</v>
      </c>
      <c r="CR115" s="36">
        <v>0</v>
      </c>
      <c r="CS115" s="36">
        <v>0</v>
      </c>
      <c r="CT115" s="36">
        <v>0</v>
      </c>
      <c r="CU115" s="36">
        <v>0</v>
      </c>
      <c r="CV115" s="36">
        <v>0</v>
      </c>
      <c r="CW115" s="36">
        <v>0</v>
      </c>
      <c r="CX115" s="36">
        <v>0</v>
      </c>
      <c r="CY115" s="36">
        <v>0</v>
      </c>
      <c r="CZ115" s="36">
        <v>0</v>
      </c>
      <c r="DA115" s="36">
        <v>0</v>
      </c>
      <c r="DB115" s="36">
        <v>0</v>
      </c>
      <c r="DC115" s="36">
        <v>0</v>
      </c>
      <c r="DD115" s="36">
        <v>0</v>
      </c>
      <c r="DE115" s="36">
        <v>0</v>
      </c>
      <c r="DF115" s="36">
        <v>0</v>
      </c>
      <c r="DG115" s="36">
        <v>0</v>
      </c>
      <c r="DH115" s="36">
        <v>0</v>
      </c>
      <c r="DI115" s="36">
        <v>0</v>
      </c>
      <c r="DJ115" s="36">
        <v>0</v>
      </c>
      <c r="DK115" s="36">
        <v>0</v>
      </c>
      <c r="DL115" s="36">
        <v>0</v>
      </c>
      <c r="DM115" s="36">
        <v>0</v>
      </c>
      <c r="DN115" s="36">
        <v>0</v>
      </c>
      <c r="DO115" s="36">
        <v>0</v>
      </c>
      <c r="DP115" s="36">
        <v>0</v>
      </c>
      <c r="DQ115" s="36">
        <v>0</v>
      </c>
      <c r="DR115" s="36">
        <v>0</v>
      </c>
      <c r="DS115" s="36">
        <v>0</v>
      </c>
      <c r="DT115" s="36">
        <v>0</v>
      </c>
      <c r="DU115" s="36">
        <v>0</v>
      </c>
      <c r="DV115" s="36">
        <v>0</v>
      </c>
      <c r="DW115" s="36">
        <v>0</v>
      </c>
      <c r="DX115" s="36">
        <v>0</v>
      </c>
      <c r="DY115" s="36">
        <v>0</v>
      </c>
      <c r="DZ115" s="36">
        <v>0</v>
      </c>
      <c r="EA115" s="36">
        <v>0</v>
      </c>
      <c r="EB115" s="36">
        <v>0</v>
      </c>
      <c r="EC115" s="36">
        <v>0</v>
      </c>
      <c r="ED115" s="36">
        <v>0</v>
      </c>
      <c r="EE115" s="36">
        <v>0</v>
      </c>
      <c r="EF115" s="36">
        <v>0</v>
      </c>
      <c r="EG115" s="36">
        <v>0</v>
      </c>
      <c r="EH115" s="36">
        <v>0</v>
      </c>
      <c r="EI115" s="36">
        <v>0</v>
      </c>
      <c r="EJ115" s="36">
        <v>0</v>
      </c>
      <c r="EK115" s="36">
        <v>0</v>
      </c>
      <c r="EL115" s="36">
        <v>0</v>
      </c>
      <c r="EM115" s="36">
        <v>0</v>
      </c>
      <c r="EN115" s="36">
        <v>0</v>
      </c>
      <c r="EO115" s="36">
        <v>0</v>
      </c>
      <c r="EP115" s="36">
        <v>0</v>
      </c>
      <c r="EQ115" s="36">
        <v>0</v>
      </c>
      <c r="ER115" s="36">
        <v>0</v>
      </c>
      <c r="ES115" s="36">
        <v>0</v>
      </c>
      <c r="ET115" s="36">
        <v>0</v>
      </c>
      <c r="EU115" s="36">
        <v>0</v>
      </c>
      <c r="EV115" s="36">
        <v>0</v>
      </c>
      <c r="EW115" s="36">
        <v>0</v>
      </c>
      <c r="EX115" s="36">
        <v>0</v>
      </c>
      <c r="EY115" s="36">
        <v>0</v>
      </c>
      <c r="EZ115" s="36">
        <v>0</v>
      </c>
      <c r="FA115" s="36">
        <v>0</v>
      </c>
      <c r="FB115" s="36">
        <v>0</v>
      </c>
      <c r="FC115" s="36">
        <v>0</v>
      </c>
      <c r="FD115" s="36">
        <v>0</v>
      </c>
      <c r="FE115" s="36">
        <v>0</v>
      </c>
      <c r="FF115" s="36">
        <v>0</v>
      </c>
      <c r="FG115" s="36">
        <v>0</v>
      </c>
      <c r="FH115" s="36">
        <v>0</v>
      </c>
      <c r="FI115" s="36">
        <v>0</v>
      </c>
      <c r="FJ115" s="36">
        <v>0</v>
      </c>
      <c r="FK115" s="36">
        <v>0</v>
      </c>
      <c r="FL115" s="36">
        <v>0</v>
      </c>
      <c r="FM115" s="36">
        <v>0</v>
      </c>
      <c r="FN115" s="36">
        <v>0</v>
      </c>
      <c r="FO115" s="36">
        <v>0</v>
      </c>
      <c r="FP115" s="36">
        <v>0</v>
      </c>
      <c r="FQ115" s="36">
        <v>0</v>
      </c>
      <c r="FR115" s="36">
        <v>0</v>
      </c>
      <c r="FS115" s="36">
        <v>0</v>
      </c>
      <c r="FT115" s="36">
        <v>0</v>
      </c>
      <c r="FU115" s="36">
        <v>0</v>
      </c>
      <c r="FV115" s="36">
        <v>0</v>
      </c>
      <c r="FW115" s="36">
        <v>0</v>
      </c>
      <c r="FX115" s="36">
        <v>0</v>
      </c>
      <c r="FY115" s="36">
        <v>0</v>
      </c>
      <c r="FZ115" s="36">
        <v>0</v>
      </c>
      <c r="GA115" s="36">
        <v>0</v>
      </c>
      <c r="GB115" s="36">
        <v>0</v>
      </c>
      <c r="GC115" s="36">
        <v>0</v>
      </c>
      <c r="GD115" s="36">
        <v>0</v>
      </c>
      <c r="GE115" s="36">
        <v>0</v>
      </c>
      <c r="GF115" s="36">
        <v>0</v>
      </c>
      <c r="GG115" s="42">
        <v>22.908964421201809</v>
      </c>
      <c r="GH115" s="42">
        <v>67.299988649228737</v>
      </c>
      <c r="GI115" s="42">
        <v>99.124656863393568</v>
      </c>
      <c r="GJ115" s="42">
        <v>83.071715248936499</v>
      </c>
      <c r="GK115" s="42">
        <v>98.130139150212031</v>
      </c>
      <c r="GL115" s="42">
        <v>74.860740861829171</v>
      </c>
      <c r="GM115" s="42">
        <v>174.28186334600767</v>
      </c>
      <c r="GN115" s="42">
        <v>302.53929288080889</v>
      </c>
      <c r="GO115" s="42">
        <v>370.31094130369252</v>
      </c>
      <c r="GP115" s="42">
        <v>17.425841585568595</v>
      </c>
      <c r="GQ115" s="42">
        <v>10.124834639288723</v>
      </c>
      <c r="GR115" s="42">
        <v>60.924962279827689</v>
      </c>
      <c r="GS115" s="42">
        <v>92.727465284906415</v>
      </c>
      <c r="GT115" s="42">
        <v>23.872746912398192</v>
      </c>
      <c r="GU115" s="36">
        <v>0</v>
      </c>
      <c r="GV115" s="36">
        <v>0</v>
      </c>
      <c r="GW115" s="36">
        <v>0</v>
      </c>
      <c r="GX115" s="36">
        <v>0</v>
      </c>
      <c r="GY115" s="36">
        <v>0</v>
      </c>
      <c r="GZ115" s="36">
        <v>0</v>
      </c>
      <c r="HA115" s="38">
        <v>103.48435368132414</v>
      </c>
      <c r="HB115" s="36">
        <v>1245.6578441298127</v>
      </c>
      <c r="HC115" s="36">
        <f t="shared" si="1"/>
        <v>22118.696052544845</v>
      </c>
      <c r="HD115" s="36">
        <f>SUM(DH$5:DH$213)</f>
        <v>22118.696052544845</v>
      </c>
      <c r="HE115" s="41">
        <v>0</v>
      </c>
      <c r="HG115" s="43"/>
      <c r="HH115" s="43"/>
      <c r="HI115" s="43"/>
      <c r="HJ115" s="43"/>
      <c r="HK115" s="43"/>
      <c r="HL115" s="43"/>
      <c r="HM115" s="43"/>
      <c r="HN115" s="43"/>
      <c r="HO115" s="43"/>
      <c r="HP115" s="43"/>
      <c r="HQ115" s="43"/>
      <c r="HR115" s="43"/>
      <c r="HS115" s="43"/>
      <c r="HT115" s="43"/>
    </row>
    <row r="116" spans="1:228" hidden="1" outlineLevel="1" x14ac:dyDescent="0.2">
      <c r="A116" s="9" t="s">
        <v>928</v>
      </c>
      <c r="B116" s="36">
        <v>0</v>
      </c>
      <c r="C116" s="36">
        <v>0</v>
      </c>
      <c r="D116" s="36">
        <v>0</v>
      </c>
      <c r="E116" s="36">
        <v>0</v>
      </c>
      <c r="F116" s="36">
        <v>0</v>
      </c>
      <c r="G116" s="36">
        <v>0</v>
      </c>
      <c r="H116" s="36">
        <v>0</v>
      </c>
      <c r="I116" s="36">
        <v>0</v>
      </c>
      <c r="J116" s="36">
        <v>0</v>
      </c>
      <c r="K116" s="36">
        <v>0</v>
      </c>
      <c r="L116" s="36">
        <v>0</v>
      </c>
      <c r="M116" s="36">
        <v>0</v>
      </c>
      <c r="N116" s="36">
        <v>0</v>
      </c>
      <c r="O116" s="36">
        <v>0</v>
      </c>
      <c r="P116" s="36">
        <v>0</v>
      </c>
      <c r="Q116" s="36">
        <v>0</v>
      </c>
      <c r="R116" s="36">
        <v>9.8036713861751803</v>
      </c>
      <c r="S116" s="36">
        <v>1.1278785341315749</v>
      </c>
      <c r="T116" s="36">
        <v>132.34821707240962</v>
      </c>
      <c r="U116" s="36">
        <v>0</v>
      </c>
      <c r="V116" s="36">
        <v>9.653620911959246</v>
      </c>
      <c r="W116" s="36">
        <v>17.711661281361941</v>
      </c>
      <c r="X116" s="36">
        <v>7792.7411650508629</v>
      </c>
      <c r="Y116" s="36">
        <v>0</v>
      </c>
      <c r="Z116" s="36">
        <v>14.807873403367131</v>
      </c>
      <c r="AA116" s="36">
        <v>0</v>
      </c>
      <c r="AB116" s="36">
        <v>0</v>
      </c>
      <c r="AC116" s="36">
        <v>0</v>
      </c>
      <c r="AD116" s="36">
        <v>0</v>
      </c>
      <c r="AE116" s="36">
        <v>0</v>
      </c>
      <c r="AF116" s="36">
        <v>0</v>
      </c>
      <c r="AG116" s="36">
        <v>0</v>
      </c>
      <c r="AH116" s="36">
        <v>0</v>
      </c>
      <c r="AI116" s="36">
        <v>0</v>
      </c>
      <c r="AJ116" s="36">
        <v>0</v>
      </c>
      <c r="AK116" s="36">
        <v>14903.407365212022</v>
      </c>
      <c r="AL116" s="36">
        <v>0</v>
      </c>
      <c r="AM116" s="36">
        <v>0</v>
      </c>
      <c r="AN116" s="36">
        <v>0</v>
      </c>
      <c r="AO116" s="36">
        <v>0</v>
      </c>
      <c r="AP116" s="36">
        <v>0</v>
      </c>
      <c r="AQ116" s="36">
        <v>0</v>
      </c>
      <c r="AR116" s="36">
        <v>0</v>
      </c>
      <c r="AS116" s="36">
        <v>0</v>
      </c>
      <c r="AT116" s="36">
        <v>0</v>
      </c>
      <c r="AU116" s="36">
        <v>0</v>
      </c>
      <c r="AV116" s="36">
        <v>0</v>
      </c>
      <c r="AW116" s="36">
        <v>0</v>
      </c>
      <c r="AX116" s="36">
        <v>1704.8807769750797</v>
      </c>
      <c r="AY116" s="36">
        <v>0</v>
      </c>
      <c r="AZ116" s="36">
        <v>0</v>
      </c>
      <c r="BA116" s="36">
        <v>0</v>
      </c>
      <c r="BB116" s="36">
        <v>0</v>
      </c>
      <c r="BC116" s="36">
        <v>138.7018524002265</v>
      </c>
      <c r="BD116" s="36">
        <v>1.2569069728590114</v>
      </c>
      <c r="BE116" s="36">
        <v>10.214150407379435</v>
      </c>
      <c r="BF116" s="36">
        <v>0</v>
      </c>
      <c r="BG116" s="36">
        <v>0</v>
      </c>
      <c r="BH116" s="36">
        <v>0</v>
      </c>
      <c r="BI116" s="36">
        <v>0</v>
      </c>
      <c r="BJ116" s="36">
        <v>1390.8182788371719</v>
      </c>
      <c r="BK116" s="36">
        <v>0</v>
      </c>
      <c r="BL116" s="36">
        <v>0</v>
      </c>
      <c r="BM116" s="36">
        <v>0</v>
      </c>
      <c r="BN116" s="36">
        <v>0</v>
      </c>
      <c r="BO116" s="36">
        <v>0</v>
      </c>
      <c r="BP116" s="36">
        <v>0</v>
      </c>
      <c r="BQ116" s="36">
        <v>0</v>
      </c>
      <c r="BR116" s="36">
        <v>0</v>
      </c>
      <c r="BS116" s="36">
        <v>0</v>
      </c>
      <c r="BT116" s="36">
        <v>0</v>
      </c>
      <c r="BU116" s="36">
        <v>0</v>
      </c>
      <c r="BV116" s="36">
        <v>0</v>
      </c>
      <c r="BW116" s="36">
        <v>0</v>
      </c>
      <c r="BX116" s="36">
        <v>0</v>
      </c>
      <c r="BY116" s="36">
        <v>0</v>
      </c>
      <c r="BZ116" s="36">
        <v>0</v>
      </c>
      <c r="CA116" s="36">
        <v>0</v>
      </c>
      <c r="CB116" s="36">
        <v>0</v>
      </c>
      <c r="CC116" s="36">
        <v>0</v>
      </c>
      <c r="CD116" s="36">
        <v>0</v>
      </c>
      <c r="CE116" s="36">
        <v>0</v>
      </c>
      <c r="CF116" s="36">
        <v>0</v>
      </c>
      <c r="CG116" s="36">
        <v>0</v>
      </c>
      <c r="CH116" s="36">
        <v>0</v>
      </c>
      <c r="CI116" s="36">
        <v>0</v>
      </c>
      <c r="CJ116" s="36">
        <v>0</v>
      </c>
      <c r="CK116" s="36">
        <v>0</v>
      </c>
      <c r="CL116" s="36">
        <v>0</v>
      </c>
      <c r="CM116" s="36">
        <v>0</v>
      </c>
      <c r="CN116" s="36">
        <v>0</v>
      </c>
      <c r="CO116" s="36">
        <v>0</v>
      </c>
      <c r="CP116" s="36">
        <v>0</v>
      </c>
      <c r="CQ116" s="36">
        <v>0</v>
      </c>
      <c r="CR116" s="36">
        <v>0</v>
      </c>
      <c r="CS116" s="36">
        <v>0</v>
      </c>
      <c r="CT116" s="36">
        <v>0</v>
      </c>
      <c r="CU116" s="36">
        <v>0</v>
      </c>
      <c r="CV116" s="36">
        <v>0</v>
      </c>
      <c r="CW116" s="36">
        <v>0</v>
      </c>
      <c r="CX116" s="36">
        <v>0</v>
      </c>
      <c r="CY116" s="36">
        <v>0</v>
      </c>
      <c r="CZ116" s="36">
        <v>0</v>
      </c>
      <c r="DA116" s="36">
        <v>0</v>
      </c>
      <c r="DB116" s="36">
        <v>0</v>
      </c>
      <c r="DC116" s="36">
        <v>0</v>
      </c>
      <c r="DD116" s="36">
        <v>0</v>
      </c>
      <c r="DE116" s="36">
        <v>0</v>
      </c>
      <c r="DF116" s="36">
        <v>0</v>
      </c>
      <c r="DG116" s="36">
        <v>0</v>
      </c>
      <c r="DH116" s="36">
        <v>0</v>
      </c>
      <c r="DI116" s="36">
        <v>0</v>
      </c>
      <c r="DJ116" s="36">
        <v>0</v>
      </c>
      <c r="DK116" s="36">
        <v>0</v>
      </c>
      <c r="DL116" s="36">
        <v>0</v>
      </c>
      <c r="DM116" s="36">
        <v>0</v>
      </c>
      <c r="DN116" s="36">
        <v>0</v>
      </c>
      <c r="DO116" s="36">
        <v>0</v>
      </c>
      <c r="DP116" s="36">
        <v>0</v>
      </c>
      <c r="DQ116" s="36">
        <v>0</v>
      </c>
      <c r="DR116" s="36">
        <v>0</v>
      </c>
      <c r="DS116" s="36">
        <v>0</v>
      </c>
      <c r="DT116" s="36">
        <v>0</v>
      </c>
      <c r="DU116" s="36">
        <v>0</v>
      </c>
      <c r="DV116" s="36">
        <v>0</v>
      </c>
      <c r="DW116" s="36">
        <v>0</v>
      </c>
      <c r="DX116" s="36">
        <v>0</v>
      </c>
      <c r="DY116" s="36">
        <v>0</v>
      </c>
      <c r="DZ116" s="36">
        <v>0</v>
      </c>
      <c r="EA116" s="36">
        <v>0</v>
      </c>
      <c r="EB116" s="36">
        <v>0</v>
      </c>
      <c r="EC116" s="36">
        <v>0</v>
      </c>
      <c r="ED116" s="36">
        <v>0</v>
      </c>
      <c r="EE116" s="36">
        <v>0</v>
      </c>
      <c r="EF116" s="36">
        <v>0</v>
      </c>
      <c r="EG116" s="36">
        <v>0</v>
      </c>
      <c r="EH116" s="36">
        <v>0</v>
      </c>
      <c r="EI116" s="36">
        <v>0</v>
      </c>
      <c r="EJ116" s="36">
        <v>0</v>
      </c>
      <c r="EK116" s="36">
        <v>0</v>
      </c>
      <c r="EL116" s="36">
        <v>0</v>
      </c>
      <c r="EM116" s="36">
        <v>0</v>
      </c>
      <c r="EN116" s="36">
        <v>0</v>
      </c>
      <c r="EO116" s="36">
        <v>0</v>
      </c>
      <c r="EP116" s="36">
        <v>0</v>
      </c>
      <c r="EQ116" s="36">
        <v>0</v>
      </c>
      <c r="ER116" s="36">
        <v>0</v>
      </c>
      <c r="ES116" s="36">
        <v>0</v>
      </c>
      <c r="ET116" s="36">
        <v>0</v>
      </c>
      <c r="EU116" s="36">
        <v>0</v>
      </c>
      <c r="EV116" s="36">
        <v>0</v>
      </c>
      <c r="EW116" s="36">
        <v>0</v>
      </c>
      <c r="EX116" s="36">
        <v>0</v>
      </c>
      <c r="EY116" s="36">
        <v>0</v>
      </c>
      <c r="EZ116" s="36">
        <v>0</v>
      </c>
      <c r="FA116" s="36">
        <v>0</v>
      </c>
      <c r="FB116" s="36">
        <v>0</v>
      </c>
      <c r="FC116" s="36">
        <v>0</v>
      </c>
      <c r="FD116" s="36">
        <v>0</v>
      </c>
      <c r="FE116" s="36">
        <v>0</v>
      </c>
      <c r="FF116" s="36">
        <v>0</v>
      </c>
      <c r="FG116" s="36">
        <v>0</v>
      </c>
      <c r="FH116" s="36">
        <v>0</v>
      </c>
      <c r="FI116" s="36">
        <v>0</v>
      </c>
      <c r="FJ116" s="36">
        <v>0</v>
      </c>
      <c r="FK116" s="36">
        <v>0</v>
      </c>
      <c r="FL116" s="36">
        <v>0</v>
      </c>
      <c r="FM116" s="36">
        <v>0</v>
      </c>
      <c r="FN116" s="36">
        <v>0</v>
      </c>
      <c r="FO116" s="36">
        <v>0</v>
      </c>
      <c r="FP116" s="36">
        <v>0</v>
      </c>
      <c r="FQ116" s="36">
        <v>0</v>
      </c>
      <c r="FR116" s="36">
        <v>0</v>
      </c>
      <c r="FS116" s="36">
        <v>0</v>
      </c>
      <c r="FT116" s="36">
        <v>0</v>
      </c>
      <c r="FU116" s="36">
        <v>0</v>
      </c>
      <c r="FV116" s="36">
        <v>0</v>
      </c>
      <c r="FW116" s="36">
        <v>0</v>
      </c>
      <c r="FX116" s="36">
        <v>0</v>
      </c>
      <c r="FY116" s="36">
        <v>0</v>
      </c>
      <c r="FZ116" s="36">
        <v>0</v>
      </c>
      <c r="GA116" s="36">
        <v>0</v>
      </c>
      <c r="GB116" s="36">
        <v>0</v>
      </c>
      <c r="GC116" s="36">
        <v>0</v>
      </c>
      <c r="GD116" s="36">
        <v>0</v>
      </c>
      <c r="GE116" s="36">
        <v>0</v>
      </c>
      <c r="GF116" s="36">
        <v>0</v>
      </c>
      <c r="GG116" s="42">
        <v>9.7747960966353205</v>
      </c>
      <c r="GH116" s="42">
        <v>28.715556681525971</v>
      </c>
      <c r="GI116" s="42">
        <v>42.294504944618751</v>
      </c>
      <c r="GJ116" s="42">
        <v>35.44503640699736</v>
      </c>
      <c r="GK116" s="42">
        <v>41.870164163337307</v>
      </c>
      <c r="GL116" s="42">
        <v>31.941578157510115</v>
      </c>
      <c r="GM116" s="42">
        <v>74.362579042301221</v>
      </c>
      <c r="GN116" s="42">
        <v>129.08745435883839</v>
      </c>
      <c r="GO116" s="42">
        <v>158.00425881523955</v>
      </c>
      <c r="GP116" s="42">
        <v>7.4352574467993167</v>
      </c>
      <c r="GQ116" s="42">
        <v>4.3200640714952758</v>
      </c>
      <c r="GR116" s="42">
        <v>25.995460664706563</v>
      </c>
      <c r="GS116" s="42">
        <v>39.564951477201731</v>
      </c>
      <c r="GT116" s="42">
        <v>10.186022774530594</v>
      </c>
      <c r="GU116" s="36">
        <v>0</v>
      </c>
      <c r="GV116" s="36">
        <v>0</v>
      </c>
      <c r="GW116" s="36">
        <v>0</v>
      </c>
      <c r="GX116" s="36">
        <v>0</v>
      </c>
      <c r="GY116" s="36">
        <v>0</v>
      </c>
      <c r="GZ116" s="36">
        <v>0</v>
      </c>
      <c r="HA116" s="38">
        <v>25.668011689343984</v>
      </c>
      <c r="HB116" s="36">
        <v>1678.1954883458675</v>
      </c>
      <c r="HC116" s="36">
        <f t="shared" si="1"/>
        <v>28470.33460358196</v>
      </c>
      <c r="HD116" s="36">
        <f>SUM(DI$5:DI$213)</f>
        <v>28470.33460358196</v>
      </c>
      <c r="HE116" s="41">
        <v>0</v>
      </c>
      <c r="HG116" s="43"/>
      <c r="HH116" s="43"/>
      <c r="HI116" s="43"/>
      <c r="HJ116" s="43"/>
      <c r="HK116" s="43"/>
      <c r="HL116" s="43"/>
      <c r="HM116" s="43"/>
      <c r="HN116" s="43"/>
      <c r="HO116" s="43"/>
      <c r="HP116" s="43"/>
      <c r="HQ116" s="43"/>
      <c r="HR116" s="43"/>
      <c r="HS116" s="43"/>
      <c r="HT116" s="43"/>
    </row>
    <row r="117" spans="1:228" hidden="1" outlineLevel="1" x14ac:dyDescent="0.2">
      <c r="A117" s="9" t="s">
        <v>933</v>
      </c>
      <c r="B117" s="36">
        <v>2055.1663511529496</v>
      </c>
      <c r="C117" s="36">
        <v>0</v>
      </c>
      <c r="D117" s="36">
        <v>0</v>
      </c>
      <c r="E117" s="36">
        <v>0</v>
      </c>
      <c r="F117" s="36">
        <v>0</v>
      </c>
      <c r="G117" s="36">
        <v>0</v>
      </c>
      <c r="H117" s="36">
        <v>0</v>
      </c>
      <c r="I117" s="36">
        <v>0</v>
      </c>
      <c r="J117" s="36">
        <v>0</v>
      </c>
      <c r="K117" s="36">
        <v>0</v>
      </c>
      <c r="L117" s="36">
        <v>0</v>
      </c>
      <c r="M117" s="36">
        <v>0</v>
      </c>
      <c r="N117" s="36">
        <v>0</v>
      </c>
      <c r="O117" s="36">
        <v>0</v>
      </c>
      <c r="P117" s="36">
        <v>0</v>
      </c>
      <c r="Q117" s="36">
        <v>0</v>
      </c>
      <c r="R117" s="36">
        <v>0</v>
      </c>
      <c r="S117" s="36">
        <v>0</v>
      </c>
      <c r="T117" s="36">
        <v>0</v>
      </c>
      <c r="U117" s="36">
        <v>0</v>
      </c>
      <c r="V117" s="36">
        <v>0</v>
      </c>
      <c r="W117" s="36">
        <v>0</v>
      </c>
      <c r="X117" s="36">
        <v>0</v>
      </c>
      <c r="Y117" s="36">
        <v>0</v>
      </c>
      <c r="Z117" s="36">
        <v>0</v>
      </c>
      <c r="AA117" s="36">
        <v>0</v>
      </c>
      <c r="AB117" s="36">
        <v>0</v>
      </c>
      <c r="AC117" s="36">
        <v>0</v>
      </c>
      <c r="AD117" s="36">
        <v>0</v>
      </c>
      <c r="AE117" s="36">
        <v>0</v>
      </c>
      <c r="AF117" s="36">
        <v>0</v>
      </c>
      <c r="AG117" s="36">
        <v>0</v>
      </c>
      <c r="AH117" s="36">
        <v>0</v>
      </c>
      <c r="AI117" s="36">
        <v>0</v>
      </c>
      <c r="AJ117" s="36">
        <v>0</v>
      </c>
      <c r="AK117" s="36">
        <v>20199.518945282289</v>
      </c>
      <c r="AL117" s="36">
        <v>0</v>
      </c>
      <c r="AM117" s="36">
        <v>0</v>
      </c>
      <c r="AN117" s="36">
        <v>0</v>
      </c>
      <c r="AO117" s="36">
        <v>0</v>
      </c>
      <c r="AP117" s="36">
        <v>0</v>
      </c>
      <c r="AQ117" s="36">
        <v>0</v>
      </c>
      <c r="AR117" s="36">
        <v>0</v>
      </c>
      <c r="AS117" s="36">
        <v>0</v>
      </c>
      <c r="AT117" s="36">
        <v>0</v>
      </c>
      <c r="AU117" s="36">
        <v>0</v>
      </c>
      <c r="AV117" s="36">
        <v>0</v>
      </c>
      <c r="AW117" s="36">
        <v>0</v>
      </c>
      <c r="AX117" s="36">
        <v>493.72382901774483</v>
      </c>
      <c r="AY117" s="36">
        <v>0</v>
      </c>
      <c r="AZ117" s="36">
        <v>0</v>
      </c>
      <c r="BA117" s="36">
        <v>0</v>
      </c>
      <c r="BB117" s="36">
        <v>0</v>
      </c>
      <c r="BC117" s="36">
        <v>12.443679057336862</v>
      </c>
      <c r="BD117" s="36">
        <v>0.62443148624618627</v>
      </c>
      <c r="BE117" s="36">
        <v>1.9416280087847195</v>
      </c>
      <c r="BF117" s="36">
        <v>0</v>
      </c>
      <c r="BG117" s="36">
        <v>0</v>
      </c>
      <c r="BH117" s="36">
        <v>0</v>
      </c>
      <c r="BI117" s="36">
        <v>0</v>
      </c>
      <c r="BJ117" s="36">
        <v>1462.9273895943431</v>
      </c>
      <c r="BK117" s="36">
        <v>0</v>
      </c>
      <c r="BL117" s="36">
        <v>0</v>
      </c>
      <c r="BM117" s="36">
        <v>0</v>
      </c>
      <c r="BN117" s="36">
        <v>0</v>
      </c>
      <c r="BO117" s="36">
        <v>0</v>
      </c>
      <c r="BP117" s="36">
        <v>0</v>
      </c>
      <c r="BQ117" s="36">
        <v>0</v>
      </c>
      <c r="BR117" s="36">
        <v>0</v>
      </c>
      <c r="BS117" s="36">
        <v>0</v>
      </c>
      <c r="BT117" s="36">
        <v>0</v>
      </c>
      <c r="BU117" s="36">
        <v>0</v>
      </c>
      <c r="BV117" s="36">
        <v>0</v>
      </c>
      <c r="BW117" s="36">
        <v>0</v>
      </c>
      <c r="BX117" s="36">
        <v>0</v>
      </c>
      <c r="BY117" s="36">
        <v>0</v>
      </c>
      <c r="BZ117" s="36">
        <v>0</v>
      </c>
      <c r="CA117" s="36">
        <v>0</v>
      </c>
      <c r="CB117" s="36">
        <v>0</v>
      </c>
      <c r="CC117" s="36">
        <v>0</v>
      </c>
      <c r="CD117" s="36">
        <v>0</v>
      </c>
      <c r="CE117" s="36">
        <v>0</v>
      </c>
      <c r="CF117" s="36">
        <v>0</v>
      </c>
      <c r="CG117" s="36">
        <v>0</v>
      </c>
      <c r="CH117" s="36">
        <v>0</v>
      </c>
      <c r="CI117" s="36">
        <v>0</v>
      </c>
      <c r="CJ117" s="36">
        <v>0</v>
      </c>
      <c r="CK117" s="36">
        <v>0</v>
      </c>
      <c r="CL117" s="36">
        <v>0</v>
      </c>
      <c r="CM117" s="36">
        <v>0</v>
      </c>
      <c r="CN117" s="36">
        <v>0</v>
      </c>
      <c r="CO117" s="36">
        <v>0</v>
      </c>
      <c r="CP117" s="36">
        <v>0</v>
      </c>
      <c r="CQ117" s="36">
        <v>0</v>
      </c>
      <c r="CR117" s="36">
        <v>0</v>
      </c>
      <c r="CS117" s="36">
        <v>0</v>
      </c>
      <c r="CT117" s="36">
        <v>0</v>
      </c>
      <c r="CU117" s="36">
        <v>0</v>
      </c>
      <c r="CV117" s="36">
        <v>0</v>
      </c>
      <c r="CW117" s="36">
        <v>0</v>
      </c>
      <c r="CX117" s="36">
        <v>0</v>
      </c>
      <c r="CY117" s="36">
        <v>0</v>
      </c>
      <c r="CZ117" s="36">
        <v>0</v>
      </c>
      <c r="DA117" s="36">
        <v>0</v>
      </c>
      <c r="DB117" s="36">
        <v>0</v>
      </c>
      <c r="DC117" s="36">
        <v>0</v>
      </c>
      <c r="DD117" s="36">
        <v>0</v>
      </c>
      <c r="DE117" s="36">
        <v>0</v>
      </c>
      <c r="DF117" s="36">
        <v>0</v>
      </c>
      <c r="DG117" s="36">
        <v>0</v>
      </c>
      <c r="DH117" s="36">
        <v>0</v>
      </c>
      <c r="DI117" s="36">
        <v>0</v>
      </c>
      <c r="DJ117" s="36">
        <v>0</v>
      </c>
      <c r="DK117" s="36">
        <v>0</v>
      </c>
      <c r="DL117" s="36">
        <v>0</v>
      </c>
      <c r="DM117" s="36">
        <v>0</v>
      </c>
      <c r="DN117" s="36">
        <v>0</v>
      </c>
      <c r="DO117" s="36">
        <v>0</v>
      </c>
      <c r="DP117" s="36">
        <v>0</v>
      </c>
      <c r="DQ117" s="36">
        <v>0</v>
      </c>
      <c r="DR117" s="36">
        <v>0</v>
      </c>
      <c r="DS117" s="36">
        <v>0</v>
      </c>
      <c r="DT117" s="36">
        <v>0</v>
      </c>
      <c r="DU117" s="36">
        <v>0</v>
      </c>
      <c r="DV117" s="36">
        <v>0</v>
      </c>
      <c r="DW117" s="36">
        <v>0</v>
      </c>
      <c r="DX117" s="36">
        <v>0</v>
      </c>
      <c r="DY117" s="36">
        <v>0</v>
      </c>
      <c r="DZ117" s="36">
        <v>0</v>
      </c>
      <c r="EA117" s="36">
        <v>0</v>
      </c>
      <c r="EB117" s="36">
        <v>0</v>
      </c>
      <c r="EC117" s="36">
        <v>0</v>
      </c>
      <c r="ED117" s="36">
        <v>0</v>
      </c>
      <c r="EE117" s="36">
        <v>0</v>
      </c>
      <c r="EF117" s="36">
        <v>0</v>
      </c>
      <c r="EG117" s="36">
        <v>0</v>
      </c>
      <c r="EH117" s="36">
        <v>0</v>
      </c>
      <c r="EI117" s="36">
        <v>0</v>
      </c>
      <c r="EJ117" s="36">
        <v>0</v>
      </c>
      <c r="EK117" s="36">
        <v>0</v>
      </c>
      <c r="EL117" s="36">
        <v>0</v>
      </c>
      <c r="EM117" s="36">
        <v>0</v>
      </c>
      <c r="EN117" s="36">
        <v>0</v>
      </c>
      <c r="EO117" s="36">
        <v>0</v>
      </c>
      <c r="EP117" s="36">
        <v>0</v>
      </c>
      <c r="EQ117" s="36">
        <v>0</v>
      </c>
      <c r="ER117" s="36">
        <v>0</v>
      </c>
      <c r="ES117" s="36">
        <v>0</v>
      </c>
      <c r="ET117" s="36">
        <v>0</v>
      </c>
      <c r="EU117" s="36">
        <v>0</v>
      </c>
      <c r="EV117" s="36">
        <v>0</v>
      </c>
      <c r="EW117" s="36">
        <v>0</v>
      </c>
      <c r="EX117" s="36">
        <v>0</v>
      </c>
      <c r="EY117" s="36">
        <v>0</v>
      </c>
      <c r="EZ117" s="36">
        <v>0</v>
      </c>
      <c r="FA117" s="36">
        <v>0</v>
      </c>
      <c r="FB117" s="36">
        <v>0</v>
      </c>
      <c r="FC117" s="36">
        <v>0</v>
      </c>
      <c r="FD117" s="36">
        <v>0</v>
      </c>
      <c r="FE117" s="36">
        <v>0</v>
      </c>
      <c r="FF117" s="36">
        <v>0</v>
      </c>
      <c r="FG117" s="36">
        <v>0</v>
      </c>
      <c r="FH117" s="36">
        <v>0</v>
      </c>
      <c r="FI117" s="36">
        <v>0</v>
      </c>
      <c r="FJ117" s="36">
        <v>0</v>
      </c>
      <c r="FK117" s="36">
        <v>0</v>
      </c>
      <c r="FL117" s="36">
        <v>0</v>
      </c>
      <c r="FM117" s="36">
        <v>0</v>
      </c>
      <c r="FN117" s="36">
        <v>0</v>
      </c>
      <c r="FO117" s="36">
        <v>0</v>
      </c>
      <c r="FP117" s="36">
        <v>0</v>
      </c>
      <c r="FQ117" s="36">
        <v>0</v>
      </c>
      <c r="FR117" s="36">
        <v>0</v>
      </c>
      <c r="FS117" s="36">
        <v>0</v>
      </c>
      <c r="FT117" s="36">
        <v>0</v>
      </c>
      <c r="FU117" s="36">
        <v>0</v>
      </c>
      <c r="FV117" s="36">
        <v>0</v>
      </c>
      <c r="FW117" s="36">
        <v>0</v>
      </c>
      <c r="FX117" s="36">
        <v>0</v>
      </c>
      <c r="FY117" s="36">
        <v>0</v>
      </c>
      <c r="FZ117" s="36">
        <v>0</v>
      </c>
      <c r="GA117" s="36">
        <v>0</v>
      </c>
      <c r="GB117" s="36">
        <v>0</v>
      </c>
      <c r="GC117" s="36">
        <v>0</v>
      </c>
      <c r="GD117" s="36">
        <v>0</v>
      </c>
      <c r="GE117" s="36">
        <v>0</v>
      </c>
      <c r="GF117" s="36">
        <v>0</v>
      </c>
      <c r="GG117" s="42">
        <v>0</v>
      </c>
      <c r="GH117" s="42">
        <v>0</v>
      </c>
      <c r="GI117" s="42">
        <v>0</v>
      </c>
      <c r="GJ117" s="42">
        <v>0</v>
      </c>
      <c r="GK117" s="42">
        <v>0</v>
      </c>
      <c r="GL117" s="42">
        <v>0</v>
      </c>
      <c r="GM117" s="42">
        <v>0</v>
      </c>
      <c r="GN117" s="42">
        <v>0</v>
      </c>
      <c r="GO117" s="42">
        <v>0</v>
      </c>
      <c r="GP117" s="42">
        <v>0</v>
      </c>
      <c r="GQ117" s="42">
        <v>0</v>
      </c>
      <c r="GR117" s="42">
        <v>0</v>
      </c>
      <c r="GS117" s="42">
        <v>0</v>
      </c>
      <c r="GT117" s="42">
        <v>0</v>
      </c>
      <c r="GU117" s="36">
        <v>0</v>
      </c>
      <c r="GV117" s="36">
        <v>0</v>
      </c>
      <c r="GW117" s="36">
        <v>0</v>
      </c>
      <c r="GX117" s="36">
        <v>0</v>
      </c>
      <c r="GY117" s="36">
        <v>0</v>
      </c>
      <c r="GZ117" s="36">
        <v>0</v>
      </c>
      <c r="HA117" s="38">
        <v>64.550953758644027</v>
      </c>
      <c r="HB117" s="36">
        <v>623.40713930222546</v>
      </c>
      <c r="HC117" s="36">
        <f t="shared" si="1"/>
        <v>24914.304346660563</v>
      </c>
      <c r="HD117" s="36">
        <f>SUM(DJ$5:DJ$213)</f>
        <v>24914.304346660563</v>
      </c>
      <c r="HE117" s="41">
        <v>0</v>
      </c>
      <c r="HG117" s="43"/>
      <c r="HH117" s="43"/>
      <c r="HI117" s="43"/>
      <c r="HJ117" s="43"/>
      <c r="HK117" s="43"/>
      <c r="HL117" s="43"/>
      <c r="HM117" s="43"/>
      <c r="HN117" s="43"/>
      <c r="HO117" s="43"/>
      <c r="HP117" s="43"/>
      <c r="HQ117" s="43"/>
      <c r="HR117" s="43"/>
      <c r="HS117" s="43"/>
      <c r="HT117" s="43"/>
    </row>
    <row r="118" spans="1:228" hidden="1" outlineLevel="1" x14ac:dyDescent="0.2">
      <c r="A118" s="9" t="s">
        <v>940</v>
      </c>
      <c r="B118" s="36">
        <v>0</v>
      </c>
      <c r="C118" s="36">
        <v>0</v>
      </c>
      <c r="D118" s="36">
        <v>0</v>
      </c>
      <c r="E118" s="36">
        <v>0</v>
      </c>
      <c r="F118" s="36">
        <v>0</v>
      </c>
      <c r="G118" s="36">
        <v>0</v>
      </c>
      <c r="H118" s="36">
        <v>0</v>
      </c>
      <c r="I118" s="36">
        <v>0</v>
      </c>
      <c r="J118" s="36">
        <v>0</v>
      </c>
      <c r="K118" s="36">
        <v>0</v>
      </c>
      <c r="L118" s="36">
        <v>0</v>
      </c>
      <c r="M118" s="36">
        <v>0</v>
      </c>
      <c r="N118" s="36">
        <v>0</v>
      </c>
      <c r="O118" s="36">
        <v>175.28911526820258</v>
      </c>
      <c r="P118" s="36">
        <v>0</v>
      </c>
      <c r="Q118" s="36">
        <v>0</v>
      </c>
      <c r="R118" s="36">
        <v>0</v>
      </c>
      <c r="S118" s="36">
        <v>0</v>
      </c>
      <c r="T118" s="36">
        <v>90.721620680872263</v>
      </c>
      <c r="U118" s="36">
        <v>55.076342571645341</v>
      </c>
      <c r="V118" s="36">
        <v>10.532958014590697</v>
      </c>
      <c r="W118" s="36">
        <v>0</v>
      </c>
      <c r="X118" s="36">
        <v>38.57724244046446</v>
      </c>
      <c r="Y118" s="36">
        <v>141.34896432742562</v>
      </c>
      <c r="Z118" s="36">
        <v>85.615418353472194</v>
      </c>
      <c r="AA118" s="36">
        <v>19.716725111407005</v>
      </c>
      <c r="AB118" s="36">
        <v>65.467293768252418</v>
      </c>
      <c r="AC118" s="36">
        <v>0</v>
      </c>
      <c r="AD118" s="36">
        <v>0.65443098267368538</v>
      </c>
      <c r="AE118" s="36">
        <v>212.322547771064</v>
      </c>
      <c r="AF118" s="36">
        <v>0</v>
      </c>
      <c r="AG118" s="36">
        <v>0</v>
      </c>
      <c r="AH118" s="36">
        <v>0</v>
      </c>
      <c r="AI118" s="36">
        <v>0</v>
      </c>
      <c r="AJ118" s="36">
        <v>0</v>
      </c>
      <c r="AK118" s="36">
        <v>11877.616450339829</v>
      </c>
      <c r="AL118" s="36">
        <v>0</v>
      </c>
      <c r="AM118" s="36">
        <v>0</v>
      </c>
      <c r="AN118" s="36">
        <v>0</v>
      </c>
      <c r="AO118" s="36">
        <v>0</v>
      </c>
      <c r="AP118" s="36">
        <v>0</v>
      </c>
      <c r="AQ118" s="36">
        <v>0</v>
      </c>
      <c r="AR118" s="36">
        <v>0</v>
      </c>
      <c r="AS118" s="36">
        <v>0</v>
      </c>
      <c r="AT118" s="36">
        <v>0</v>
      </c>
      <c r="AU118" s="36">
        <v>0</v>
      </c>
      <c r="AV118" s="36">
        <v>0</v>
      </c>
      <c r="AW118" s="36">
        <v>0</v>
      </c>
      <c r="AX118" s="36">
        <v>0</v>
      </c>
      <c r="AY118" s="36">
        <v>0</v>
      </c>
      <c r="AZ118" s="36">
        <v>0</v>
      </c>
      <c r="BA118" s="36">
        <v>0</v>
      </c>
      <c r="BB118" s="36">
        <v>0</v>
      </c>
      <c r="BC118" s="36">
        <v>9.6749642046935094</v>
      </c>
      <c r="BD118" s="36">
        <v>0.29361010229834861</v>
      </c>
      <c r="BE118" s="36">
        <v>0.68675759664857372</v>
      </c>
      <c r="BF118" s="36">
        <v>0</v>
      </c>
      <c r="BG118" s="36">
        <v>0</v>
      </c>
      <c r="BH118" s="36">
        <v>0</v>
      </c>
      <c r="BI118" s="36">
        <v>0</v>
      </c>
      <c r="BJ118" s="36">
        <v>2126.8112615878581</v>
      </c>
      <c r="BK118" s="36">
        <v>0</v>
      </c>
      <c r="BL118" s="36">
        <v>0</v>
      </c>
      <c r="BM118" s="36">
        <v>0</v>
      </c>
      <c r="BN118" s="36">
        <v>0</v>
      </c>
      <c r="BO118" s="36">
        <v>0</v>
      </c>
      <c r="BP118" s="36">
        <v>0</v>
      </c>
      <c r="BQ118" s="36">
        <v>0</v>
      </c>
      <c r="BR118" s="36">
        <v>0</v>
      </c>
      <c r="BS118" s="36">
        <v>0</v>
      </c>
      <c r="BT118" s="36">
        <v>0</v>
      </c>
      <c r="BU118" s="36">
        <v>0</v>
      </c>
      <c r="BV118" s="36">
        <v>0</v>
      </c>
      <c r="BW118" s="36">
        <v>0</v>
      </c>
      <c r="BX118" s="36">
        <v>0</v>
      </c>
      <c r="BY118" s="36">
        <v>0</v>
      </c>
      <c r="BZ118" s="36">
        <v>0</v>
      </c>
      <c r="CA118" s="36">
        <v>0</v>
      </c>
      <c r="CB118" s="36">
        <v>0</v>
      </c>
      <c r="CC118" s="36">
        <v>0</v>
      </c>
      <c r="CD118" s="36">
        <v>0</v>
      </c>
      <c r="CE118" s="36">
        <v>0</v>
      </c>
      <c r="CF118" s="36">
        <v>0</v>
      </c>
      <c r="CG118" s="36">
        <v>0</v>
      </c>
      <c r="CH118" s="36">
        <v>0</v>
      </c>
      <c r="CI118" s="36">
        <v>0</v>
      </c>
      <c r="CJ118" s="36">
        <v>0</v>
      </c>
      <c r="CK118" s="36">
        <v>0</v>
      </c>
      <c r="CL118" s="36">
        <v>0</v>
      </c>
      <c r="CM118" s="36">
        <v>0</v>
      </c>
      <c r="CN118" s="36">
        <v>0</v>
      </c>
      <c r="CO118" s="36">
        <v>0</v>
      </c>
      <c r="CP118" s="36">
        <v>0</v>
      </c>
      <c r="CQ118" s="36">
        <v>0</v>
      </c>
      <c r="CR118" s="36">
        <v>0</v>
      </c>
      <c r="CS118" s="36">
        <v>0</v>
      </c>
      <c r="CT118" s="36">
        <v>0</v>
      </c>
      <c r="CU118" s="36">
        <v>0</v>
      </c>
      <c r="CV118" s="36">
        <v>0</v>
      </c>
      <c r="CW118" s="36">
        <v>0</v>
      </c>
      <c r="CX118" s="36">
        <v>0</v>
      </c>
      <c r="CY118" s="36">
        <v>0</v>
      </c>
      <c r="CZ118" s="36">
        <v>0</v>
      </c>
      <c r="DA118" s="36">
        <v>0</v>
      </c>
      <c r="DB118" s="36">
        <v>0</v>
      </c>
      <c r="DC118" s="36">
        <v>0</v>
      </c>
      <c r="DD118" s="36">
        <v>0</v>
      </c>
      <c r="DE118" s="36">
        <v>0</v>
      </c>
      <c r="DF118" s="36">
        <v>0</v>
      </c>
      <c r="DG118" s="36">
        <v>0</v>
      </c>
      <c r="DH118" s="36">
        <v>0</v>
      </c>
      <c r="DI118" s="36">
        <v>0</v>
      </c>
      <c r="DJ118" s="36">
        <v>0</v>
      </c>
      <c r="DK118" s="36">
        <v>0</v>
      </c>
      <c r="DL118" s="36">
        <v>0</v>
      </c>
      <c r="DM118" s="36">
        <v>0</v>
      </c>
      <c r="DN118" s="36">
        <v>0</v>
      </c>
      <c r="DO118" s="36">
        <v>0</v>
      </c>
      <c r="DP118" s="36">
        <v>0</v>
      </c>
      <c r="DQ118" s="36">
        <v>0</v>
      </c>
      <c r="DR118" s="36">
        <v>0</v>
      </c>
      <c r="DS118" s="36">
        <v>0</v>
      </c>
      <c r="DT118" s="36">
        <v>0</v>
      </c>
      <c r="DU118" s="36">
        <v>0</v>
      </c>
      <c r="DV118" s="36">
        <v>0</v>
      </c>
      <c r="DW118" s="36">
        <v>0</v>
      </c>
      <c r="DX118" s="36">
        <v>0</v>
      </c>
      <c r="DY118" s="36">
        <v>0</v>
      </c>
      <c r="DZ118" s="36">
        <v>0</v>
      </c>
      <c r="EA118" s="36">
        <v>0</v>
      </c>
      <c r="EB118" s="36">
        <v>0</v>
      </c>
      <c r="EC118" s="36">
        <v>0</v>
      </c>
      <c r="ED118" s="36">
        <v>0</v>
      </c>
      <c r="EE118" s="36">
        <v>0</v>
      </c>
      <c r="EF118" s="36">
        <v>0</v>
      </c>
      <c r="EG118" s="36">
        <v>0</v>
      </c>
      <c r="EH118" s="36">
        <v>0</v>
      </c>
      <c r="EI118" s="36">
        <v>0</v>
      </c>
      <c r="EJ118" s="36">
        <v>0</v>
      </c>
      <c r="EK118" s="36">
        <v>0</v>
      </c>
      <c r="EL118" s="36">
        <v>0</v>
      </c>
      <c r="EM118" s="36">
        <v>0</v>
      </c>
      <c r="EN118" s="36">
        <v>0</v>
      </c>
      <c r="EO118" s="36">
        <v>0</v>
      </c>
      <c r="EP118" s="36">
        <v>0</v>
      </c>
      <c r="EQ118" s="36">
        <v>0</v>
      </c>
      <c r="ER118" s="36">
        <v>0</v>
      </c>
      <c r="ES118" s="36">
        <v>0</v>
      </c>
      <c r="ET118" s="36">
        <v>0</v>
      </c>
      <c r="EU118" s="36">
        <v>0</v>
      </c>
      <c r="EV118" s="36">
        <v>0</v>
      </c>
      <c r="EW118" s="36">
        <v>0</v>
      </c>
      <c r="EX118" s="36">
        <v>0</v>
      </c>
      <c r="EY118" s="36">
        <v>0</v>
      </c>
      <c r="EZ118" s="36">
        <v>0</v>
      </c>
      <c r="FA118" s="36">
        <v>0</v>
      </c>
      <c r="FB118" s="36">
        <v>0</v>
      </c>
      <c r="FC118" s="36">
        <v>0</v>
      </c>
      <c r="FD118" s="36">
        <v>0</v>
      </c>
      <c r="FE118" s="36">
        <v>0</v>
      </c>
      <c r="FF118" s="36">
        <v>0</v>
      </c>
      <c r="FG118" s="36">
        <v>0</v>
      </c>
      <c r="FH118" s="36">
        <v>0</v>
      </c>
      <c r="FI118" s="36">
        <v>0</v>
      </c>
      <c r="FJ118" s="36">
        <v>0</v>
      </c>
      <c r="FK118" s="36">
        <v>0</v>
      </c>
      <c r="FL118" s="36">
        <v>0</v>
      </c>
      <c r="FM118" s="36">
        <v>0</v>
      </c>
      <c r="FN118" s="36">
        <v>0</v>
      </c>
      <c r="FO118" s="36">
        <v>0</v>
      </c>
      <c r="FP118" s="36">
        <v>0</v>
      </c>
      <c r="FQ118" s="36">
        <v>0</v>
      </c>
      <c r="FR118" s="36">
        <v>0</v>
      </c>
      <c r="FS118" s="36">
        <v>0</v>
      </c>
      <c r="FT118" s="36">
        <v>0</v>
      </c>
      <c r="FU118" s="36">
        <v>0</v>
      </c>
      <c r="FV118" s="36">
        <v>0</v>
      </c>
      <c r="FW118" s="36">
        <v>0</v>
      </c>
      <c r="FX118" s="36">
        <v>0</v>
      </c>
      <c r="FY118" s="36">
        <v>0</v>
      </c>
      <c r="FZ118" s="36">
        <v>0</v>
      </c>
      <c r="GA118" s="36">
        <v>0</v>
      </c>
      <c r="GB118" s="36">
        <v>0</v>
      </c>
      <c r="GC118" s="36">
        <v>0</v>
      </c>
      <c r="GD118" s="36">
        <v>0</v>
      </c>
      <c r="GE118" s="36">
        <v>0</v>
      </c>
      <c r="GF118" s="36">
        <v>0</v>
      </c>
      <c r="GG118" s="42">
        <v>0</v>
      </c>
      <c r="GH118" s="42">
        <v>0</v>
      </c>
      <c r="GI118" s="42">
        <v>0</v>
      </c>
      <c r="GJ118" s="42">
        <v>0</v>
      </c>
      <c r="GK118" s="42">
        <v>0</v>
      </c>
      <c r="GL118" s="42">
        <v>0</v>
      </c>
      <c r="GM118" s="42">
        <v>0</v>
      </c>
      <c r="GN118" s="42">
        <v>0</v>
      </c>
      <c r="GO118" s="42">
        <v>0</v>
      </c>
      <c r="GP118" s="42">
        <v>0</v>
      </c>
      <c r="GQ118" s="42">
        <v>0</v>
      </c>
      <c r="GR118" s="42">
        <v>0</v>
      </c>
      <c r="GS118" s="42">
        <v>0</v>
      </c>
      <c r="GT118" s="42">
        <v>0</v>
      </c>
      <c r="GU118" s="36">
        <v>0</v>
      </c>
      <c r="GV118" s="36">
        <v>0</v>
      </c>
      <c r="GW118" s="36">
        <v>0</v>
      </c>
      <c r="GX118" s="36">
        <v>0</v>
      </c>
      <c r="GY118" s="36">
        <v>0</v>
      </c>
      <c r="GZ118" s="36">
        <v>0</v>
      </c>
      <c r="HA118" s="38">
        <v>68.695329057129129</v>
      </c>
      <c r="HB118" s="36">
        <v>1401.8108265165354</v>
      </c>
      <c r="HC118" s="36">
        <f t="shared" si="1"/>
        <v>16380.911858695063</v>
      </c>
      <c r="HD118" s="36">
        <f>SUM(DK$5:DK$213)</f>
        <v>16380.911858695063</v>
      </c>
      <c r="HE118" s="41">
        <v>0</v>
      </c>
      <c r="HG118" s="43"/>
      <c r="HH118" s="43"/>
      <c r="HI118" s="43"/>
      <c r="HJ118" s="43"/>
      <c r="HK118" s="43"/>
      <c r="HL118" s="43"/>
      <c r="HM118" s="43"/>
      <c r="HN118" s="43"/>
      <c r="HO118" s="43"/>
      <c r="HP118" s="43"/>
      <c r="HQ118" s="43"/>
      <c r="HR118" s="43"/>
      <c r="HS118" s="43"/>
      <c r="HT118" s="43"/>
    </row>
    <row r="119" spans="1:228" hidden="1" outlineLevel="1" x14ac:dyDescent="0.2">
      <c r="A119" s="9" t="s">
        <v>945</v>
      </c>
      <c r="B119" s="36">
        <v>0</v>
      </c>
      <c r="C119" s="36">
        <v>0</v>
      </c>
      <c r="D119" s="36">
        <v>0</v>
      </c>
      <c r="E119" s="36">
        <v>0</v>
      </c>
      <c r="F119" s="36">
        <v>0</v>
      </c>
      <c r="G119" s="36">
        <v>0</v>
      </c>
      <c r="H119" s="36">
        <v>0</v>
      </c>
      <c r="I119" s="36">
        <v>0</v>
      </c>
      <c r="J119" s="36">
        <v>0</v>
      </c>
      <c r="K119" s="36">
        <v>0</v>
      </c>
      <c r="L119" s="36">
        <v>0</v>
      </c>
      <c r="M119" s="36">
        <v>0</v>
      </c>
      <c r="N119" s="36">
        <v>0</v>
      </c>
      <c r="O119" s="36">
        <v>0</v>
      </c>
      <c r="P119" s="36">
        <v>0</v>
      </c>
      <c r="Q119" s="36">
        <v>0</v>
      </c>
      <c r="R119" s="36">
        <v>0</v>
      </c>
      <c r="S119" s="36">
        <v>0</v>
      </c>
      <c r="T119" s="36">
        <v>0</v>
      </c>
      <c r="U119" s="36">
        <v>0</v>
      </c>
      <c r="V119" s="36">
        <v>0</v>
      </c>
      <c r="W119" s="36">
        <v>0</v>
      </c>
      <c r="X119" s="36">
        <v>0</v>
      </c>
      <c r="Y119" s="36">
        <v>0</v>
      </c>
      <c r="Z119" s="36">
        <v>0</v>
      </c>
      <c r="AA119" s="36">
        <v>0</v>
      </c>
      <c r="AB119" s="36">
        <v>0</v>
      </c>
      <c r="AC119" s="36">
        <v>0</v>
      </c>
      <c r="AD119" s="36">
        <v>0</v>
      </c>
      <c r="AE119" s="36">
        <v>0</v>
      </c>
      <c r="AF119" s="36">
        <v>0</v>
      </c>
      <c r="AG119" s="36">
        <v>184.14319555273929</v>
      </c>
      <c r="AH119" s="36">
        <v>0</v>
      </c>
      <c r="AI119" s="36">
        <v>25.184361627087984</v>
      </c>
      <c r="AJ119" s="36">
        <v>29.065060916724271</v>
      </c>
      <c r="AK119" s="36">
        <v>0</v>
      </c>
      <c r="AL119" s="36">
        <v>0</v>
      </c>
      <c r="AM119" s="36">
        <v>0</v>
      </c>
      <c r="AN119" s="36">
        <v>0</v>
      </c>
      <c r="AO119" s="36">
        <v>11.603133422108936</v>
      </c>
      <c r="AP119" s="36">
        <v>0</v>
      </c>
      <c r="AQ119" s="36">
        <v>0</v>
      </c>
      <c r="AR119" s="36">
        <v>0</v>
      </c>
      <c r="AS119" s="36">
        <v>0</v>
      </c>
      <c r="AT119" s="36">
        <v>0</v>
      </c>
      <c r="AU119" s="36">
        <v>3756.9711833414567</v>
      </c>
      <c r="AV119" s="36">
        <v>1725.8253894503671</v>
      </c>
      <c r="AW119" s="36">
        <v>1198.5015629206307</v>
      </c>
      <c r="AX119" s="36">
        <v>0</v>
      </c>
      <c r="AY119" s="36">
        <v>0</v>
      </c>
      <c r="AZ119" s="36">
        <v>0</v>
      </c>
      <c r="BA119" s="36">
        <v>0</v>
      </c>
      <c r="BB119" s="36">
        <v>0</v>
      </c>
      <c r="BC119" s="36">
        <v>940.41234111189328</v>
      </c>
      <c r="BD119" s="36">
        <v>6301.5232195478284</v>
      </c>
      <c r="BE119" s="36">
        <v>176.96996114810938</v>
      </c>
      <c r="BF119" s="36">
        <v>0</v>
      </c>
      <c r="BG119" s="36">
        <v>0</v>
      </c>
      <c r="BH119" s="36">
        <v>0</v>
      </c>
      <c r="BI119" s="36">
        <v>0</v>
      </c>
      <c r="BJ119" s="36">
        <v>122.24647001412997</v>
      </c>
      <c r="BK119" s="36">
        <v>0</v>
      </c>
      <c r="BL119" s="36">
        <v>0</v>
      </c>
      <c r="BM119" s="36">
        <v>0</v>
      </c>
      <c r="BN119" s="36">
        <v>0</v>
      </c>
      <c r="BO119" s="36">
        <v>0</v>
      </c>
      <c r="BP119" s="36">
        <v>0</v>
      </c>
      <c r="BQ119" s="36">
        <v>0</v>
      </c>
      <c r="BR119" s="36">
        <v>0</v>
      </c>
      <c r="BS119" s="36">
        <v>0</v>
      </c>
      <c r="BT119" s="36">
        <v>0</v>
      </c>
      <c r="BU119" s="36">
        <v>0</v>
      </c>
      <c r="BV119" s="36">
        <v>0</v>
      </c>
      <c r="BW119" s="36">
        <v>0</v>
      </c>
      <c r="BX119" s="36">
        <v>0</v>
      </c>
      <c r="BY119" s="36">
        <v>0</v>
      </c>
      <c r="BZ119" s="36">
        <v>0</v>
      </c>
      <c r="CA119" s="36">
        <v>0</v>
      </c>
      <c r="CB119" s="36">
        <v>0</v>
      </c>
      <c r="CC119" s="36">
        <v>0</v>
      </c>
      <c r="CD119" s="36">
        <v>0</v>
      </c>
      <c r="CE119" s="36">
        <v>0</v>
      </c>
      <c r="CF119" s="36">
        <v>0</v>
      </c>
      <c r="CG119" s="36">
        <v>0</v>
      </c>
      <c r="CH119" s="36">
        <v>0</v>
      </c>
      <c r="CI119" s="36">
        <v>0</v>
      </c>
      <c r="CJ119" s="36">
        <v>0</v>
      </c>
      <c r="CK119" s="36">
        <v>0</v>
      </c>
      <c r="CL119" s="36">
        <v>0</v>
      </c>
      <c r="CM119" s="36">
        <v>0</v>
      </c>
      <c r="CN119" s="36">
        <v>0</v>
      </c>
      <c r="CO119" s="36">
        <v>0</v>
      </c>
      <c r="CP119" s="36">
        <v>0</v>
      </c>
      <c r="CQ119" s="36">
        <v>0</v>
      </c>
      <c r="CR119" s="36">
        <v>0</v>
      </c>
      <c r="CS119" s="36">
        <v>0</v>
      </c>
      <c r="CT119" s="36">
        <v>0</v>
      </c>
      <c r="CU119" s="36">
        <v>0</v>
      </c>
      <c r="CV119" s="36">
        <v>0</v>
      </c>
      <c r="CW119" s="36">
        <v>0</v>
      </c>
      <c r="CX119" s="36">
        <v>0</v>
      </c>
      <c r="CY119" s="36">
        <v>0</v>
      </c>
      <c r="CZ119" s="36">
        <v>0</v>
      </c>
      <c r="DA119" s="36">
        <v>0</v>
      </c>
      <c r="DB119" s="36">
        <v>0</v>
      </c>
      <c r="DC119" s="36">
        <v>0</v>
      </c>
      <c r="DD119" s="36">
        <v>0</v>
      </c>
      <c r="DE119" s="36">
        <v>0</v>
      </c>
      <c r="DF119" s="36">
        <v>0</v>
      </c>
      <c r="DG119" s="36">
        <v>0</v>
      </c>
      <c r="DH119" s="36">
        <v>0</v>
      </c>
      <c r="DI119" s="36">
        <v>0</v>
      </c>
      <c r="DJ119" s="36">
        <v>0</v>
      </c>
      <c r="DK119" s="36">
        <v>0</v>
      </c>
      <c r="DL119" s="36">
        <v>0</v>
      </c>
      <c r="DM119" s="36">
        <v>0</v>
      </c>
      <c r="DN119" s="36">
        <v>0</v>
      </c>
      <c r="DO119" s="36">
        <v>0</v>
      </c>
      <c r="DP119" s="36">
        <v>0</v>
      </c>
      <c r="DQ119" s="36">
        <v>0</v>
      </c>
      <c r="DR119" s="36">
        <v>0</v>
      </c>
      <c r="DS119" s="36">
        <v>0</v>
      </c>
      <c r="DT119" s="36">
        <v>0</v>
      </c>
      <c r="DU119" s="36">
        <v>0</v>
      </c>
      <c r="DV119" s="36">
        <v>0</v>
      </c>
      <c r="DW119" s="36">
        <v>0</v>
      </c>
      <c r="DX119" s="36">
        <v>0</v>
      </c>
      <c r="DY119" s="36">
        <v>0</v>
      </c>
      <c r="DZ119" s="36">
        <v>0</v>
      </c>
      <c r="EA119" s="36">
        <v>0</v>
      </c>
      <c r="EB119" s="36">
        <v>0</v>
      </c>
      <c r="EC119" s="36">
        <v>0</v>
      </c>
      <c r="ED119" s="36">
        <v>0</v>
      </c>
      <c r="EE119" s="36">
        <v>0</v>
      </c>
      <c r="EF119" s="36">
        <v>0</v>
      </c>
      <c r="EG119" s="36">
        <v>0</v>
      </c>
      <c r="EH119" s="36">
        <v>0</v>
      </c>
      <c r="EI119" s="36">
        <v>0</v>
      </c>
      <c r="EJ119" s="36">
        <v>0</v>
      </c>
      <c r="EK119" s="36">
        <v>0</v>
      </c>
      <c r="EL119" s="36">
        <v>0</v>
      </c>
      <c r="EM119" s="36">
        <v>0</v>
      </c>
      <c r="EN119" s="36">
        <v>0</v>
      </c>
      <c r="EO119" s="36">
        <v>0</v>
      </c>
      <c r="EP119" s="36">
        <v>0</v>
      </c>
      <c r="EQ119" s="36">
        <v>0</v>
      </c>
      <c r="ER119" s="36">
        <v>0</v>
      </c>
      <c r="ES119" s="36">
        <v>0</v>
      </c>
      <c r="ET119" s="36">
        <v>0</v>
      </c>
      <c r="EU119" s="36">
        <v>0</v>
      </c>
      <c r="EV119" s="36">
        <v>0</v>
      </c>
      <c r="EW119" s="36">
        <v>0</v>
      </c>
      <c r="EX119" s="36">
        <v>0</v>
      </c>
      <c r="EY119" s="36">
        <v>0</v>
      </c>
      <c r="EZ119" s="36">
        <v>0</v>
      </c>
      <c r="FA119" s="36">
        <v>0</v>
      </c>
      <c r="FB119" s="36">
        <v>0</v>
      </c>
      <c r="FC119" s="36">
        <v>0</v>
      </c>
      <c r="FD119" s="36">
        <v>0</v>
      </c>
      <c r="FE119" s="36">
        <v>0</v>
      </c>
      <c r="FF119" s="36">
        <v>0</v>
      </c>
      <c r="FG119" s="36">
        <v>0</v>
      </c>
      <c r="FH119" s="36">
        <v>0</v>
      </c>
      <c r="FI119" s="36">
        <v>0</v>
      </c>
      <c r="FJ119" s="36">
        <v>0</v>
      </c>
      <c r="FK119" s="36">
        <v>0</v>
      </c>
      <c r="FL119" s="36">
        <v>0</v>
      </c>
      <c r="FM119" s="36">
        <v>0</v>
      </c>
      <c r="FN119" s="36">
        <v>0</v>
      </c>
      <c r="FO119" s="36">
        <v>0</v>
      </c>
      <c r="FP119" s="36">
        <v>0</v>
      </c>
      <c r="FQ119" s="36">
        <v>0</v>
      </c>
      <c r="FR119" s="36">
        <v>0</v>
      </c>
      <c r="FS119" s="36">
        <v>0</v>
      </c>
      <c r="FT119" s="36">
        <v>0</v>
      </c>
      <c r="FU119" s="36">
        <v>0</v>
      </c>
      <c r="FV119" s="36">
        <v>0</v>
      </c>
      <c r="FW119" s="36">
        <v>0</v>
      </c>
      <c r="FX119" s="36">
        <v>0</v>
      </c>
      <c r="FY119" s="36">
        <v>0</v>
      </c>
      <c r="FZ119" s="36">
        <v>0</v>
      </c>
      <c r="GA119" s="36">
        <v>0</v>
      </c>
      <c r="GB119" s="36">
        <v>0</v>
      </c>
      <c r="GC119" s="36">
        <v>0</v>
      </c>
      <c r="GD119" s="36">
        <v>0</v>
      </c>
      <c r="GE119" s="36">
        <v>0</v>
      </c>
      <c r="GF119" s="36">
        <v>0</v>
      </c>
      <c r="GG119" s="42">
        <v>731.56808565261144</v>
      </c>
      <c r="GH119" s="42">
        <v>1485.9539927578239</v>
      </c>
      <c r="GI119" s="42">
        <v>2279.4326158989734</v>
      </c>
      <c r="GJ119" s="42">
        <v>2251.1809056613979</v>
      </c>
      <c r="GK119" s="42">
        <v>2864.599177793486</v>
      </c>
      <c r="GL119" s="42">
        <v>2592.5567676662563</v>
      </c>
      <c r="GM119" s="42">
        <v>3898.1270865418865</v>
      </c>
      <c r="GN119" s="42">
        <v>5235.2741414761831</v>
      </c>
      <c r="GO119" s="42">
        <v>6488.6655197945993</v>
      </c>
      <c r="GP119" s="42">
        <v>2035.9355388249294</v>
      </c>
      <c r="GQ119" s="42">
        <v>1433.2169849915751</v>
      </c>
      <c r="GR119" s="42">
        <v>1468.0567627268579</v>
      </c>
      <c r="GS119" s="42">
        <v>2309.189150307755</v>
      </c>
      <c r="GT119" s="42">
        <v>3006.3170265183157</v>
      </c>
      <c r="GU119" s="36">
        <v>0</v>
      </c>
      <c r="GV119" s="36">
        <v>0</v>
      </c>
      <c r="GW119" s="36">
        <v>0</v>
      </c>
      <c r="GX119" s="36">
        <v>0</v>
      </c>
      <c r="GY119" s="36">
        <v>0</v>
      </c>
      <c r="GZ119" s="36">
        <v>5278.4371573644494</v>
      </c>
      <c r="HA119" s="38">
        <v>452.3116912859623</v>
      </c>
      <c r="HB119" s="36">
        <v>4564.6995662187646</v>
      </c>
      <c r="HC119" s="36">
        <f t="shared" si="1"/>
        <v>62847.96805053491</v>
      </c>
      <c r="HD119" s="36">
        <f>SUM(DL$5:DL$213)</f>
        <v>62847.96805053491</v>
      </c>
      <c r="HE119" s="41">
        <v>0</v>
      </c>
      <c r="HG119" s="43"/>
      <c r="HH119" s="43"/>
      <c r="HI119" s="43"/>
      <c r="HJ119" s="43"/>
      <c r="HK119" s="43"/>
      <c r="HL119" s="43"/>
      <c r="HM119" s="43"/>
      <c r="HN119" s="43"/>
      <c r="HO119" s="43"/>
      <c r="HP119" s="43"/>
      <c r="HQ119" s="43"/>
      <c r="HR119" s="43"/>
      <c r="HS119" s="43"/>
      <c r="HT119" s="43"/>
    </row>
    <row r="120" spans="1:228" hidden="1" outlineLevel="1" x14ac:dyDescent="0.2">
      <c r="A120" s="9" t="s">
        <v>949</v>
      </c>
      <c r="B120" s="36">
        <v>0</v>
      </c>
      <c r="C120" s="36">
        <v>0</v>
      </c>
      <c r="D120" s="36">
        <v>0</v>
      </c>
      <c r="E120" s="36">
        <v>0</v>
      </c>
      <c r="F120" s="36">
        <v>0</v>
      </c>
      <c r="G120" s="36">
        <v>0</v>
      </c>
      <c r="H120" s="36">
        <v>0</v>
      </c>
      <c r="I120" s="36">
        <v>0</v>
      </c>
      <c r="J120" s="36">
        <v>0</v>
      </c>
      <c r="K120" s="36">
        <v>0</v>
      </c>
      <c r="L120" s="36">
        <v>0</v>
      </c>
      <c r="M120" s="36">
        <v>0</v>
      </c>
      <c r="N120" s="36">
        <v>0</v>
      </c>
      <c r="O120" s="36">
        <v>0</v>
      </c>
      <c r="P120" s="36">
        <v>0</v>
      </c>
      <c r="Q120" s="36">
        <v>0</v>
      </c>
      <c r="R120" s="36">
        <v>0</v>
      </c>
      <c r="S120" s="36">
        <v>0</v>
      </c>
      <c r="T120" s="36">
        <v>0</v>
      </c>
      <c r="U120" s="36">
        <v>0</v>
      </c>
      <c r="V120" s="36">
        <v>0</v>
      </c>
      <c r="W120" s="36">
        <v>0</v>
      </c>
      <c r="X120" s="36">
        <v>0</v>
      </c>
      <c r="Y120" s="36">
        <v>0</v>
      </c>
      <c r="Z120" s="36">
        <v>0</v>
      </c>
      <c r="AA120" s="36">
        <v>0</v>
      </c>
      <c r="AB120" s="36">
        <v>0</v>
      </c>
      <c r="AC120" s="36">
        <v>0</v>
      </c>
      <c r="AD120" s="36">
        <v>0</v>
      </c>
      <c r="AE120" s="36">
        <v>0</v>
      </c>
      <c r="AF120" s="36">
        <v>0</v>
      </c>
      <c r="AG120" s="36">
        <v>0</v>
      </c>
      <c r="AH120" s="36">
        <v>466.9583283515218</v>
      </c>
      <c r="AI120" s="36">
        <v>0</v>
      </c>
      <c r="AJ120" s="36">
        <v>0</v>
      </c>
      <c r="AK120" s="36">
        <v>0</v>
      </c>
      <c r="AL120" s="36">
        <v>0</v>
      </c>
      <c r="AM120" s="36">
        <v>0</v>
      </c>
      <c r="AN120" s="36">
        <v>0</v>
      </c>
      <c r="AO120" s="36">
        <v>0</v>
      </c>
      <c r="AP120" s="36">
        <v>0</v>
      </c>
      <c r="AQ120" s="36">
        <v>0</v>
      </c>
      <c r="AR120" s="36">
        <v>0</v>
      </c>
      <c r="AS120" s="36">
        <v>0</v>
      </c>
      <c r="AT120" s="36">
        <v>0</v>
      </c>
      <c r="AU120" s="36">
        <v>0</v>
      </c>
      <c r="AV120" s="36">
        <v>0</v>
      </c>
      <c r="AW120" s="36">
        <v>0</v>
      </c>
      <c r="AX120" s="36">
        <v>0</v>
      </c>
      <c r="AY120" s="36">
        <v>0</v>
      </c>
      <c r="AZ120" s="36">
        <v>0</v>
      </c>
      <c r="BA120" s="36">
        <v>0</v>
      </c>
      <c r="BB120" s="36">
        <v>0</v>
      </c>
      <c r="BC120" s="36">
        <v>0</v>
      </c>
      <c r="BD120" s="36">
        <v>0</v>
      </c>
      <c r="BE120" s="36">
        <v>0</v>
      </c>
      <c r="BF120" s="36">
        <v>0</v>
      </c>
      <c r="BG120" s="36">
        <v>0</v>
      </c>
      <c r="BH120" s="36">
        <v>0</v>
      </c>
      <c r="BI120" s="36">
        <v>0</v>
      </c>
      <c r="BJ120" s="36">
        <v>2527.5209980655413</v>
      </c>
      <c r="BK120" s="36">
        <v>0</v>
      </c>
      <c r="BL120" s="36">
        <v>0</v>
      </c>
      <c r="BM120" s="36">
        <v>0</v>
      </c>
      <c r="BN120" s="36">
        <v>0</v>
      </c>
      <c r="BO120" s="36">
        <v>0</v>
      </c>
      <c r="BP120" s="36">
        <v>0</v>
      </c>
      <c r="BQ120" s="36">
        <v>0</v>
      </c>
      <c r="BR120" s="36">
        <v>0</v>
      </c>
      <c r="BS120" s="36">
        <v>0</v>
      </c>
      <c r="BT120" s="36">
        <v>0</v>
      </c>
      <c r="BU120" s="36">
        <v>0</v>
      </c>
      <c r="BV120" s="36">
        <v>0</v>
      </c>
      <c r="BW120" s="36">
        <v>0</v>
      </c>
      <c r="BX120" s="36">
        <v>0</v>
      </c>
      <c r="BY120" s="36">
        <v>0</v>
      </c>
      <c r="BZ120" s="36">
        <v>0</v>
      </c>
      <c r="CA120" s="36">
        <v>0</v>
      </c>
      <c r="CB120" s="36">
        <v>0</v>
      </c>
      <c r="CC120" s="36">
        <v>0</v>
      </c>
      <c r="CD120" s="36">
        <v>0</v>
      </c>
      <c r="CE120" s="36">
        <v>0</v>
      </c>
      <c r="CF120" s="36">
        <v>0</v>
      </c>
      <c r="CG120" s="36">
        <v>0</v>
      </c>
      <c r="CH120" s="36">
        <v>0</v>
      </c>
      <c r="CI120" s="36">
        <v>0</v>
      </c>
      <c r="CJ120" s="36">
        <v>0</v>
      </c>
      <c r="CK120" s="36">
        <v>0</v>
      </c>
      <c r="CL120" s="36">
        <v>0</v>
      </c>
      <c r="CM120" s="36">
        <v>0</v>
      </c>
      <c r="CN120" s="36">
        <v>0</v>
      </c>
      <c r="CO120" s="36">
        <v>0</v>
      </c>
      <c r="CP120" s="36">
        <v>0</v>
      </c>
      <c r="CQ120" s="36">
        <v>0</v>
      </c>
      <c r="CR120" s="36">
        <v>0</v>
      </c>
      <c r="CS120" s="36">
        <v>0</v>
      </c>
      <c r="CT120" s="36">
        <v>0</v>
      </c>
      <c r="CU120" s="36">
        <v>0</v>
      </c>
      <c r="CV120" s="36">
        <v>0</v>
      </c>
      <c r="CW120" s="36">
        <v>0</v>
      </c>
      <c r="CX120" s="36">
        <v>0</v>
      </c>
      <c r="CY120" s="36">
        <v>0</v>
      </c>
      <c r="CZ120" s="36">
        <v>0</v>
      </c>
      <c r="DA120" s="36">
        <v>0</v>
      </c>
      <c r="DB120" s="36">
        <v>0</v>
      </c>
      <c r="DC120" s="36">
        <v>0</v>
      </c>
      <c r="DD120" s="36">
        <v>0</v>
      </c>
      <c r="DE120" s="36">
        <v>0</v>
      </c>
      <c r="DF120" s="36">
        <v>0</v>
      </c>
      <c r="DG120" s="36">
        <v>0</v>
      </c>
      <c r="DH120" s="36">
        <v>0</v>
      </c>
      <c r="DI120" s="36">
        <v>0</v>
      </c>
      <c r="DJ120" s="36">
        <v>0</v>
      </c>
      <c r="DK120" s="36">
        <v>0</v>
      </c>
      <c r="DL120" s="36">
        <v>0</v>
      </c>
      <c r="DM120" s="36">
        <v>0</v>
      </c>
      <c r="DN120" s="36">
        <v>0</v>
      </c>
      <c r="DO120" s="36">
        <v>0</v>
      </c>
      <c r="DP120" s="36">
        <v>0</v>
      </c>
      <c r="DQ120" s="36">
        <v>0</v>
      </c>
      <c r="DR120" s="36">
        <v>0</v>
      </c>
      <c r="DS120" s="36">
        <v>0</v>
      </c>
      <c r="DT120" s="36">
        <v>0</v>
      </c>
      <c r="DU120" s="36">
        <v>0</v>
      </c>
      <c r="DV120" s="36">
        <v>0</v>
      </c>
      <c r="DW120" s="36">
        <v>0</v>
      </c>
      <c r="DX120" s="36">
        <v>0</v>
      </c>
      <c r="DY120" s="36">
        <v>0</v>
      </c>
      <c r="DZ120" s="36">
        <v>0</v>
      </c>
      <c r="EA120" s="36">
        <v>0</v>
      </c>
      <c r="EB120" s="36">
        <v>0</v>
      </c>
      <c r="EC120" s="36">
        <v>0</v>
      </c>
      <c r="ED120" s="36">
        <v>0</v>
      </c>
      <c r="EE120" s="36">
        <v>0</v>
      </c>
      <c r="EF120" s="36">
        <v>0</v>
      </c>
      <c r="EG120" s="36">
        <v>0</v>
      </c>
      <c r="EH120" s="36">
        <v>0</v>
      </c>
      <c r="EI120" s="36">
        <v>0</v>
      </c>
      <c r="EJ120" s="36">
        <v>0</v>
      </c>
      <c r="EK120" s="36">
        <v>0</v>
      </c>
      <c r="EL120" s="36">
        <v>0</v>
      </c>
      <c r="EM120" s="36">
        <v>0</v>
      </c>
      <c r="EN120" s="36">
        <v>0</v>
      </c>
      <c r="EO120" s="36">
        <v>0</v>
      </c>
      <c r="EP120" s="36">
        <v>0</v>
      </c>
      <c r="EQ120" s="36">
        <v>0</v>
      </c>
      <c r="ER120" s="36">
        <v>0</v>
      </c>
      <c r="ES120" s="36">
        <v>0</v>
      </c>
      <c r="ET120" s="36">
        <v>0</v>
      </c>
      <c r="EU120" s="36">
        <v>0</v>
      </c>
      <c r="EV120" s="36">
        <v>0</v>
      </c>
      <c r="EW120" s="36">
        <v>0</v>
      </c>
      <c r="EX120" s="36">
        <v>0</v>
      </c>
      <c r="EY120" s="36">
        <v>0</v>
      </c>
      <c r="EZ120" s="36">
        <v>0</v>
      </c>
      <c r="FA120" s="36">
        <v>0</v>
      </c>
      <c r="FB120" s="36">
        <v>0</v>
      </c>
      <c r="FC120" s="36">
        <v>0</v>
      </c>
      <c r="FD120" s="36">
        <v>0</v>
      </c>
      <c r="FE120" s="36">
        <v>0</v>
      </c>
      <c r="FF120" s="36">
        <v>0</v>
      </c>
      <c r="FG120" s="36">
        <v>0</v>
      </c>
      <c r="FH120" s="36">
        <v>0</v>
      </c>
      <c r="FI120" s="36">
        <v>0</v>
      </c>
      <c r="FJ120" s="36">
        <v>0</v>
      </c>
      <c r="FK120" s="36">
        <v>0</v>
      </c>
      <c r="FL120" s="36">
        <v>0</v>
      </c>
      <c r="FM120" s="36">
        <v>0</v>
      </c>
      <c r="FN120" s="36">
        <v>0</v>
      </c>
      <c r="FO120" s="36">
        <v>0</v>
      </c>
      <c r="FP120" s="36">
        <v>0</v>
      </c>
      <c r="FQ120" s="36">
        <v>0</v>
      </c>
      <c r="FR120" s="36">
        <v>0</v>
      </c>
      <c r="FS120" s="36">
        <v>0</v>
      </c>
      <c r="FT120" s="36">
        <v>0</v>
      </c>
      <c r="FU120" s="36">
        <v>0</v>
      </c>
      <c r="FV120" s="36">
        <v>0</v>
      </c>
      <c r="FW120" s="36">
        <v>0</v>
      </c>
      <c r="FX120" s="36">
        <v>0</v>
      </c>
      <c r="FY120" s="36">
        <v>0</v>
      </c>
      <c r="FZ120" s="36">
        <v>0</v>
      </c>
      <c r="GA120" s="36">
        <v>0</v>
      </c>
      <c r="GB120" s="36">
        <v>0</v>
      </c>
      <c r="GC120" s="36">
        <v>0</v>
      </c>
      <c r="GD120" s="36">
        <v>0</v>
      </c>
      <c r="GE120" s="36">
        <v>0</v>
      </c>
      <c r="GF120" s="36">
        <v>0</v>
      </c>
      <c r="GG120" s="42">
        <v>437.77943493278303</v>
      </c>
      <c r="GH120" s="42">
        <v>584.47222483862254</v>
      </c>
      <c r="GI120" s="42">
        <v>730.65237992456741</v>
      </c>
      <c r="GJ120" s="42">
        <v>796.57319712986316</v>
      </c>
      <c r="GK120" s="42">
        <v>1057.9476378679242</v>
      </c>
      <c r="GL120" s="42">
        <v>955.96114317514025</v>
      </c>
      <c r="GM120" s="42">
        <v>957.83132755333702</v>
      </c>
      <c r="GN120" s="42">
        <v>1476.1603398455768</v>
      </c>
      <c r="GO120" s="42">
        <v>2335.0358282952238</v>
      </c>
      <c r="GP120" s="42">
        <v>796.55867240507928</v>
      </c>
      <c r="GQ120" s="42">
        <v>616.62293941596045</v>
      </c>
      <c r="GR120" s="42">
        <v>687.71834239179884</v>
      </c>
      <c r="GS120" s="42">
        <v>1171.2151910996513</v>
      </c>
      <c r="GT120" s="42">
        <v>1230.7503005644223</v>
      </c>
      <c r="GU120" s="36">
        <v>0</v>
      </c>
      <c r="GV120" s="36">
        <v>0</v>
      </c>
      <c r="GW120" s="36">
        <v>0</v>
      </c>
      <c r="GX120" s="36">
        <v>0</v>
      </c>
      <c r="GY120" s="36">
        <v>0</v>
      </c>
      <c r="GZ120" s="36">
        <v>0</v>
      </c>
      <c r="HA120" s="38">
        <v>2653.6947635559336</v>
      </c>
      <c r="HB120" s="36">
        <v>14144.385692692622</v>
      </c>
      <c r="HC120" s="36">
        <f t="shared" si="1"/>
        <v>33627.838742105567</v>
      </c>
      <c r="HD120" s="36">
        <f>SUM(DM$5:DM$213)</f>
        <v>33627.838742105567</v>
      </c>
      <c r="HE120" s="41">
        <v>0</v>
      </c>
      <c r="HG120" s="43"/>
      <c r="HH120" s="43"/>
      <c r="HI120" s="43"/>
      <c r="HJ120" s="43"/>
      <c r="HK120" s="43"/>
      <c r="HL120" s="43"/>
      <c r="HM120" s="43"/>
      <c r="HN120" s="43"/>
      <c r="HO120" s="43"/>
      <c r="HP120" s="43"/>
      <c r="HQ120" s="43"/>
      <c r="HR120" s="43"/>
      <c r="HS120" s="43"/>
      <c r="HT120" s="43"/>
    </row>
    <row r="121" spans="1:228" hidden="1" outlineLevel="1" x14ac:dyDescent="0.2">
      <c r="A121" s="9" t="s">
        <v>956</v>
      </c>
      <c r="B121" s="36">
        <v>0</v>
      </c>
      <c r="C121" s="36">
        <v>0</v>
      </c>
      <c r="D121" s="36">
        <v>74.453483707598096</v>
      </c>
      <c r="E121" s="36">
        <v>0</v>
      </c>
      <c r="F121" s="36">
        <v>0</v>
      </c>
      <c r="G121" s="36">
        <v>0</v>
      </c>
      <c r="H121" s="36">
        <v>0</v>
      </c>
      <c r="I121" s="36">
        <v>2.6713159688026615</v>
      </c>
      <c r="J121" s="36">
        <v>0</v>
      </c>
      <c r="K121" s="36">
        <v>92.404817407069757</v>
      </c>
      <c r="L121" s="36">
        <v>804.10148459501374</v>
      </c>
      <c r="M121" s="36">
        <v>10.121359815779972</v>
      </c>
      <c r="N121" s="36">
        <v>7.8294104042433617</v>
      </c>
      <c r="O121" s="36">
        <v>0</v>
      </c>
      <c r="P121" s="36">
        <v>246.5768008074767</v>
      </c>
      <c r="Q121" s="36">
        <v>781.25808171243989</v>
      </c>
      <c r="R121" s="36">
        <v>0</v>
      </c>
      <c r="S121" s="36">
        <v>0</v>
      </c>
      <c r="T121" s="36">
        <v>3.031136820572355</v>
      </c>
      <c r="U121" s="36">
        <v>0</v>
      </c>
      <c r="V121" s="36">
        <v>7.1732419204020381</v>
      </c>
      <c r="W121" s="36">
        <v>0</v>
      </c>
      <c r="X121" s="36">
        <v>0</v>
      </c>
      <c r="Y121" s="36">
        <v>1.0590307225222535</v>
      </c>
      <c r="Z121" s="36">
        <v>0</v>
      </c>
      <c r="AA121" s="36">
        <v>0</v>
      </c>
      <c r="AB121" s="36">
        <v>5.2943207223529652E-2</v>
      </c>
      <c r="AC121" s="36">
        <v>0</v>
      </c>
      <c r="AD121" s="36">
        <v>5.5767422590333536E-2</v>
      </c>
      <c r="AE121" s="36">
        <v>0</v>
      </c>
      <c r="AF121" s="36">
        <v>0</v>
      </c>
      <c r="AG121" s="36">
        <v>5.0917851470516879</v>
      </c>
      <c r="AH121" s="36">
        <v>341.38550666190446</v>
      </c>
      <c r="AI121" s="36">
        <v>3840.2759905165608</v>
      </c>
      <c r="AJ121" s="36">
        <v>43.457220938266346</v>
      </c>
      <c r="AK121" s="36">
        <v>0</v>
      </c>
      <c r="AL121" s="36">
        <v>0</v>
      </c>
      <c r="AM121" s="36">
        <v>0</v>
      </c>
      <c r="AN121" s="36">
        <v>0</v>
      </c>
      <c r="AO121" s="36">
        <v>153.82235042383965</v>
      </c>
      <c r="AP121" s="36">
        <v>15.199752470742785</v>
      </c>
      <c r="AQ121" s="36">
        <v>9.714721844090916E-3</v>
      </c>
      <c r="AR121" s="36">
        <v>402.02645523894711</v>
      </c>
      <c r="AS121" s="36">
        <v>1641.544851266613</v>
      </c>
      <c r="AT121" s="36">
        <v>165.63223999401538</v>
      </c>
      <c r="AU121" s="36">
        <v>0</v>
      </c>
      <c r="AV121" s="36">
        <v>0</v>
      </c>
      <c r="AW121" s="36">
        <v>0</v>
      </c>
      <c r="AX121" s="36">
        <v>0</v>
      </c>
      <c r="AY121" s="36">
        <v>0</v>
      </c>
      <c r="AZ121" s="36">
        <v>0</v>
      </c>
      <c r="BA121" s="36">
        <v>0</v>
      </c>
      <c r="BB121" s="36">
        <v>0</v>
      </c>
      <c r="BC121" s="36">
        <v>194.7311477324514</v>
      </c>
      <c r="BD121" s="36">
        <v>378.59552792928213</v>
      </c>
      <c r="BE121" s="36">
        <v>604.89929815291055</v>
      </c>
      <c r="BF121" s="36">
        <v>189.25478107246533</v>
      </c>
      <c r="BG121" s="36">
        <v>148.8202125540177</v>
      </c>
      <c r="BH121" s="36">
        <v>7257.0635227565999</v>
      </c>
      <c r="BI121" s="36">
        <v>1196.7391321052976</v>
      </c>
      <c r="BJ121" s="36">
        <v>8050.032166329881</v>
      </c>
      <c r="BK121" s="36">
        <v>0</v>
      </c>
      <c r="BL121" s="36">
        <v>0</v>
      </c>
      <c r="BM121" s="36">
        <v>0</v>
      </c>
      <c r="BN121" s="36">
        <v>0</v>
      </c>
      <c r="BO121" s="36">
        <v>0</v>
      </c>
      <c r="BP121" s="36">
        <v>0</v>
      </c>
      <c r="BQ121" s="36">
        <v>0</v>
      </c>
      <c r="BR121" s="36">
        <v>0</v>
      </c>
      <c r="BS121" s="36">
        <v>0</v>
      </c>
      <c r="BT121" s="36">
        <v>0</v>
      </c>
      <c r="BU121" s="36">
        <v>0</v>
      </c>
      <c r="BV121" s="36">
        <v>0</v>
      </c>
      <c r="BW121" s="36">
        <v>0</v>
      </c>
      <c r="BX121" s="36">
        <v>0</v>
      </c>
      <c r="BY121" s="36">
        <v>0</v>
      </c>
      <c r="BZ121" s="36">
        <v>0</v>
      </c>
      <c r="CA121" s="36">
        <v>0</v>
      </c>
      <c r="CB121" s="36">
        <v>0</v>
      </c>
      <c r="CC121" s="36">
        <v>0</v>
      </c>
      <c r="CD121" s="36">
        <v>0</v>
      </c>
      <c r="CE121" s="36">
        <v>0</v>
      </c>
      <c r="CF121" s="36">
        <v>0</v>
      </c>
      <c r="CG121" s="36">
        <v>0</v>
      </c>
      <c r="CH121" s="36">
        <v>0</v>
      </c>
      <c r="CI121" s="36">
        <v>0</v>
      </c>
      <c r="CJ121" s="36">
        <v>0</v>
      </c>
      <c r="CK121" s="36">
        <v>0</v>
      </c>
      <c r="CL121" s="36">
        <v>0</v>
      </c>
      <c r="CM121" s="36">
        <v>0</v>
      </c>
      <c r="CN121" s="36">
        <v>0</v>
      </c>
      <c r="CO121" s="36">
        <v>0</v>
      </c>
      <c r="CP121" s="36">
        <v>0</v>
      </c>
      <c r="CQ121" s="36">
        <v>0</v>
      </c>
      <c r="CR121" s="36">
        <v>0</v>
      </c>
      <c r="CS121" s="36">
        <v>0</v>
      </c>
      <c r="CT121" s="36">
        <v>0</v>
      </c>
      <c r="CU121" s="36">
        <v>0</v>
      </c>
      <c r="CV121" s="36">
        <v>0</v>
      </c>
      <c r="CW121" s="36">
        <v>0</v>
      </c>
      <c r="CX121" s="36">
        <v>0</v>
      </c>
      <c r="CY121" s="36">
        <v>0</v>
      </c>
      <c r="CZ121" s="36">
        <v>0</v>
      </c>
      <c r="DA121" s="36">
        <v>0</v>
      </c>
      <c r="DB121" s="36">
        <v>0</v>
      </c>
      <c r="DC121" s="36">
        <v>0</v>
      </c>
      <c r="DD121" s="36">
        <v>0</v>
      </c>
      <c r="DE121" s="36">
        <v>0</v>
      </c>
      <c r="DF121" s="36">
        <v>0</v>
      </c>
      <c r="DG121" s="36">
        <v>0</v>
      </c>
      <c r="DH121" s="36">
        <v>0</v>
      </c>
      <c r="DI121" s="36">
        <v>0</v>
      </c>
      <c r="DJ121" s="36">
        <v>0</v>
      </c>
      <c r="DK121" s="36">
        <v>0</v>
      </c>
      <c r="DL121" s="36">
        <v>0</v>
      </c>
      <c r="DM121" s="36">
        <v>0</v>
      </c>
      <c r="DN121" s="36">
        <v>0</v>
      </c>
      <c r="DO121" s="36">
        <v>0</v>
      </c>
      <c r="DP121" s="36">
        <v>0</v>
      </c>
      <c r="DQ121" s="36">
        <v>0</v>
      </c>
      <c r="DR121" s="36">
        <v>0</v>
      </c>
      <c r="DS121" s="36">
        <v>0</v>
      </c>
      <c r="DT121" s="36">
        <v>0</v>
      </c>
      <c r="DU121" s="36">
        <v>0</v>
      </c>
      <c r="DV121" s="36">
        <v>0</v>
      </c>
      <c r="DW121" s="36">
        <v>0</v>
      </c>
      <c r="DX121" s="36">
        <v>0</v>
      </c>
      <c r="DY121" s="36">
        <v>0</v>
      </c>
      <c r="DZ121" s="36">
        <v>0</v>
      </c>
      <c r="EA121" s="36">
        <v>0</v>
      </c>
      <c r="EB121" s="36">
        <v>0</v>
      </c>
      <c r="EC121" s="36">
        <v>0</v>
      </c>
      <c r="ED121" s="36">
        <v>0</v>
      </c>
      <c r="EE121" s="36">
        <v>0</v>
      </c>
      <c r="EF121" s="36">
        <v>0</v>
      </c>
      <c r="EG121" s="36">
        <v>0</v>
      </c>
      <c r="EH121" s="36">
        <v>0</v>
      </c>
      <c r="EI121" s="36">
        <v>0</v>
      </c>
      <c r="EJ121" s="36">
        <v>0</v>
      </c>
      <c r="EK121" s="36">
        <v>0</v>
      </c>
      <c r="EL121" s="36">
        <v>0</v>
      </c>
      <c r="EM121" s="36">
        <v>0</v>
      </c>
      <c r="EN121" s="36">
        <v>0</v>
      </c>
      <c r="EO121" s="36">
        <v>0</v>
      </c>
      <c r="EP121" s="36">
        <v>0</v>
      </c>
      <c r="EQ121" s="36">
        <v>0</v>
      </c>
      <c r="ER121" s="36">
        <v>0</v>
      </c>
      <c r="ES121" s="36">
        <v>0</v>
      </c>
      <c r="ET121" s="36">
        <v>0</v>
      </c>
      <c r="EU121" s="36">
        <v>0</v>
      </c>
      <c r="EV121" s="36">
        <v>0</v>
      </c>
      <c r="EW121" s="36">
        <v>0</v>
      </c>
      <c r="EX121" s="36">
        <v>0</v>
      </c>
      <c r="EY121" s="36">
        <v>0</v>
      </c>
      <c r="EZ121" s="36">
        <v>0</v>
      </c>
      <c r="FA121" s="36">
        <v>0</v>
      </c>
      <c r="FB121" s="36">
        <v>0</v>
      </c>
      <c r="FC121" s="36">
        <v>0</v>
      </c>
      <c r="FD121" s="36">
        <v>0</v>
      </c>
      <c r="FE121" s="36">
        <v>0</v>
      </c>
      <c r="FF121" s="36">
        <v>0</v>
      </c>
      <c r="FG121" s="36">
        <v>0</v>
      </c>
      <c r="FH121" s="36">
        <v>0</v>
      </c>
      <c r="FI121" s="36">
        <v>0</v>
      </c>
      <c r="FJ121" s="36">
        <v>0</v>
      </c>
      <c r="FK121" s="36">
        <v>0</v>
      </c>
      <c r="FL121" s="36">
        <v>0</v>
      </c>
      <c r="FM121" s="36">
        <v>0</v>
      </c>
      <c r="FN121" s="36">
        <v>0</v>
      </c>
      <c r="FO121" s="36">
        <v>0</v>
      </c>
      <c r="FP121" s="36">
        <v>0</v>
      </c>
      <c r="FQ121" s="36">
        <v>0</v>
      </c>
      <c r="FR121" s="36">
        <v>0</v>
      </c>
      <c r="FS121" s="36">
        <v>0</v>
      </c>
      <c r="FT121" s="36">
        <v>0</v>
      </c>
      <c r="FU121" s="36">
        <v>0</v>
      </c>
      <c r="FV121" s="36">
        <v>0</v>
      </c>
      <c r="FW121" s="36">
        <v>0</v>
      </c>
      <c r="FX121" s="36">
        <v>0</v>
      </c>
      <c r="FY121" s="36">
        <v>0</v>
      </c>
      <c r="FZ121" s="36">
        <v>0</v>
      </c>
      <c r="GA121" s="36">
        <v>0</v>
      </c>
      <c r="GB121" s="36">
        <v>0</v>
      </c>
      <c r="GC121" s="36">
        <v>0</v>
      </c>
      <c r="GD121" s="36">
        <v>0</v>
      </c>
      <c r="GE121" s="36">
        <v>0</v>
      </c>
      <c r="GF121" s="36">
        <v>0</v>
      </c>
      <c r="GG121" s="42">
        <v>924.28037631841107</v>
      </c>
      <c r="GH121" s="42">
        <v>1233.991742906896</v>
      </c>
      <c r="GI121" s="42">
        <v>1542.6207875166913</v>
      </c>
      <c r="GJ121" s="42">
        <v>1681.7989052441333</v>
      </c>
      <c r="GK121" s="42">
        <v>2233.6367650615598</v>
      </c>
      <c r="GL121" s="42">
        <v>2018.3134579982316</v>
      </c>
      <c r="GM121" s="42">
        <v>2022.2619639876234</v>
      </c>
      <c r="GN121" s="42">
        <v>3116.6060475825511</v>
      </c>
      <c r="GO121" s="42">
        <v>4929.9433044977504</v>
      </c>
      <c r="GP121" s="42">
        <v>1681.7682393036666</v>
      </c>
      <c r="GQ121" s="42">
        <v>1301.8713009610801</v>
      </c>
      <c r="GR121" s="42">
        <v>1451.9744820917936</v>
      </c>
      <c r="GS121" s="42">
        <v>2472.7776848303492</v>
      </c>
      <c r="GT121" s="42">
        <v>2598.4737065923237</v>
      </c>
      <c r="GU121" s="36">
        <v>0</v>
      </c>
      <c r="GV121" s="36">
        <v>0</v>
      </c>
      <c r="GW121" s="36">
        <v>0</v>
      </c>
      <c r="GX121" s="36">
        <v>0</v>
      </c>
      <c r="GY121" s="36">
        <v>0</v>
      </c>
      <c r="GZ121" s="36">
        <v>0</v>
      </c>
      <c r="HA121" s="38">
        <v>294.88029960312997</v>
      </c>
      <c r="HB121" s="36">
        <v>4599.9220250857197</v>
      </c>
      <c r="HC121" s="36">
        <f t="shared" si="1"/>
        <v>60764.491620106324</v>
      </c>
      <c r="HD121" s="36">
        <f>SUM(DN$5:DN$213)</f>
        <v>60764.491620106324</v>
      </c>
      <c r="HE121" s="41">
        <v>0</v>
      </c>
      <c r="HG121" s="43"/>
      <c r="HH121" s="43"/>
      <c r="HI121" s="43"/>
      <c r="HJ121" s="43"/>
      <c r="HK121" s="43"/>
      <c r="HL121" s="43"/>
      <c r="HM121" s="43"/>
      <c r="HN121" s="43"/>
      <c r="HO121" s="43"/>
      <c r="HP121" s="43"/>
      <c r="HQ121" s="43"/>
      <c r="HR121" s="43"/>
      <c r="HS121" s="43"/>
      <c r="HT121" s="43"/>
    </row>
    <row r="122" spans="1:228" hidden="1" outlineLevel="1" x14ac:dyDescent="0.2">
      <c r="A122" s="9" t="s">
        <v>963</v>
      </c>
      <c r="B122" s="36">
        <v>0</v>
      </c>
      <c r="C122" s="36">
        <v>0</v>
      </c>
      <c r="D122" s="36">
        <v>0</v>
      </c>
      <c r="E122" s="36">
        <v>0</v>
      </c>
      <c r="F122" s="36">
        <v>0</v>
      </c>
      <c r="G122" s="36">
        <v>0</v>
      </c>
      <c r="H122" s="36">
        <v>0</v>
      </c>
      <c r="I122" s="36">
        <v>44.876298529574647</v>
      </c>
      <c r="J122" s="36">
        <v>0.99415809052461457</v>
      </c>
      <c r="K122" s="36">
        <v>69.899755685443779</v>
      </c>
      <c r="L122" s="36">
        <v>0</v>
      </c>
      <c r="M122" s="36">
        <v>0</v>
      </c>
      <c r="N122" s="36">
        <v>0</v>
      </c>
      <c r="O122" s="36">
        <v>0</v>
      </c>
      <c r="P122" s="36">
        <v>246.73404595057423</v>
      </c>
      <c r="Q122" s="36">
        <v>33.479868430393047</v>
      </c>
      <c r="R122" s="36">
        <v>0</v>
      </c>
      <c r="S122" s="36">
        <v>56.870826192177617</v>
      </c>
      <c r="T122" s="36">
        <v>4.8462547365176372</v>
      </c>
      <c r="U122" s="36">
        <v>2.3154704793994298</v>
      </c>
      <c r="V122" s="36">
        <v>4.6510301639292271</v>
      </c>
      <c r="W122" s="36">
        <v>0</v>
      </c>
      <c r="X122" s="36">
        <v>13.250287093242832</v>
      </c>
      <c r="Y122" s="36">
        <v>9266.5779494227827</v>
      </c>
      <c r="Z122" s="36">
        <v>439.04615721077914</v>
      </c>
      <c r="AA122" s="36">
        <v>132.75003096481049</v>
      </c>
      <c r="AB122" s="36">
        <v>0</v>
      </c>
      <c r="AC122" s="36">
        <v>0</v>
      </c>
      <c r="AD122" s="36">
        <v>0</v>
      </c>
      <c r="AE122" s="36">
        <v>32.548708537194429</v>
      </c>
      <c r="AF122" s="36">
        <v>0</v>
      </c>
      <c r="AG122" s="36">
        <v>0.46959554652030078</v>
      </c>
      <c r="AH122" s="36">
        <v>16863.48077324636</v>
      </c>
      <c r="AI122" s="36">
        <v>0</v>
      </c>
      <c r="AJ122" s="36">
        <v>0</v>
      </c>
      <c r="AK122" s="36">
        <v>0</v>
      </c>
      <c r="AL122" s="36">
        <v>0</v>
      </c>
      <c r="AM122" s="36">
        <v>0</v>
      </c>
      <c r="AN122" s="36">
        <v>0</v>
      </c>
      <c r="AO122" s="36">
        <v>0</v>
      </c>
      <c r="AP122" s="36">
        <v>0</v>
      </c>
      <c r="AQ122" s="36">
        <v>0</v>
      </c>
      <c r="AR122" s="36">
        <v>0</v>
      </c>
      <c r="AS122" s="36">
        <v>0</v>
      </c>
      <c r="AT122" s="36">
        <v>0</v>
      </c>
      <c r="AU122" s="36">
        <v>0</v>
      </c>
      <c r="AV122" s="36">
        <v>0</v>
      </c>
      <c r="AW122" s="36">
        <v>0</v>
      </c>
      <c r="AX122" s="36">
        <v>0</v>
      </c>
      <c r="AY122" s="36">
        <v>0</v>
      </c>
      <c r="AZ122" s="36">
        <v>0</v>
      </c>
      <c r="BA122" s="36">
        <v>0</v>
      </c>
      <c r="BB122" s="36">
        <v>0</v>
      </c>
      <c r="BC122" s="36">
        <v>0</v>
      </c>
      <c r="BD122" s="36">
        <v>0</v>
      </c>
      <c r="BE122" s="36">
        <v>0</v>
      </c>
      <c r="BF122" s="36">
        <v>0</v>
      </c>
      <c r="BG122" s="36">
        <v>0</v>
      </c>
      <c r="BH122" s="36">
        <v>0</v>
      </c>
      <c r="BI122" s="36">
        <v>0</v>
      </c>
      <c r="BJ122" s="36">
        <v>1782.906270823788</v>
      </c>
      <c r="BK122" s="36">
        <v>0</v>
      </c>
      <c r="BL122" s="36">
        <v>0</v>
      </c>
      <c r="BM122" s="36">
        <v>0</v>
      </c>
      <c r="BN122" s="36">
        <v>0</v>
      </c>
      <c r="BO122" s="36">
        <v>0</v>
      </c>
      <c r="BP122" s="36">
        <v>0</v>
      </c>
      <c r="BQ122" s="36">
        <v>0</v>
      </c>
      <c r="BR122" s="36">
        <v>0</v>
      </c>
      <c r="BS122" s="36">
        <v>0</v>
      </c>
      <c r="BT122" s="36">
        <v>0</v>
      </c>
      <c r="BU122" s="36">
        <v>0</v>
      </c>
      <c r="BV122" s="36">
        <v>0</v>
      </c>
      <c r="BW122" s="36">
        <v>0</v>
      </c>
      <c r="BX122" s="36">
        <v>0</v>
      </c>
      <c r="BY122" s="36">
        <v>0</v>
      </c>
      <c r="BZ122" s="36">
        <v>0</v>
      </c>
      <c r="CA122" s="36">
        <v>0</v>
      </c>
      <c r="CB122" s="36">
        <v>0</v>
      </c>
      <c r="CC122" s="36">
        <v>0</v>
      </c>
      <c r="CD122" s="36">
        <v>0</v>
      </c>
      <c r="CE122" s="36">
        <v>0</v>
      </c>
      <c r="CF122" s="36">
        <v>0</v>
      </c>
      <c r="CG122" s="36">
        <v>0</v>
      </c>
      <c r="CH122" s="36">
        <v>0</v>
      </c>
      <c r="CI122" s="36">
        <v>0</v>
      </c>
      <c r="CJ122" s="36">
        <v>0</v>
      </c>
      <c r="CK122" s="36">
        <v>0</v>
      </c>
      <c r="CL122" s="36">
        <v>0</v>
      </c>
      <c r="CM122" s="36">
        <v>0</v>
      </c>
      <c r="CN122" s="36">
        <v>0</v>
      </c>
      <c r="CO122" s="36">
        <v>0</v>
      </c>
      <c r="CP122" s="36">
        <v>0</v>
      </c>
      <c r="CQ122" s="36">
        <v>0</v>
      </c>
      <c r="CR122" s="36">
        <v>0</v>
      </c>
      <c r="CS122" s="36">
        <v>0</v>
      </c>
      <c r="CT122" s="36">
        <v>0</v>
      </c>
      <c r="CU122" s="36">
        <v>0</v>
      </c>
      <c r="CV122" s="36">
        <v>0</v>
      </c>
      <c r="CW122" s="36">
        <v>0</v>
      </c>
      <c r="CX122" s="36">
        <v>0</v>
      </c>
      <c r="CY122" s="36">
        <v>0</v>
      </c>
      <c r="CZ122" s="36">
        <v>0</v>
      </c>
      <c r="DA122" s="36">
        <v>0</v>
      </c>
      <c r="DB122" s="36">
        <v>0</v>
      </c>
      <c r="DC122" s="36">
        <v>0</v>
      </c>
      <c r="DD122" s="36">
        <v>0</v>
      </c>
      <c r="DE122" s="36">
        <v>0</v>
      </c>
      <c r="DF122" s="36">
        <v>0</v>
      </c>
      <c r="DG122" s="36">
        <v>0</v>
      </c>
      <c r="DH122" s="36">
        <v>0</v>
      </c>
      <c r="DI122" s="36">
        <v>0</v>
      </c>
      <c r="DJ122" s="36">
        <v>0</v>
      </c>
      <c r="DK122" s="36">
        <v>0</v>
      </c>
      <c r="DL122" s="36">
        <v>0</v>
      </c>
      <c r="DM122" s="36">
        <v>0</v>
      </c>
      <c r="DN122" s="36">
        <v>0</v>
      </c>
      <c r="DO122" s="36">
        <v>0</v>
      </c>
      <c r="DP122" s="36">
        <v>0</v>
      </c>
      <c r="DQ122" s="36">
        <v>0</v>
      </c>
      <c r="DR122" s="36">
        <v>0</v>
      </c>
      <c r="DS122" s="36">
        <v>0</v>
      </c>
      <c r="DT122" s="36">
        <v>0</v>
      </c>
      <c r="DU122" s="36">
        <v>0</v>
      </c>
      <c r="DV122" s="36">
        <v>0</v>
      </c>
      <c r="DW122" s="36">
        <v>0</v>
      </c>
      <c r="DX122" s="36">
        <v>0</v>
      </c>
      <c r="DY122" s="36">
        <v>0</v>
      </c>
      <c r="DZ122" s="36">
        <v>0</v>
      </c>
      <c r="EA122" s="36">
        <v>0</v>
      </c>
      <c r="EB122" s="36">
        <v>0</v>
      </c>
      <c r="EC122" s="36">
        <v>0</v>
      </c>
      <c r="ED122" s="36">
        <v>0</v>
      </c>
      <c r="EE122" s="36">
        <v>0</v>
      </c>
      <c r="EF122" s="36">
        <v>0</v>
      </c>
      <c r="EG122" s="36">
        <v>0</v>
      </c>
      <c r="EH122" s="36">
        <v>0</v>
      </c>
      <c r="EI122" s="36">
        <v>0</v>
      </c>
      <c r="EJ122" s="36">
        <v>0</v>
      </c>
      <c r="EK122" s="36">
        <v>0</v>
      </c>
      <c r="EL122" s="36">
        <v>0</v>
      </c>
      <c r="EM122" s="36">
        <v>0</v>
      </c>
      <c r="EN122" s="36">
        <v>0</v>
      </c>
      <c r="EO122" s="36">
        <v>0</v>
      </c>
      <c r="EP122" s="36">
        <v>0</v>
      </c>
      <c r="EQ122" s="36">
        <v>0</v>
      </c>
      <c r="ER122" s="36">
        <v>0</v>
      </c>
      <c r="ES122" s="36">
        <v>0</v>
      </c>
      <c r="ET122" s="36">
        <v>0</v>
      </c>
      <c r="EU122" s="36">
        <v>0</v>
      </c>
      <c r="EV122" s="36">
        <v>0</v>
      </c>
      <c r="EW122" s="36">
        <v>0</v>
      </c>
      <c r="EX122" s="36">
        <v>0</v>
      </c>
      <c r="EY122" s="36">
        <v>0</v>
      </c>
      <c r="EZ122" s="36">
        <v>0</v>
      </c>
      <c r="FA122" s="36">
        <v>0</v>
      </c>
      <c r="FB122" s="36">
        <v>0</v>
      </c>
      <c r="FC122" s="36">
        <v>0</v>
      </c>
      <c r="FD122" s="36">
        <v>0</v>
      </c>
      <c r="FE122" s="36">
        <v>0</v>
      </c>
      <c r="FF122" s="36">
        <v>0</v>
      </c>
      <c r="FG122" s="36">
        <v>0</v>
      </c>
      <c r="FH122" s="36">
        <v>0</v>
      </c>
      <c r="FI122" s="36">
        <v>0</v>
      </c>
      <c r="FJ122" s="36">
        <v>0</v>
      </c>
      <c r="FK122" s="36">
        <v>0</v>
      </c>
      <c r="FL122" s="36">
        <v>0</v>
      </c>
      <c r="FM122" s="36">
        <v>0</v>
      </c>
      <c r="FN122" s="36">
        <v>0</v>
      </c>
      <c r="FO122" s="36">
        <v>0</v>
      </c>
      <c r="FP122" s="36">
        <v>0</v>
      </c>
      <c r="FQ122" s="36">
        <v>0</v>
      </c>
      <c r="FR122" s="36">
        <v>0</v>
      </c>
      <c r="FS122" s="36">
        <v>0</v>
      </c>
      <c r="FT122" s="36">
        <v>0</v>
      </c>
      <c r="FU122" s="36">
        <v>0</v>
      </c>
      <c r="FV122" s="36">
        <v>0</v>
      </c>
      <c r="FW122" s="36">
        <v>0</v>
      </c>
      <c r="FX122" s="36">
        <v>0</v>
      </c>
      <c r="FY122" s="36">
        <v>0</v>
      </c>
      <c r="FZ122" s="36">
        <v>0</v>
      </c>
      <c r="GA122" s="36">
        <v>0</v>
      </c>
      <c r="GB122" s="36">
        <v>0</v>
      </c>
      <c r="GC122" s="36">
        <v>0</v>
      </c>
      <c r="GD122" s="36">
        <v>0</v>
      </c>
      <c r="GE122" s="36">
        <v>0</v>
      </c>
      <c r="GF122" s="36">
        <v>0</v>
      </c>
      <c r="GG122" s="42">
        <v>33.164424835076382</v>
      </c>
      <c r="GH122" s="42">
        <v>44.27728582505604</v>
      </c>
      <c r="GI122" s="42">
        <v>55.351311644637981</v>
      </c>
      <c r="GJ122" s="42">
        <v>60.345209970646636</v>
      </c>
      <c r="GK122" s="42">
        <v>80.145895662971341</v>
      </c>
      <c r="GL122" s="42">
        <v>72.419805382026397</v>
      </c>
      <c r="GM122" s="42">
        <v>72.56148309525193</v>
      </c>
      <c r="GN122" s="42">
        <v>111.82802280981103</v>
      </c>
      <c r="GO122" s="42">
        <v>176.89300601020122</v>
      </c>
      <c r="GP122" s="42">
        <v>60.344109635398084</v>
      </c>
      <c r="GQ122" s="42">
        <v>46.71289579645142</v>
      </c>
      <c r="GR122" s="42">
        <v>52.098800112568235</v>
      </c>
      <c r="GS122" s="42">
        <v>88.726593968234141</v>
      </c>
      <c r="GT122" s="42">
        <v>93.236736531681842</v>
      </c>
      <c r="GU122" s="36">
        <v>0</v>
      </c>
      <c r="GV122" s="36">
        <v>0</v>
      </c>
      <c r="GW122" s="36">
        <v>0</v>
      </c>
      <c r="GX122" s="36">
        <v>0</v>
      </c>
      <c r="GY122" s="36">
        <v>0</v>
      </c>
      <c r="GZ122" s="36">
        <v>0</v>
      </c>
      <c r="HA122" s="38">
        <v>2809.427568533858</v>
      </c>
      <c r="HB122" s="36">
        <v>11963.20714888027</v>
      </c>
      <c r="HC122" s="36">
        <f t="shared" si="1"/>
        <v>44816.437779798151</v>
      </c>
      <c r="HD122" s="36">
        <f>SUM(DO$5:DO$213)</f>
        <v>44816.437779798158</v>
      </c>
      <c r="HE122" s="41">
        <v>0</v>
      </c>
      <c r="HG122" s="43"/>
      <c r="HH122" s="43"/>
      <c r="HI122" s="43"/>
      <c r="HJ122" s="43"/>
      <c r="HK122" s="43"/>
      <c r="HL122" s="43"/>
      <c r="HM122" s="43"/>
      <c r="HN122" s="43"/>
      <c r="HO122" s="43"/>
      <c r="HP122" s="43"/>
      <c r="HQ122" s="43"/>
      <c r="HR122" s="43"/>
      <c r="HS122" s="43"/>
      <c r="HT122" s="43"/>
    </row>
    <row r="123" spans="1:228" hidden="1" outlineLevel="1" x14ac:dyDescent="0.2">
      <c r="A123" s="9" t="s">
        <v>967</v>
      </c>
      <c r="B123" s="36">
        <v>0</v>
      </c>
      <c r="C123" s="36">
        <v>0</v>
      </c>
      <c r="D123" s="36">
        <v>0</v>
      </c>
      <c r="E123" s="36">
        <v>0</v>
      </c>
      <c r="F123" s="36">
        <v>0</v>
      </c>
      <c r="G123" s="36">
        <v>0</v>
      </c>
      <c r="H123" s="36">
        <v>0</v>
      </c>
      <c r="I123" s="36">
        <v>0</v>
      </c>
      <c r="J123" s="36">
        <v>0</v>
      </c>
      <c r="K123" s="36">
        <v>65.125380324115099</v>
      </c>
      <c r="L123" s="36">
        <v>0</v>
      </c>
      <c r="M123" s="36">
        <v>0</v>
      </c>
      <c r="N123" s="36">
        <v>0</v>
      </c>
      <c r="O123" s="36">
        <v>0</v>
      </c>
      <c r="P123" s="36">
        <v>0</v>
      </c>
      <c r="Q123" s="36">
        <v>0</v>
      </c>
      <c r="R123" s="36">
        <v>0</v>
      </c>
      <c r="S123" s="36">
        <v>0</v>
      </c>
      <c r="T123" s="36">
        <v>0</v>
      </c>
      <c r="U123" s="36">
        <v>0</v>
      </c>
      <c r="V123" s="36">
        <v>22.827671694799211</v>
      </c>
      <c r="W123" s="36">
        <v>192.70948061004046</v>
      </c>
      <c r="X123" s="36">
        <v>114.00771570648315</v>
      </c>
      <c r="Y123" s="36">
        <v>28099.339291655786</v>
      </c>
      <c r="Z123" s="36">
        <v>21577.962593855005</v>
      </c>
      <c r="AA123" s="36">
        <v>11925.67553369845</v>
      </c>
      <c r="AB123" s="36">
        <v>327.14686084479416</v>
      </c>
      <c r="AC123" s="36">
        <v>223.41583623557125</v>
      </c>
      <c r="AD123" s="36">
        <v>13.847293896704141</v>
      </c>
      <c r="AE123" s="36">
        <v>10216.186179989414</v>
      </c>
      <c r="AF123" s="36">
        <v>846.42133385014654</v>
      </c>
      <c r="AG123" s="36">
        <v>373.87377228978767</v>
      </c>
      <c r="AH123" s="36">
        <v>120.85810288364439</v>
      </c>
      <c r="AI123" s="36">
        <v>0</v>
      </c>
      <c r="AJ123" s="36">
        <v>0</v>
      </c>
      <c r="AK123" s="36">
        <v>0</v>
      </c>
      <c r="AL123" s="36">
        <v>0</v>
      </c>
      <c r="AM123" s="36">
        <v>0</v>
      </c>
      <c r="AN123" s="36">
        <v>0</v>
      </c>
      <c r="AO123" s="36">
        <v>0</v>
      </c>
      <c r="AP123" s="36">
        <v>0</v>
      </c>
      <c r="AQ123" s="36">
        <v>0</v>
      </c>
      <c r="AR123" s="36">
        <v>0</v>
      </c>
      <c r="AS123" s="36">
        <v>0</v>
      </c>
      <c r="AT123" s="36">
        <v>0</v>
      </c>
      <c r="AU123" s="36">
        <v>0</v>
      </c>
      <c r="AV123" s="36">
        <v>0</v>
      </c>
      <c r="AW123" s="36">
        <v>0</v>
      </c>
      <c r="AX123" s="36">
        <v>0</v>
      </c>
      <c r="AY123" s="36">
        <v>0</v>
      </c>
      <c r="AZ123" s="36">
        <v>0</v>
      </c>
      <c r="BA123" s="36">
        <v>0</v>
      </c>
      <c r="BB123" s="36">
        <v>0</v>
      </c>
      <c r="BC123" s="36">
        <v>0</v>
      </c>
      <c r="BD123" s="36">
        <v>0</v>
      </c>
      <c r="BE123" s="36">
        <v>0</v>
      </c>
      <c r="BF123" s="36">
        <v>0</v>
      </c>
      <c r="BG123" s="36">
        <v>0</v>
      </c>
      <c r="BH123" s="36">
        <v>0</v>
      </c>
      <c r="BI123" s="36">
        <v>0</v>
      </c>
      <c r="BJ123" s="36">
        <v>395.61575500379388</v>
      </c>
      <c r="BK123" s="36">
        <v>0</v>
      </c>
      <c r="BL123" s="36">
        <v>0</v>
      </c>
      <c r="BM123" s="36">
        <v>0</v>
      </c>
      <c r="BN123" s="36">
        <v>0</v>
      </c>
      <c r="BO123" s="36">
        <v>0</v>
      </c>
      <c r="BP123" s="36">
        <v>0</v>
      </c>
      <c r="BQ123" s="36">
        <v>0</v>
      </c>
      <c r="BR123" s="36">
        <v>0</v>
      </c>
      <c r="BS123" s="36">
        <v>0</v>
      </c>
      <c r="BT123" s="36">
        <v>0</v>
      </c>
      <c r="BU123" s="36">
        <v>0</v>
      </c>
      <c r="BV123" s="36">
        <v>0</v>
      </c>
      <c r="BW123" s="36">
        <v>0</v>
      </c>
      <c r="BX123" s="36">
        <v>0</v>
      </c>
      <c r="BY123" s="36">
        <v>0</v>
      </c>
      <c r="BZ123" s="36">
        <v>0</v>
      </c>
      <c r="CA123" s="36">
        <v>0</v>
      </c>
      <c r="CB123" s="36">
        <v>0</v>
      </c>
      <c r="CC123" s="36">
        <v>0</v>
      </c>
      <c r="CD123" s="36">
        <v>0</v>
      </c>
      <c r="CE123" s="36">
        <v>0</v>
      </c>
      <c r="CF123" s="36">
        <v>0</v>
      </c>
      <c r="CG123" s="36">
        <v>0</v>
      </c>
      <c r="CH123" s="36">
        <v>0</v>
      </c>
      <c r="CI123" s="36">
        <v>0</v>
      </c>
      <c r="CJ123" s="36">
        <v>0</v>
      </c>
      <c r="CK123" s="36">
        <v>0</v>
      </c>
      <c r="CL123" s="36">
        <v>0</v>
      </c>
      <c r="CM123" s="36">
        <v>0</v>
      </c>
      <c r="CN123" s="36">
        <v>0</v>
      </c>
      <c r="CO123" s="36">
        <v>0</v>
      </c>
      <c r="CP123" s="36">
        <v>0</v>
      </c>
      <c r="CQ123" s="36">
        <v>0</v>
      </c>
      <c r="CR123" s="36">
        <v>0</v>
      </c>
      <c r="CS123" s="36">
        <v>0</v>
      </c>
      <c r="CT123" s="36">
        <v>0</v>
      </c>
      <c r="CU123" s="36">
        <v>0</v>
      </c>
      <c r="CV123" s="36">
        <v>0</v>
      </c>
      <c r="CW123" s="36">
        <v>0</v>
      </c>
      <c r="CX123" s="36">
        <v>0</v>
      </c>
      <c r="CY123" s="36">
        <v>0</v>
      </c>
      <c r="CZ123" s="36">
        <v>0</v>
      </c>
      <c r="DA123" s="36">
        <v>0</v>
      </c>
      <c r="DB123" s="36">
        <v>0</v>
      </c>
      <c r="DC123" s="36">
        <v>0</v>
      </c>
      <c r="DD123" s="36">
        <v>0</v>
      </c>
      <c r="DE123" s="36">
        <v>0</v>
      </c>
      <c r="DF123" s="36">
        <v>0</v>
      </c>
      <c r="DG123" s="36">
        <v>0</v>
      </c>
      <c r="DH123" s="36">
        <v>0</v>
      </c>
      <c r="DI123" s="36">
        <v>0</v>
      </c>
      <c r="DJ123" s="36">
        <v>0</v>
      </c>
      <c r="DK123" s="36">
        <v>0</v>
      </c>
      <c r="DL123" s="36">
        <v>0</v>
      </c>
      <c r="DM123" s="36">
        <v>0</v>
      </c>
      <c r="DN123" s="36">
        <v>0</v>
      </c>
      <c r="DO123" s="36">
        <v>0</v>
      </c>
      <c r="DP123" s="36">
        <v>0</v>
      </c>
      <c r="DQ123" s="36">
        <v>0</v>
      </c>
      <c r="DR123" s="36">
        <v>0</v>
      </c>
      <c r="DS123" s="36">
        <v>0</v>
      </c>
      <c r="DT123" s="36">
        <v>0</v>
      </c>
      <c r="DU123" s="36">
        <v>0</v>
      </c>
      <c r="DV123" s="36">
        <v>0</v>
      </c>
      <c r="DW123" s="36">
        <v>0</v>
      </c>
      <c r="DX123" s="36">
        <v>0</v>
      </c>
      <c r="DY123" s="36">
        <v>0</v>
      </c>
      <c r="DZ123" s="36">
        <v>0</v>
      </c>
      <c r="EA123" s="36">
        <v>0</v>
      </c>
      <c r="EB123" s="36">
        <v>0</v>
      </c>
      <c r="EC123" s="36">
        <v>0</v>
      </c>
      <c r="ED123" s="36">
        <v>0</v>
      </c>
      <c r="EE123" s="36">
        <v>0</v>
      </c>
      <c r="EF123" s="36">
        <v>0</v>
      </c>
      <c r="EG123" s="36">
        <v>0</v>
      </c>
      <c r="EH123" s="36">
        <v>0</v>
      </c>
      <c r="EI123" s="36">
        <v>0</v>
      </c>
      <c r="EJ123" s="36">
        <v>0</v>
      </c>
      <c r="EK123" s="36">
        <v>0</v>
      </c>
      <c r="EL123" s="36">
        <v>0</v>
      </c>
      <c r="EM123" s="36">
        <v>0</v>
      </c>
      <c r="EN123" s="36">
        <v>0</v>
      </c>
      <c r="EO123" s="36">
        <v>0</v>
      </c>
      <c r="EP123" s="36">
        <v>0</v>
      </c>
      <c r="EQ123" s="36">
        <v>0</v>
      </c>
      <c r="ER123" s="36">
        <v>0</v>
      </c>
      <c r="ES123" s="36">
        <v>0</v>
      </c>
      <c r="ET123" s="36">
        <v>0</v>
      </c>
      <c r="EU123" s="36">
        <v>0</v>
      </c>
      <c r="EV123" s="36">
        <v>0</v>
      </c>
      <c r="EW123" s="36">
        <v>0</v>
      </c>
      <c r="EX123" s="36">
        <v>0</v>
      </c>
      <c r="EY123" s="36">
        <v>0</v>
      </c>
      <c r="EZ123" s="36">
        <v>0</v>
      </c>
      <c r="FA123" s="36">
        <v>0</v>
      </c>
      <c r="FB123" s="36">
        <v>0</v>
      </c>
      <c r="FC123" s="36">
        <v>0</v>
      </c>
      <c r="FD123" s="36">
        <v>0</v>
      </c>
      <c r="FE123" s="36">
        <v>0</v>
      </c>
      <c r="FF123" s="36">
        <v>0</v>
      </c>
      <c r="FG123" s="36">
        <v>0</v>
      </c>
      <c r="FH123" s="36">
        <v>0</v>
      </c>
      <c r="FI123" s="36">
        <v>0</v>
      </c>
      <c r="FJ123" s="36">
        <v>0</v>
      </c>
      <c r="FK123" s="36">
        <v>0</v>
      </c>
      <c r="FL123" s="36">
        <v>0</v>
      </c>
      <c r="FM123" s="36">
        <v>0</v>
      </c>
      <c r="FN123" s="36">
        <v>0</v>
      </c>
      <c r="FO123" s="36">
        <v>0</v>
      </c>
      <c r="FP123" s="36">
        <v>0</v>
      </c>
      <c r="FQ123" s="36">
        <v>0</v>
      </c>
      <c r="FR123" s="36">
        <v>0</v>
      </c>
      <c r="FS123" s="36">
        <v>0</v>
      </c>
      <c r="FT123" s="36">
        <v>0</v>
      </c>
      <c r="FU123" s="36">
        <v>0</v>
      </c>
      <c r="FV123" s="36">
        <v>0</v>
      </c>
      <c r="FW123" s="36">
        <v>0</v>
      </c>
      <c r="FX123" s="36">
        <v>0</v>
      </c>
      <c r="FY123" s="36">
        <v>0</v>
      </c>
      <c r="FZ123" s="36">
        <v>0</v>
      </c>
      <c r="GA123" s="36">
        <v>0</v>
      </c>
      <c r="GB123" s="36">
        <v>0</v>
      </c>
      <c r="GC123" s="36">
        <v>0</v>
      </c>
      <c r="GD123" s="36">
        <v>0</v>
      </c>
      <c r="GE123" s="36">
        <v>0</v>
      </c>
      <c r="GF123" s="36">
        <v>0</v>
      </c>
      <c r="GG123" s="42">
        <v>0</v>
      </c>
      <c r="GH123" s="42">
        <v>0</v>
      </c>
      <c r="GI123" s="42">
        <v>0</v>
      </c>
      <c r="GJ123" s="42">
        <v>0</v>
      </c>
      <c r="GK123" s="42">
        <v>0</v>
      </c>
      <c r="GL123" s="42">
        <v>0</v>
      </c>
      <c r="GM123" s="42">
        <v>0</v>
      </c>
      <c r="GN123" s="42">
        <v>0</v>
      </c>
      <c r="GO123" s="42">
        <v>0</v>
      </c>
      <c r="GP123" s="42">
        <v>0</v>
      </c>
      <c r="GQ123" s="42">
        <v>0</v>
      </c>
      <c r="GR123" s="42">
        <v>0</v>
      </c>
      <c r="GS123" s="42">
        <v>0</v>
      </c>
      <c r="GT123" s="42">
        <v>0</v>
      </c>
      <c r="GU123" s="36">
        <v>0</v>
      </c>
      <c r="GV123" s="36">
        <v>0</v>
      </c>
      <c r="GW123" s="36">
        <v>0</v>
      </c>
      <c r="GX123" s="36">
        <v>0</v>
      </c>
      <c r="GY123" s="36">
        <v>0</v>
      </c>
      <c r="GZ123" s="36">
        <v>0</v>
      </c>
      <c r="HA123" s="38">
        <v>1137.8684712953982</v>
      </c>
      <c r="HB123" s="36">
        <v>51326.618081829205</v>
      </c>
      <c r="HC123" s="36">
        <f t="shared" si="1"/>
        <v>126979.49935566314</v>
      </c>
      <c r="HD123" s="36">
        <f>SUM(DP$5:DP$213)</f>
        <v>126979.49935566314</v>
      </c>
      <c r="HE123" s="41">
        <v>0</v>
      </c>
      <c r="HG123" s="43"/>
      <c r="HH123" s="43"/>
      <c r="HI123" s="43"/>
      <c r="HJ123" s="43"/>
      <c r="HK123" s="43"/>
      <c r="HL123" s="43"/>
      <c r="HM123" s="43"/>
      <c r="HN123" s="43"/>
      <c r="HO123" s="43"/>
      <c r="HP123" s="43"/>
      <c r="HQ123" s="43"/>
      <c r="HR123" s="43"/>
      <c r="HS123" s="43"/>
      <c r="HT123" s="43"/>
    </row>
    <row r="124" spans="1:228" hidden="1" outlineLevel="1" x14ac:dyDescent="0.2">
      <c r="A124" s="9" t="s">
        <v>1507</v>
      </c>
      <c r="B124" s="36">
        <v>3314.1283087997163</v>
      </c>
      <c r="C124" s="36">
        <v>0</v>
      </c>
      <c r="D124" s="36">
        <v>0</v>
      </c>
      <c r="E124" s="36">
        <v>224.73187184516769</v>
      </c>
      <c r="F124" s="36">
        <v>319.68030768023687</v>
      </c>
      <c r="G124" s="36">
        <v>2212.2790998973624</v>
      </c>
      <c r="H124" s="36">
        <v>176.759969849783</v>
      </c>
      <c r="I124" s="36">
        <v>0</v>
      </c>
      <c r="J124" s="36">
        <v>0</v>
      </c>
      <c r="K124" s="36">
        <v>13.980018375945793</v>
      </c>
      <c r="L124" s="36">
        <v>0</v>
      </c>
      <c r="M124" s="36">
        <v>0</v>
      </c>
      <c r="N124" s="36">
        <v>0</v>
      </c>
      <c r="O124" s="36">
        <v>6.2491775924341404</v>
      </c>
      <c r="P124" s="36">
        <v>0</v>
      </c>
      <c r="Q124" s="36">
        <v>0</v>
      </c>
      <c r="R124" s="36">
        <v>0</v>
      </c>
      <c r="S124" s="36">
        <v>0</v>
      </c>
      <c r="T124" s="36">
        <v>7.0478816853964128</v>
      </c>
      <c r="U124" s="36">
        <v>15.077126901117676</v>
      </c>
      <c r="V124" s="36">
        <v>3.0255374860682935</v>
      </c>
      <c r="W124" s="36">
        <v>0</v>
      </c>
      <c r="X124" s="36">
        <v>159.38612134791083</v>
      </c>
      <c r="Y124" s="36">
        <v>3361.9088986685306</v>
      </c>
      <c r="Z124" s="36">
        <v>27262.685738205295</v>
      </c>
      <c r="AA124" s="36">
        <v>15218.833393984727</v>
      </c>
      <c r="AB124" s="36">
        <v>1148.0899454224261</v>
      </c>
      <c r="AC124" s="36">
        <v>16.160734264060871</v>
      </c>
      <c r="AD124" s="36">
        <v>129.44200494750305</v>
      </c>
      <c r="AE124" s="36">
        <v>6637.0169606041127</v>
      </c>
      <c r="AF124" s="36">
        <v>874.31399646699265</v>
      </c>
      <c r="AG124" s="36">
        <v>617.0811121274902</v>
      </c>
      <c r="AH124" s="36">
        <v>446.00778816997956</v>
      </c>
      <c r="AI124" s="36">
        <v>0</v>
      </c>
      <c r="AJ124" s="36">
        <v>0</v>
      </c>
      <c r="AK124" s="36">
        <v>0</v>
      </c>
      <c r="AL124" s="36">
        <v>0</v>
      </c>
      <c r="AM124" s="36">
        <v>0</v>
      </c>
      <c r="AN124" s="36">
        <v>0</v>
      </c>
      <c r="AO124" s="36">
        <v>0</v>
      </c>
      <c r="AP124" s="36">
        <v>0</v>
      </c>
      <c r="AQ124" s="36">
        <v>0</v>
      </c>
      <c r="AR124" s="36">
        <v>0</v>
      </c>
      <c r="AS124" s="36">
        <v>0</v>
      </c>
      <c r="AT124" s="36">
        <v>0</v>
      </c>
      <c r="AU124" s="36">
        <v>0</v>
      </c>
      <c r="AV124" s="36">
        <v>0</v>
      </c>
      <c r="AW124" s="36">
        <v>0</v>
      </c>
      <c r="AX124" s="36">
        <v>0</v>
      </c>
      <c r="AY124" s="36">
        <v>0</v>
      </c>
      <c r="AZ124" s="36">
        <v>0</v>
      </c>
      <c r="BA124" s="36">
        <v>0</v>
      </c>
      <c r="BB124" s="36">
        <v>0</v>
      </c>
      <c r="BC124" s="36">
        <v>0</v>
      </c>
      <c r="BD124" s="36">
        <v>0</v>
      </c>
      <c r="BE124" s="36">
        <v>0</v>
      </c>
      <c r="BF124" s="36">
        <v>0</v>
      </c>
      <c r="BG124" s="36">
        <v>0</v>
      </c>
      <c r="BH124" s="36">
        <v>0</v>
      </c>
      <c r="BI124" s="36">
        <v>0</v>
      </c>
      <c r="BJ124" s="36">
        <v>954.60561595341449</v>
      </c>
      <c r="BK124" s="36">
        <v>0</v>
      </c>
      <c r="BL124" s="36">
        <v>0</v>
      </c>
      <c r="BM124" s="36">
        <v>0</v>
      </c>
      <c r="BN124" s="36">
        <v>0</v>
      </c>
      <c r="BO124" s="36">
        <v>0</v>
      </c>
      <c r="BP124" s="36">
        <v>0</v>
      </c>
      <c r="BQ124" s="36">
        <v>0</v>
      </c>
      <c r="BR124" s="36">
        <v>0</v>
      </c>
      <c r="BS124" s="36">
        <v>0</v>
      </c>
      <c r="BT124" s="36">
        <v>0</v>
      </c>
      <c r="BU124" s="36">
        <v>0</v>
      </c>
      <c r="BV124" s="36">
        <v>0</v>
      </c>
      <c r="BW124" s="36">
        <v>0</v>
      </c>
      <c r="BX124" s="36">
        <v>0</v>
      </c>
      <c r="BY124" s="36">
        <v>0</v>
      </c>
      <c r="BZ124" s="36">
        <v>0</v>
      </c>
      <c r="CA124" s="36">
        <v>0</v>
      </c>
      <c r="CB124" s="36">
        <v>0</v>
      </c>
      <c r="CC124" s="36">
        <v>0</v>
      </c>
      <c r="CD124" s="36">
        <v>0</v>
      </c>
      <c r="CE124" s="36">
        <v>0</v>
      </c>
      <c r="CF124" s="36">
        <v>0</v>
      </c>
      <c r="CG124" s="36">
        <v>0</v>
      </c>
      <c r="CH124" s="36">
        <v>0</v>
      </c>
      <c r="CI124" s="36">
        <v>0</v>
      </c>
      <c r="CJ124" s="36">
        <v>0</v>
      </c>
      <c r="CK124" s="36">
        <v>0</v>
      </c>
      <c r="CL124" s="36">
        <v>0</v>
      </c>
      <c r="CM124" s="36">
        <v>0</v>
      </c>
      <c r="CN124" s="36">
        <v>0</v>
      </c>
      <c r="CO124" s="36">
        <v>0</v>
      </c>
      <c r="CP124" s="36">
        <v>0</v>
      </c>
      <c r="CQ124" s="36">
        <v>0</v>
      </c>
      <c r="CR124" s="36">
        <v>0</v>
      </c>
      <c r="CS124" s="36">
        <v>0</v>
      </c>
      <c r="CT124" s="36">
        <v>0</v>
      </c>
      <c r="CU124" s="36">
        <v>0</v>
      </c>
      <c r="CV124" s="36">
        <v>0</v>
      </c>
      <c r="CW124" s="36">
        <v>0</v>
      </c>
      <c r="CX124" s="36">
        <v>0</v>
      </c>
      <c r="CY124" s="36">
        <v>0</v>
      </c>
      <c r="CZ124" s="36">
        <v>0</v>
      </c>
      <c r="DA124" s="36">
        <v>0</v>
      </c>
      <c r="DB124" s="36">
        <v>0</v>
      </c>
      <c r="DC124" s="36">
        <v>0</v>
      </c>
      <c r="DD124" s="36">
        <v>0</v>
      </c>
      <c r="DE124" s="36">
        <v>0</v>
      </c>
      <c r="DF124" s="36">
        <v>0</v>
      </c>
      <c r="DG124" s="36">
        <v>0</v>
      </c>
      <c r="DH124" s="36">
        <v>0</v>
      </c>
      <c r="DI124" s="36">
        <v>0</v>
      </c>
      <c r="DJ124" s="36">
        <v>0</v>
      </c>
      <c r="DK124" s="36">
        <v>0</v>
      </c>
      <c r="DL124" s="36">
        <v>0</v>
      </c>
      <c r="DM124" s="36">
        <v>0</v>
      </c>
      <c r="DN124" s="36">
        <v>0</v>
      </c>
      <c r="DO124" s="36">
        <v>0</v>
      </c>
      <c r="DP124" s="36">
        <v>0</v>
      </c>
      <c r="DQ124" s="36">
        <v>0</v>
      </c>
      <c r="DR124" s="36">
        <v>0</v>
      </c>
      <c r="DS124" s="36">
        <v>0</v>
      </c>
      <c r="DT124" s="36">
        <v>0</v>
      </c>
      <c r="DU124" s="36">
        <v>0</v>
      </c>
      <c r="DV124" s="36">
        <v>0</v>
      </c>
      <c r="DW124" s="36">
        <v>0</v>
      </c>
      <c r="DX124" s="36">
        <v>0</v>
      </c>
      <c r="DY124" s="36">
        <v>0</v>
      </c>
      <c r="DZ124" s="36">
        <v>0</v>
      </c>
      <c r="EA124" s="36">
        <v>0</v>
      </c>
      <c r="EB124" s="36">
        <v>0</v>
      </c>
      <c r="EC124" s="36">
        <v>0</v>
      </c>
      <c r="ED124" s="36">
        <v>0</v>
      </c>
      <c r="EE124" s="36">
        <v>0</v>
      </c>
      <c r="EF124" s="36">
        <v>0</v>
      </c>
      <c r="EG124" s="36">
        <v>0</v>
      </c>
      <c r="EH124" s="36">
        <v>0</v>
      </c>
      <c r="EI124" s="36">
        <v>0</v>
      </c>
      <c r="EJ124" s="36">
        <v>0</v>
      </c>
      <c r="EK124" s="36">
        <v>0</v>
      </c>
      <c r="EL124" s="36">
        <v>0</v>
      </c>
      <c r="EM124" s="36">
        <v>0</v>
      </c>
      <c r="EN124" s="36">
        <v>0</v>
      </c>
      <c r="EO124" s="36">
        <v>0</v>
      </c>
      <c r="EP124" s="36">
        <v>0</v>
      </c>
      <c r="EQ124" s="36">
        <v>0</v>
      </c>
      <c r="ER124" s="36">
        <v>0</v>
      </c>
      <c r="ES124" s="36">
        <v>0</v>
      </c>
      <c r="ET124" s="36">
        <v>0</v>
      </c>
      <c r="EU124" s="36">
        <v>0</v>
      </c>
      <c r="EV124" s="36">
        <v>0</v>
      </c>
      <c r="EW124" s="36">
        <v>0</v>
      </c>
      <c r="EX124" s="36">
        <v>0</v>
      </c>
      <c r="EY124" s="36">
        <v>0</v>
      </c>
      <c r="EZ124" s="36">
        <v>0</v>
      </c>
      <c r="FA124" s="36">
        <v>0</v>
      </c>
      <c r="FB124" s="36">
        <v>0</v>
      </c>
      <c r="FC124" s="36">
        <v>0</v>
      </c>
      <c r="FD124" s="36">
        <v>0</v>
      </c>
      <c r="FE124" s="36">
        <v>0</v>
      </c>
      <c r="FF124" s="36">
        <v>0</v>
      </c>
      <c r="FG124" s="36">
        <v>0</v>
      </c>
      <c r="FH124" s="36">
        <v>0</v>
      </c>
      <c r="FI124" s="36">
        <v>0</v>
      </c>
      <c r="FJ124" s="36">
        <v>0</v>
      </c>
      <c r="FK124" s="36">
        <v>0</v>
      </c>
      <c r="FL124" s="36">
        <v>0</v>
      </c>
      <c r="FM124" s="36">
        <v>0</v>
      </c>
      <c r="FN124" s="36">
        <v>0</v>
      </c>
      <c r="FO124" s="36">
        <v>0</v>
      </c>
      <c r="FP124" s="36">
        <v>0</v>
      </c>
      <c r="FQ124" s="36">
        <v>0</v>
      </c>
      <c r="FR124" s="36">
        <v>0</v>
      </c>
      <c r="FS124" s="36">
        <v>0</v>
      </c>
      <c r="FT124" s="36">
        <v>0</v>
      </c>
      <c r="FU124" s="36">
        <v>0</v>
      </c>
      <c r="FV124" s="36">
        <v>0</v>
      </c>
      <c r="FW124" s="36">
        <v>0</v>
      </c>
      <c r="FX124" s="36">
        <v>0</v>
      </c>
      <c r="FY124" s="36">
        <v>0</v>
      </c>
      <c r="FZ124" s="36">
        <v>0</v>
      </c>
      <c r="GA124" s="36">
        <v>0</v>
      </c>
      <c r="GB124" s="36">
        <v>0</v>
      </c>
      <c r="GC124" s="36">
        <v>0</v>
      </c>
      <c r="GD124" s="36">
        <v>0</v>
      </c>
      <c r="GE124" s="36">
        <v>0</v>
      </c>
      <c r="GF124" s="36">
        <v>0</v>
      </c>
      <c r="GG124" s="42">
        <v>0</v>
      </c>
      <c r="GH124" s="42">
        <v>0</v>
      </c>
      <c r="GI124" s="42">
        <v>0</v>
      </c>
      <c r="GJ124" s="42">
        <v>0</v>
      </c>
      <c r="GK124" s="42">
        <v>0</v>
      </c>
      <c r="GL124" s="42">
        <v>0</v>
      </c>
      <c r="GM124" s="42">
        <v>0</v>
      </c>
      <c r="GN124" s="42">
        <v>0</v>
      </c>
      <c r="GO124" s="42">
        <v>0</v>
      </c>
      <c r="GP124" s="42">
        <v>0</v>
      </c>
      <c r="GQ124" s="42">
        <v>0</v>
      </c>
      <c r="GR124" s="42">
        <v>0</v>
      </c>
      <c r="GS124" s="42">
        <v>0</v>
      </c>
      <c r="GT124" s="42">
        <v>0</v>
      </c>
      <c r="GU124" s="36">
        <v>0</v>
      </c>
      <c r="GV124" s="36">
        <v>0</v>
      </c>
      <c r="GW124" s="36">
        <v>0</v>
      </c>
      <c r="GX124" s="36">
        <v>0</v>
      </c>
      <c r="GY124" s="36">
        <v>0</v>
      </c>
      <c r="GZ124" s="36">
        <v>0</v>
      </c>
      <c r="HA124" s="38">
        <v>2230.9291111458442</v>
      </c>
      <c r="HB124" s="36">
        <v>26207.118312656232</v>
      </c>
      <c r="HC124" s="36">
        <f t="shared" si="1"/>
        <v>91556.539034077738</v>
      </c>
      <c r="HD124" s="36">
        <f>SUM(DQ$5:DQ$213)</f>
        <v>91556.539034077738</v>
      </c>
      <c r="HE124" s="41">
        <v>0</v>
      </c>
      <c r="HG124" s="43"/>
      <c r="HH124" s="43"/>
      <c r="HI124" s="43"/>
      <c r="HJ124" s="43"/>
      <c r="HK124" s="43"/>
      <c r="HL124" s="43"/>
      <c r="HM124" s="43"/>
      <c r="HN124" s="43"/>
      <c r="HO124" s="43"/>
      <c r="HP124" s="43"/>
      <c r="HQ124" s="43"/>
      <c r="HR124" s="43"/>
      <c r="HS124" s="43"/>
      <c r="HT124" s="43"/>
    </row>
    <row r="125" spans="1:228" hidden="1" outlineLevel="1" x14ac:dyDescent="0.2">
      <c r="A125" s="9" t="s">
        <v>972</v>
      </c>
      <c r="B125" s="36">
        <v>0</v>
      </c>
      <c r="C125" s="36">
        <v>0</v>
      </c>
      <c r="D125" s="36">
        <v>0</v>
      </c>
      <c r="E125" s="36">
        <v>0</v>
      </c>
      <c r="F125" s="36">
        <v>0</v>
      </c>
      <c r="G125" s="36">
        <v>0</v>
      </c>
      <c r="H125" s="36">
        <v>0</v>
      </c>
      <c r="I125" s="36">
        <v>9.1159119250453369</v>
      </c>
      <c r="J125" s="36">
        <v>0</v>
      </c>
      <c r="K125" s="36">
        <v>16.996207030953748</v>
      </c>
      <c r="L125" s="36">
        <v>0</v>
      </c>
      <c r="M125" s="36">
        <v>0</v>
      </c>
      <c r="N125" s="36">
        <v>0</v>
      </c>
      <c r="O125" s="36">
        <v>20.751791010809658</v>
      </c>
      <c r="P125" s="36">
        <v>0</v>
      </c>
      <c r="Q125" s="36">
        <v>42.66171522538918</v>
      </c>
      <c r="R125" s="36">
        <v>0</v>
      </c>
      <c r="S125" s="36">
        <v>45.529528343755281</v>
      </c>
      <c r="T125" s="36">
        <v>5.7308013402309642E-2</v>
      </c>
      <c r="U125" s="36">
        <v>0</v>
      </c>
      <c r="V125" s="36">
        <v>3035.1966979408658</v>
      </c>
      <c r="W125" s="36">
        <v>0</v>
      </c>
      <c r="X125" s="36">
        <v>0.11758222479056581</v>
      </c>
      <c r="Y125" s="36">
        <v>29217.648128328892</v>
      </c>
      <c r="Z125" s="36">
        <v>4450.4623463775679</v>
      </c>
      <c r="AA125" s="36">
        <v>5943.9702170280698</v>
      </c>
      <c r="AB125" s="36">
        <v>9228.9047013845702</v>
      </c>
      <c r="AC125" s="36">
        <v>915.29914871615665</v>
      </c>
      <c r="AD125" s="36">
        <v>509.70262706272212</v>
      </c>
      <c r="AE125" s="36">
        <v>5070.3444391825251</v>
      </c>
      <c r="AF125" s="36">
        <v>227.59189609968871</v>
      </c>
      <c r="AG125" s="36">
        <v>30.770717643043554</v>
      </c>
      <c r="AH125" s="36">
        <v>5084.9779576279725</v>
      </c>
      <c r="AI125" s="36">
        <v>3.4684117587937748E-2</v>
      </c>
      <c r="AJ125" s="36">
        <v>4.0397260944419242E-2</v>
      </c>
      <c r="AK125" s="36">
        <v>5431.2166103483351</v>
      </c>
      <c r="AL125" s="36">
        <v>0</v>
      </c>
      <c r="AM125" s="36">
        <v>0</v>
      </c>
      <c r="AN125" s="36">
        <v>0</v>
      </c>
      <c r="AO125" s="36">
        <v>0</v>
      </c>
      <c r="AP125" s="36">
        <v>0</v>
      </c>
      <c r="AQ125" s="36">
        <v>0</v>
      </c>
      <c r="AR125" s="36">
        <v>0</v>
      </c>
      <c r="AS125" s="36">
        <v>0</v>
      </c>
      <c r="AT125" s="36">
        <v>0</v>
      </c>
      <c r="AU125" s="36">
        <v>0</v>
      </c>
      <c r="AV125" s="36">
        <v>0</v>
      </c>
      <c r="AW125" s="36">
        <v>0</v>
      </c>
      <c r="AX125" s="36">
        <v>0</v>
      </c>
      <c r="AY125" s="36">
        <v>0</v>
      </c>
      <c r="AZ125" s="36">
        <v>0</v>
      </c>
      <c r="BA125" s="36">
        <v>0</v>
      </c>
      <c r="BB125" s="36">
        <v>0</v>
      </c>
      <c r="BC125" s="36">
        <v>0.29067474518806541</v>
      </c>
      <c r="BD125" s="36">
        <v>0</v>
      </c>
      <c r="BE125" s="36">
        <v>0</v>
      </c>
      <c r="BF125" s="36">
        <v>0</v>
      </c>
      <c r="BG125" s="36">
        <v>0</v>
      </c>
      <c r="BH125" s="36">
        <v>0</v>
      </c>
      <c r="BI125" s="36">
        <v>0</v>
      </c>
      <c r="BJ125" s="36">
        <v>5065.9312442554638</v>
      </c>
      <c r="BK125" s="36">
        <v>0</v>
      </c>
      <c r="BL125" s="36">
        <v>0</v>
      </c>
      <c r="BM125" s="36">
        <v>0</v>
      </c>
      <c r="BN125" s="36">
        <v>0</v>
      </c>
      <c r="BO125" s="36">
        <v>0</v>
      </c>
      <c r="BP125" s="36">
        <v>0</v>
      </c>
      <c r="BQ125" s="36">
        <v>0</v>
      </c>
      <c r="BR125" s="36">
        <v>0</v>
      </c>
      <c r="BS125" s="36">
        <v>0</v>
      </c>
      <c r="BT125" s="36">
        <v>0</v>
      </c>
      <c r="BU125" s="36">
        <v>0</v>
      </c>
      <c r="BV125" s="36">
        <v>0</v>
      </c>
      <c r="BW125" s="36">
        <v>0</v>
      </c>
      <c r="BX125" s="36">
        <v>0</v>
      </c>
      <c r="BY125" s="36">
        <v>0</v>
      </c>
      <c r="BZ125" s="36">
        <v>0</v>
      </c>
      <c r="CA125" s="36">
        <v>0</v>
      </c>
      <c r="CB125" s="36">
        <v>0</v>
      </c>
      <c r="CC125" s="36">
        <v>0</v>
      </c>
      <c r="CD125" s="36">
        <v>0</v>
      </c>
      <c r="CE125" s="36">
        <v>0</v>
      </c>
      <c r="CF125" s="36">
        <v>0</v>
      </c>
      <c r="CG125" s="36">
        <v>0</v>
      </c>
      <c r="CH125" s="36">
        <v>0</v>
      </c>
      <c r="CI125" s="36">
        <v>0</v>
      </c>
      <c r="CJ125" s="36">
        <v>0</v>
      </c>
      <c r="CK125" s="36">
        <v>0</v>
      </c>
      <c r="CL125" s="36">
        <v>0</v>
      </c>
      <c r="CM125" s="36">
        <v>0</v>
      </c>
      <c r="CN125" s="36">
        <v>0</v>
      </c>
      <c r="CO125" s="36">
        <v>0</v>
      </c>
      <c r="CP125" s="36">
        <v>0</v>
      </c>
      <c r="CQ125" s="36">
        <v>0</v>
      </c>
      <c r="CR125" s="36">
        <v>0</v>
      </c>
      <c r="CS125" s="36">
        <v>0</v>
      </c>
      <c r="CT125" s="36">
        <v>0</v>
      </c>
      <c r="CU125" s="36">
        <v>0</v>
      </c>
      <c r="CV125" s="36">
        <v>0</v>
      </c>
      <c r="CW125" s="36">
        <v>0</v>
      </c>
      <c r="CX125" s="36">
        <v>0</v>
      </c>
      <c r="CY125" s="36">
        <v>0</v>
      </c>
      <c r="CZ125" s="36">
        <v>0</v>
      </c>
      <c r="DA125" s="36">
        <v>0</v>
      </c>
      <c r="DB125" s="36">
        <v>0</v>
      </c>
      <c r="DC125" s="36">
        <v>0</v>
      </c>
      <c r="DD125" s="36">
        <v>0</v>
      </c>
      <c r="DE125" s="36">
        <v>0</v>
      </c>
      <c r="DF125" s="36">
        <v>0</v>
      </c>
      <c r="DG125" s="36">
        <v>0</v>
      </c>
      <c r="DH125" s="36">
        <v>0</v>
      </c>
      <c r="DI125" s="36">
        <v>0</v>
      </c>
      <c r="DJ125" s="36">
        <v>0</v>
      </c>
      <c r="DK125" s="36">
        <v>0</v>
      </c>
      <c r="DL125" s="36">
        <v>0</v>
      </c>
      <c r="DM125" s="36">
        <v>0</v>
      </c>
      <c r="DN125" s="36">
        <v>0</v>
      </c>
      <c r="DO125" s="36">
        <v>0</v>
      </c>
      <c r="DP125" s="36">
        <v>0</v>
      </c>
      <c r="DQ125" s="36">
        <v>0</v>
      </c>
      <c r="DR125" s="36">
        <v>0</v>
      </c>
      <c r="DS125" s="36">
        <v>0</v>
      </c>
      <c r="DT125" s="36">
        <v>0</v>
      </c>
      <c r="DU125" s="36">
        <v>0</v>
      </c>
      <c r="DV125" s="36">
        <v>0</v>
      </c>
      <c r="DW125" s="36">
        <v>0</v>
      </c>
      <c r="DX125" s="36">
        <v>0</v>
      </c>
      <c r="DY125" s="36">
        <v>0</v>
      </c>
      <c r="DZ125" s="36">
        <v>0</v>
      </c>
      <c r="EA125" s="36">
        <v>0</v>
      </c>
      <c r="EB125" s="36">
        <v>0</v>
      </c>
      <c r="EC125" s="36">
        <v>0</v>
      </c>
      <c r="ED125" s="36">
        <v>0</v>
      </c>
      <c r="EE125" s="36">
        <v>0</v>
      </c>
      <c r="EF125" s="36">
        <v>0</v>
      </c>
      <c r="EG125" s="36">
        <v>0</v>
      </c>
      <c r="EH125" s="36">
        <v>0</v>
      </c>
      <c r="EI125" s="36">
        <v>0</v>
      </c>
      <c r="EJ125" s="36">
        <v>0</v>
      </c>
      <c r="EK125" s="36">
        <v>0</v>
      </c>
      <c r="EL125" s="36">
        <v>0</v>
      </c>
      <c r="EM125" s="36">
        <v>0</v>
      </c>
      <c r="EN125" s="36">
        <v>0</v>
      </c>
      <c r="EO125" s="36">
        <v>0</v>
      </c>
      <c r="EP125" s="36">
        <v>0</v>
      </c>
      <c r="EQ125" s="36">
        <v>0</v>
      </c>
      <c r="ER125" s="36">
        <v>0</v>
      </c>
      <c r="ES125" s="36">
        <v>0</v>
      </c>
      <c r="ET125" s="36">
        <v>0</v>
      </c>
      <c r="EU125" s="36">
        <v>0</v>
      </c>
      <c r="EV125" s="36">
        <v>0</v>
      </c>
      <c r="EW125" s="36">
        <v>0</v>
      </c>
      <c r="EX125" s="36">
        <v>0</v>
      </c>
      <c r="EY125" s="36">
        <v>0</v>
      </c>
      <c r="EZ125" s="36">
        <v>0</v>
      </c>
      <c r="FA125" s="36">
        <v>0</v>
      </c>
      <c r="FB125" s="36">
        <v>0</v>
      </c>
      <c r="FC125" s="36">
        <v>0</v>
      </c>
      <c r="FD125" s="36">
        <v>0</v>
      </c>
      <c r="FE125" s="36">
        <v>0</v>
      </c>
      <c r="FF125" s="36">
        <v>0</v>
      </c>
      <c r="FG125" s="36">
        <v>0</v>
      </c>
      <c r="FH125" s="36">
        <v>0</v>
      </c>
      <c r="FI125" s="36">
        <v>0</v>
      </c>
      <c r="FJ125" s="36">
        <v>0</v>
      </c>
      <c r="FK125" s="36">
        <v>0</v>
      </c>
      <c r="FL125" s="36">
        <v>0</v>
      </c>
      <c r="FM125" s="36">
        <v>0</v>
      </c>
      <c r="FN125" s="36">
        <v>0</v>
      </c>
      <c r="FO125" s="36">
        <v>0</v>
      </c>
      <c r="FP125" s="36">
        <v>0</v>
      </c>
      <c r="FQ125" s="36">
        <v>0</v>
      </c>
      <c r="FR125" s="36">
        <v>0</v>
      </c>
      <c r="FS125" s="36">
        <v>0</v>
      </c>
      <c r="FT125" s="36">
        <v>0</v>
      </c>
      <c r="FU125" s="36">
        <v>0</v>
      </c>
      <c r="FV125" s="36">
        <v>0</v>
      </c>
      <c r="FW125" s="36">
        <v>0</v>
      </c>
      <c r="FX125" s="36">
        <v>0</v>
      </c>
      <c r="FY125" s="36">
        <v>0</v>
      </c>
      <c r="FZ125" s="36">
        <v>0</v>
      </c>
      <c r="GA125" s="36">
        <v>0</v>
      </c>
      <c r="GB125" s="36">
        <v>0</v>
      </c>
      <c r="GC125" s="36">
        <v>0</v>
      </c>
      <c r="GD125" s="36">
        <v>0</v>
      </c>
      <c r="GE125" s="36">
        <v>0</v>
      </c>
      <c r="GF125" s="36">
        <v>0</v>
      </c>
      <c r="GG125" s="42">
        <v>0.25067453996767608</v>
      </c>
      <c r="GH125" s="42">
        <v>0.47908790074464541</v>
      </c>
      <c r="GI125" s="42">
        <v>0.56304650617243313</v>
      </c>
      <c r="GJ125" s="42">
        <v>0.56403037105434262</v>
      </c>
      <c r="GK125" s="42">
        <v>0.7754306037836951</v>
      </c>
      <c r="GL125" s="42">
        <v>0.9821336263643512</v>
      </c>
      <c r="GM125" s="42">
        <v>0.90339636709110449</v>
      </c>
      <c r="GN125" s="42">
        <v>1.711738147355897</v>
      </c>
      <c r="GO125" s="42">
        <v>2.7727865990967335</v>
      </c>
      <c r="GP125" s="42">
        <v>0.56741636276208096</v>
      </c>
      <c r="GQ125" s="42">
        <v>0.78600227567247383</v>
      </c>
      <c r="GR125" s="42">
        <v>0.78007204637100935</v>
      </c>
      <c r="GS125" s="42">
        <v>1.6358079589252401</v>
      </c>
      <c r="GT125" s="42">
        <v>1.1149938273402085</v>
      </c>
      <c r="GU125" s="36">
        <v>0</v>
      </c>
      <c r="GV125" s="36">
        <v>0</v>
      </c>
      <c r="GW125" s="36">
        <v>0</v>
      </c>
      <c r="GX125" s="36">
        <v>0</v>
      </c>
      <c r="GY125" s="36">
        <v>0</v>
      </c>
      <c r="GZ125" s="36">
        <v>0</v>
      </c>
      <c r="HA125" s="38">
        <v>7196.4629605740774</v>
      </c>
      <c r="HB125" s="36">
        <v>218966.10458588455</v>
      </c>
      <c r="HC125" s="36">
        <f t="shared" si="1"/>
        <v>300524.06669548509</v>
      </c>
      <c r="HD125" s="36">
        <f>SUM(DR$5:DR$213)</f>
        <v>300524.06669548509</v>
      </c>
      <c r="HE125" s="41">
        <v>0</v>
      </c>
      <c r="HG125" s="43"/>
      <c r="HH125" s="43"/>
      <c r="HI125" s="43"/>
      <c r="HJ125" s="43"/>
      <c r="HK125" s="43"/>
      <c r="HL125" s="43"/>
      <c r="HM125" s="43"/>
      <c r="HN125" s="43"/>
      <c r="HO125" s="43"/>
      <c r="HP125" s="43"/>
      <c r="HQ125" s="43"/>
      <c r="HR125" s="43"/>
      <c r="HS125" s="43"/>
      <c r="HT125" s="43"/>
    </row>
    <row r="126" spans="1:228" hidden="1" outlineLevel="1" x14ac:dyDescent="0.2">
      <c r="A126" s="9" t="s">
        <v>979</v>
      </c>
      <c r="B126" s="36">
        <v>0</v>
      </c>
      <c r="C126" s="36">
        <v>3.4616119724255423</v>
      </c>
      <c r="D126" s="36">
        <v>600.72871135609626</v>
      </c>
      <c r="E126" s="36">
        <v>0.26277092804946234</v>
      </c>
      <c r="F126" s="36">
        <v>0</v>
      </c>
      <c r="G126" s="36">
        <v>328.52163735122127</v>
      </c>
      <c r="H126" s="36">
        <v>835.48028686248642</v>
      </c>
      <c r="I126" s="36">
        <v>0</v>
      </c>
      <c r="J126" s="36">
        <v>0</v>
      </c>
      <c r="K126" s="36">
        <v>0</v>
      </c>
      <c r="L126" s="36">
        <v>0</v>
      </c>
      <c r="M126" s="36">
        <v>0</v>
      </c>
      <c r="N126" s="36">
        <v>0</v>
      </c>
      <c r="O126" s="36">
        <v>8.1709655795262357</v>
      </c>
      <c r="P126" s="36">
        <v>0</v>
      </c>
      <c r="Q126" s="36">
        <v>0</v>
      </c>
      <c r="R126" s="36">
        <v>0</v>
      </c>
      <c r="S126" s="36">
        <v>0</v>
      </c>
      <c r="T126" s="36">
        <v>0</v>
      </c>
      <c r="U126" s="36">
        <v>0</v>
      </c>
      <c r="V126" s="36">
        <v>0</v>
      </c>
      <c r="W126" s="36">
        <v>0</v>
      </c>
      <c r="X126" s="36">
        <v>0</v>
      </c>
      <c r="Y126" s="36">
        <v>1.9125741580509751E-3</v>
      </c>
      <c r="Z126" s="36">
        <v>49.062524385320735</v>
      </c>
      <c r="AA126" s="36">
        <v>304.31072637904902</v>
      </c>
      <c r="AB126" s="36">
        <v>0</v>
      </c>
      <c r="AC126" s="36">
        <v>0</v>
      </c>
      <c r="AD126" s="36">
        <v>0</v>
      </c>
      <c r="AE126" s="36">
        <v>0</v>
      </c>
      <c r="AF126" s="36">
        <v>0</v>
      </c>
      <c r="AG126" s="36">
        <v>0</v>
      </c>
      <c r="AH126" s="36">
        <v>0</v>
      </c>
      <c r="AI126" s="36">
        <v>223.05760084872946</v>
      </c>
      <c r="AJ126" s="36">
        <v>259.897988434284</v>
      </c>
      <c r="AK126" s="36">
        <v>50333.885770251924</v>
      </c>
      <c r="AL126" s="36">
        <v>0</v>
      </c>
      <c r="AM126" s="36">
        <v>0</v>
      </c>
      <c r="AN126" s="36">
        <v>0</v>
      </c>
      <c r="AO126" s="36">
        <v>0</v>
      </c>
      <c r="AP126" s="36">
        <v>0</v>
      </c>
      <c r="AQ126" s="36">
        <v>0</v>
      </c>
      <c r="AR126" s="36">
        <v>0</v>
      </c>
      <c r="AS126" s="36">
        <v>0</v>
      </c>
      <c r="AT126" s="36">
        <v>0</v>
      </c>
      <c r="AU126" s="36">
        <v>0</v>
      </c>
      <c r="AV126" s="36">
        <v>0</v>
      </c>
      <c r="AW126" s="36">
        <v>0</v>
      </c>
      <c r="AX126" s="36">
        <v>594.64250496261593</v>
      </c>
      <c r="AY126" s="36">
        <v>0</v>
      </c>
      <c r="AZ126" s="36">
        <v>0</v>
      </c>
      <c r="BA126" s="36">
        <v>0</v>
      </c>
      <c r="BB126" s="36">
        <v>0</v>
      </c>
      <c r="BC126" s="36">
        <v>311.98490147399133</v>
      </c>
      <c r="BD126" s="36">
        <v>3.3430384509156117E-3</v>
      </c>
      <c r="BE126" s="36">
        <v>6.4296039785295971</v>
      </c>
      <c r="BF126" s="36">
        <v>0</v>
      </c>
      <c r="BG126" s="36">
        <v>0</v>
      </c>
      <c r="BH126" s="36">
        <v>0</v>
      </c>
      <c r="BI126" s="36">
        <v>0</v>
      </c>
      <c r="BJ126" s="36">
        <v>6715.9288800642853</v>
      </c>
      <c r="BK126" s="36">
        <v>0</v>
      </c>
      <c r="BL126" s="36">
        <v>0</v>
      </c>
      <c r="BM126" s="36">
        <v>0</v>
      </c>
      <c r="BN126" s="36">
        <v>0</v>
      </c>
      <c r="BO126" s="36">
        <v>0</v>
      </c>
      <c r="BP126" s="36">
        <v>0</v>
      </c>
      <c r="BQ126" s="36">
        <v>0</v>
      </c>
      <c r="BR126" s="36">
        <v>0</v>
      </c>
      <c r="BS126" s="36">
        <v>0</v>
      </c>
      <c r="BT126" s="36">
        <v>0</v>
      </c>
      <c r="BU126" s="36">
        <v>0</v>
      </c>
      <c r="BV126" s="36">
        <v>0</v>
      </c>
      <c r="BW126" s="36">
        <v>0</v>
      </c>
      <c r="BX126" s="36">
        <v>0</v>
      </c>
      <c r="BY126" s="36">
        <v>0</v>
      </c>
      <c r="BZ126" s="36">
        <v>0</v>
      </c>
      <c r="CA126" s="36">
        <v>0</v>
      </c>
      <c r="CB126" s="36">
        <v>0</v>
      </c>
      <c r="CC126" s="36">
        <v>0</v>
      </c>
      <c r="CD126" s="36">
        <v>0</v>
      </c>
      <c r="CE126" s="36">
        <v>0</v>
      </c>
      <c r="CF126" s="36">
        <v>0</v>
      </c>
      <c r="CG126" s="36">
        <v>0</v>
      </c>
      <c r="CH126" s="36">
        <v>0</v>
      </c>
      <c r="CI126" s="36">
        <v>0</v>
      </c>
      <c r="CJ126" s="36">
        <v>0</v>
      </c>
      <c r="CK126" s="36">
        <v>0</v>
      </c>
      <c r="CL126" s="36">
        <v>0</v>
      </c>
      <c r="CM126" s="36">
        <v>0</v>
      </c>
      <c r="CN126" s="36">
        <v>0</v>
      </c>
      <c r="CO126" s="36">
        <v>0</v>
      </c>
      <c r="CP126" s="36">
        <v>0</v>
      </c>
      <c r="CQ126" s="36">
        <v>0</v>
      </c>
      <c r="CR126" s="36">
        <v>0</v>
      </c>
      <c r="CS126" s="36">
        <v>0</v>
      </c>
      <c r="CT126" s="36">
        <v>0</v>
      </c>
      <c r="CU126" s="36">
        <v>0</v>
      </c>
      <c r="CV126" s="36">
        <v>0</v>
      </c>
      <c r="CW126" s="36">
        <v>0</v>
      </c>
      <c r="CX126" s="36">
        <v>0</v>
      </c>
      <c r="CY126" s="36">
        <v>0</v>
      </c>
      <c r="CZ126" s="36">
        <v>0</v>
      </c>
      <c r="DA126" s="36">
        <v>0</v>
      </c>
      <c r="DB126" s="36">
        <v>0</v>
      </c>
      <c r="DC126" s="36">
        <v>0</v>
      </c>
      <c r="DD126" s="36">
        <v>0</v>
      </c>
      <c r="DE126" s="36">
        <v>0</v>
      </c>
      <c r="DF126" s="36">
        <v>0</v>
      </c>
      <c r="DG126" s="36">
        <v>0</v>
      </c>
      <c r="DH126" s="36">
        <v>0</v>
      </c>
      <c r="DI126" s="36">
        <v>0</v>
      </c>
      <c r="DJ126" s="36">
        <v>0</v>
      </c>
      <c r="DK126" s="36">
        <v>0</v>
      </c>
      <c r="DL126" s="36">
        <v>0</v>
      </c>
      <c r="DM126" s="36">
        <v>0</v>
      </c>
      <c r="DN126" s="36">
        <v>0</v>
      </c>
      <c r="DO126" s="36">
        <v>0</v>
      </c>
      <c r="DP126" s="36">
        <v>0</v>
      </c>
      <c r="DQ126" s="36">
        <v>0</v>
      </c>
      <c r="DR126" s="36">
        <v>0</v>
      </c>
      <c r="DS126" s="36">
        <v>0</v>
      </c>
      <c r="DT126" s="36">
        <v>0</v>
      </c>
      <c r="DU126" s="36">
        <v>0</v>
      </c>
      <c r="DV126" s="36">
        <v>0</v>
      </c>
      <c r="DW126" s="36">
        <v>0</v>
      </c>
      <c r="DX126" s="36">
        <v>0</v>
      </c>
      <c r="DY126" s="36">
        <v>0</v>
      </c>
      <c r="DZ126" s="36">
        <v>0</v>
      </c>
      <c r="EA126" s="36">
        <v>0</v>
      </c>
      <c r="EB126" s="36">
        <v>0</v>
      </c>
      <c r="EC126" s="36">
        <v>0</v>
      </c>
      <c r="ED126" s="36">
        <v>0</v>
      </c>
      <c r="EE126" s="36">
        <v>0</v>
      </c>
      <c r="EF126" s="36">
        <v>0</v>
      </c>
      <c r="EG126" s="36">
        <v>0</v>
      </c>
      <c r="EH126" s="36">
        <v>0</v>
      </c>
      <c r="EI126" s="36">
        <v>0</v>
      </c>
      <c r="EJ126" s="36">
        <v>0</v>
      </c>
      <c r="EK126" s="36">
        <v>0</v>
      </c>
      <c r="EL126" s="36">
        <v>0</v>
      </c>
      <c r="EM126" s="36">
        <v>0</v>
      </c>
      <c r="EN126" s="36">
        <v>0</v>
      </c>
      <c r="EO126" s="36">
        <v>0</v>
      </c>
      <c r="EP126" s="36">
        <v>0</v>
      </c>
      <c r="EQ126" s="36">
        <v>0</v>
      </c>
      <c r="ER126" s="36">
        <v>0</v>
      </c>
      <c r="ES126" s="36">
        <v>0</v>
      </c>
      <c r="ET126" s="36">
        <v>0</v>
      </c>
      <c r="EU126" s="36">
        <v>0</v>
      </c>
      <c r="EV126" s="36">
        <v>0</v>
      </c>
      <c r="EW126" s="36">
        <v>0</v>
      </c>
      <c r="EX126" s="36">
        <v>0</v>
      </c>
      <c r="EY126" s="36">
        <v>0</v>
      </c>
      <c r="EZ126" s="36">
        <v>0</v>
      </c>
      <c r="FA126" s="36">
        <v>0</v>
      </c>
      <c r="FB126" s="36">
        <v>0</v>
      </c>
      <c r="FC126" s="36">
        <v>0</v>
      </c>
      <c r="FD126" s="36">
        <v>0</v>
      </c>
      <c r="FE126" s="36">
        <v>0</v>
      </c>
      <c r="FF126" s="36">
        <v>0</v>
      </c>
      <c r="FG126" s="36">
        <v>0</v>
      </c>
      <c r="FH126" s="36">
        <v>0</v>
      </c>
      <c r="FI126" s="36">
        <v>0</v>
      </c>
      <c r="FJ126" s="36">
        <v>0</v>
      </c>
      <c r="FK126" s="36">
        <v>0</v>
      </c>
      <c r="FL126" s="36">
        <v>0</v>
      </c>
      <c r="FM126" s="36">
        <v>0</v>
      </c>
      <c r="FN126" s="36">
        <v>0</v>
      </c>
      <c r="FO126" s="36">
        <v>0</v>
      </c>
      <c r="FP126" s="36">
        <v>0</v>
      </c>
      <c r="FQ126" s="36">
        <v>0</v>
      </c>
      <c r="FR126" s="36">
        <v>0</v>
      </c>
      <c r="FS126" s="36">
        <v>0</v>
      </c>
      <c r="FT126" s="36">
        <v>0</v>
      </c>
      <c r="FU126" s="36">
        <v>0</v>
      </c>
      <c r="FV126" s="36">
        <v>0</v>
      </c>
      <c r="FW126" s="36">
        <v>0</v>
      </c>
      <c r="FX126" s="36">
        <v>0</v>
      </c>
      <c r="FY126" s="36">
        <v>0</v>
      </c>
      <c r="FZ126" s="36">
        <v>0</v>
      </c>
      <c r="GA126" s="36">
        <v>0</v>
      </c>
      <c r="GB126" s="36">
        <v>0</v>
      </c>
      <c r="GC126" s="36">
        <v>0</v>
      </c>
      <c r="GD126" s="36">
        <v>0</v>
      </c>
      <c r="GE126" s="36">
        <v>0</v>
      </c>
      <c r="GF126" s="36">
        <v>0</v>
      </c>
      <c r="GG126" s="42">
        <v>13.14441053269444</v>
      </c>
      <c r="GH126" s="42">
        <v>25.121530289619407</v>
      </c>
      <c r="GI126" s="42">
        <v>29.523997239943338</v>
      </c>
      <c r="GJ126" s="42">
        <v>29.57558733727906</v>
      </c>
      <c r="GK126" s="42">
        <v>40.660603973033403</v>
      </c>
      <c r="GL126" s="42">
        <v>51.499316941248296</v>
      </c>
      <c r="GM126" s="42">
        <v>47.370637338444553</v>
      </c>
      <c r="GN126" s="42">
        <v>89.756977059660784</v>
      </c>
      <c r="GO126" s="42">
        <v>145.39428448848781</v>
      </c>
      <c r="GP126" s="42">
        <v>29.753135743561373</v>
      </c>
      <c r="GQ126" s="42">
        <v>41.214941862078582</v>
      </c>
      <c r="GR126" s="42">
        <v>40.903983403746459</v>
      </c>
      <c r="GS126" s="42">
        <v>85.775489475456581</v>
      </c>
      <c r="GT126" s="42">
        <v>58.465995828175345</v>
      </c>
      <c r="GU126" s="36">
        <v>0</v>
      </c>
      <c r="GV126" s="36">
        <v>0</v>
      </c>
      <c r="GW126" s="36">
        <v>0</v>
      </c>
      <c r="GX126" s="36">
        <v>0</v>
      </c>
      <c r="GY126" s="36">
        <v>0</v>
      </c>
      <c r="GZ126" s="36">
        <v>0</v>
      </c>
      <c r="HA126" s="38">
        <v>2670.4137333784092</v>
      </c>
      <c r="HB126" s="36">
        <v>2635.535480671942</v>
      </c>
      <c r="HC126" s="36">
        <f t="shared" si="1"/>
        <v>66609.941846004906</v>
      </c>
      <c r="HD126" s="36">
        <f>SUM(DS$5:DS$213)</f>
        <v>66609.941846004906</v>
      </c>
      <c r="HE126" s="41">
        <v>0</v>
      </c>
      <c r="HG126" s="43"/>
      <c r="HH126" s="43"/>
      <c r="HI126" s="43"/>
      <c r="HJ126" s="43"/>
      <c r="HK126" s="43"/>
      <c r="HL126" s="43"/>
      <c r="HM126" s="43"/>
      <c r="HN126" s="43"/>
      <c r="HO126" s="43"/>
      <c r="HP126" s="43"/>
      <c r="HQ126" s="43"/>
      <c r="HR126" s="43"/>
      <c r="HS126" s="43"/>
      <c r="HT126" s="43"/>
    </row>
    <row r="127" spans="1:228" hidden="1" outlineLevel="1" x14ac:dyDescent="0.2">
      <c r="A127" s="9" t="s">
        <v>991</v>
      </c>
      <c r="B127" s="36">
        <v>0</v>
      </c>
      <c r="C127" s="36">
        <v>131.29908753972057</v>
      </c>
      <c r="D127" s="36">
        <v>366.42092172917052</v>
      </c>
      <c r="E127" s="36">
        <v>3531.0293335661495</v>
      </c>
      <c r="F127" s="36">
        <v>2446.8599721961855</v>
      </c>
      <c r="G127" s="36">
        <v>10439.39593804751</v>
      </c>
      <c r="H127" s="36">
        <v>1365.5626936828883</v>
      </c>
      <c r="I127" s="36">
        <v>4412.7798086707271</v>
      </c>
      <c r="J127" s="36">
        <v>3075.8629974725982</v>
      </c>
      <c r="K127" s="36">
        <v>200.97417732754582</v>
      </c>
      <c r="L127" s="36">
        <v>1603.3010709485102</v>
      </c>
      <c r="M127" s="36">
        <v>80.391976874609</v>
      </c>
      <c r="N127" s="36">
        <v>50.141807862412477</v>
      </c>
      <c r="O127" s="36">
        <v>788.08231537880283</v>
      </c>
      <c r="P127" s="36">
        <v>415.05374025586241</v>
      </c>
      <c r="Q127" s="36">
        <v>364.63914117239864</v>
      </c>
      <c r="R127" s="36">
        <v>1148.8930669203985</v>
      </c>
      <c r="S127" s="36">
        <v>507.80736239338228</v>
      </c>
      <c r="T127" s="36">
        <v>1859.1469081104347</v>
      </c>
      <c r="U127" s="36">
        <v>1629.947638803817</v>
      </c>
      <c r="V127" s="36">
        <v>119.65252796909748</v>
      </c>
      <c r="W127" s="36">
        <v>139.887837227126</v>
      </c>
      <c r="X127" s="36">
        <v>931.73269615087338</v>
      </c>
      <c r="Y127" s="36">
        <v>178.6767552997307</v>
      </c>
      <c r="Z127" s="36">
        <v>4359.8776150717194</v>
      </c>
      <c r="AA127" s="36">
        <v>3082.9855750427514</v>
      </c>
      <c r="AB127" s="36">
        <v>1150.1380242843179</v>
      </c>
      <c r="AC127" s="36">
        <v>484.67203497010041</v>
      </c>
      <c r="AD127" s="36">
        <v>342.24481417865178</v>
      </c>
      <c r="AE127" s="36">
        <v>3185.5989258862346</v>
      </c>
      <c r="AF127" s="36">
        <v>711.93010092660916</v>
      </c>
      <c r="AG127" s="36">
        <v>1765.0914145443628</v>
      </c>
      <c r="AH127" s="36">
        <v>589.59084407761009</v>
      </c>
      <c r="AI127" s="36">
        <v>138.80901716370872</v>
      </c>
      <c r="AJ127" s="36">
        <v>222.96366011540874</v>
      </c>
      <c r="AK127" s="36">
        <v>2931.479694192974</v>
      </c>
      <c r="AL127" s="36">
        <v>394.37272945188977</v>
      </c>
      <c r="AM127" s="36">
        <v>887.35606942068625</v>
      </c>
      <c r="AN127" s="36">
        <v>80.820359413404489</v>
      </c>
      <c r="AO127" s="36">
        <v>167.77538136971265</v>
      </c>
      <c r="AP127" s="36">
        <v>78.508534368790194</v>
      </c>
      <c r="AQ127" s="36">
        <v>0.3421504296519029</v>
      </c>
      <c r="AR127" s="36">
        <v>0.71585729406884335</v>
      </c>
      <c r="AS127" s="36">
        <v>92.251193950949713</v>
      </c>
      <c r="AT127" s="36">
        <v>38.688475759864794</v>
      </c>
      <c r="AU127" s="36">
        <v>499.08082697854326</v>
      </c>
      <c r="AV127" s="36">
        <v>0</v>
      </c>
      <c r="AW127" s="36">
        <v>0</v>
      </c>
      <c r="AX127" s="36">
        <v>3311.7620457423718</v>
      </c>
      <c r="AY127" s="36">
        <v>1.6022059604179848</v>
      </c>
      <c r="AZ127" s="36">
        <v>51.120508537402003</v>
      </c>
      <c r="BA127" s="36">
        <v>0.86646454436791409</v>
      </c>
      <c r="BB127" s="36">
        <v>47.511819771410075</v>
      </c>
      <c r="BC127" s="36">
        <v>526.06771721390419</v>
      </c>
      <c r="BD127" s="36">
        <v>1644.0130293631478</v>
      </c>
      <c r="BE127" s="36">
        <v>268.75575170323339</v>
      </c>
      <c r="BF127" s="36">
        <v>13.333713275792766</v>
      </c>
      <c r="BG127" s="36">
        <v>0.29498166456007535</v>
      </c>
      <c r="BH127" s="36">
        <v>5.4443170424789677</v>
      </c>
      <c r="BI127" s="36">
        <v>48.073502403745373</v>
      </c>
      <c r="BJ127" s="36">
        <v>7022.8166822707362</v>
      </c>
      <c r="BK127" s="36">
        <v>0</v>
      </c>
      <c r="BL127" s="36">
        <v>0</v>
      </c>
      <c r="BM127" s="36">
        <v>0</v>
      </c>
      <c r="BN127" s="36">
        <v>0</v>
      </c>
      <c r="BO127" s="36">
        <v>0</v>
      </c>
      <c r="BP127" s="36">
        <v>0</v>
      </c>
      <c r="BQ127" s="36">
        <v>0</v>
      </c>
      <c r="BR127" s="36">
        <v>0</v>
      </c>
      <c r="BS127" s="36">
        <v>0</v>
      </c>
      <c r="BT127" s="36">
        <v>0</v>
      </c>
      <c r="BU127" s="36">
        <v>0</v>
      </c>
      <c r="BV127" s="36">
        <v>0</v>
      </c>
      <c r="BW127" s="36">
        <v>0</v>
      </c>
      <c r="BX127" s="36">
        <v>0</v>
      </c>
      <c r="BY127" s="36">
        <v>0</v>
      </c>
      <c r="BZ127" s="36">
        <v>0</v>
      </c>
      <c r="CA127" s="36">
        <v>0</v>
      </c>
      <c r="CB127" s="36">
        <v>0</v>
      </c>
      <c r="CC127" s="36">
        <v>0</v>
      </c>
      <c r="CD127" s="36">
        <v>0</v>
      </c>
      <c r="CE127" s="36">
        <v>0</v>
      </c>
      <c r="CF127" s="36">
        <v>0</v>
      </c>
      <c r="CG127" s="36">
        <v>0</v>
      </c>
      <c r="CH127" s="36">
        <v>0</v>
      </c>
      <c r="CI127" s="36">
        <v>0</v>
      </c>
      <c r="CJ127" s="36">
        <v>0</v>
      </c>
      <c r="CK127" s="36">
        <v>0</v>
      </c>
      <c r="CL127" s="36">
        <v>0</v>
      </c>
      <c r="CM127" s="36">
        <v>0</v>
      </c>
      <c r="CN127" s="36">
        <v>0</v>
      </c>
      <c r="CO127" s="36">
        <v>0</v>
      </c>
      <c r="CP127" s="36">
        <v>0</v>
      </c>
      <c r="CQ127" s="36">
        <v>0</v>
      </c>
      <c r="CR127" s="36">
        <v>0</v>
      </c>
      <c r="CS127" s="36">
        <v>0</v>
      </c>
      <c r="CT127" s="36">
        <v>0</v>
      </c>
      <c r="CU127" s="36">
        <v>0</v>
      </c>
      <c r="CV127" s="36">
        <v>0</v>
      </c>
      <c r="CW127" s="36">
        <v>0</v>
      </c>
      <c r="CX127" s="36">
        <v>0</v>
      </c>
      <c r="CY127" s="36">
        <v>0</v>
      </c>
      <c r="CZ127" s="36">
        <v>0</v>
      </c>
      <c r="DA127" s="36">
        <v>0</v>
      </c>
      <c r="DB127" s="36">
        <v>0</v>
      </c>
      <c r="DC127" s="36">
        <v>0</v>
      </c>
      <c r="DD127" s="36">
        <v>0</v>
      </c>
      <c r="DE127" s="36">
        <v>0</v>
      </c>
      <c r="DF127" s="36">
        <v>0</v>
      </c>
      <c r="DG127" s="36">
        <v>0</v>
      </c>
      <c r="DH127" s="36">
        <v>0</v>
      </c>
      <c r="DI127" s="36">
        <v>0</v>
      </c>
      <c r="DJ127" s="36">
        <v>0</v>
      </c>
      <c r="DK127" s="36">
        <v>0</v>
      </c>
      <c r="DL127" s="36">
        <v>0</v>
      </c>
      <c r="DM127" s="36">
        <v>0</v>
      </c>
      <c r="DN127" s="36">
        <v>0</v>
      </c>
      <c r="DO127" s="36">
        <v>0</v>
      </c>
      <c r="DP127" s="36">
        <v>0</v>
      </c>
      <c r="DQ127" s="36">
        <v>0</v>
      </c>
      <c r="DR127" s="36">
        <v>0</v>
      </c>
      <c r="DS127" s="36">
        <v>0</v>
      </c>
      <c r="DT127" s="36">
        <v>0</v>
      </c>
      <c r="DU127" s="36">
        <v>0</v>
      </c>
      <c r="DV127" s="36">
        <v>0</v>
      </c>
      <c r="DW127" s="36">
        <v>0</v>
      </c>
      <c r="DX127" s="36">
        <v>0</v>
      </c>
      <c r="DY127" s="36">
        <v>0</v>
      </c>
      <c r="DZ127" s="36">
        <v>0</v>
      </c>
      <c r="EA127" s="36">
        <v>0</v>
      </c>
      <c r="EB127" s="36">
        <v>0</v>
      </c>
      <c r="EC127" s="36">
        <v>0</v>
      </c>
      <c r="ED127" s="36">
        <v>0</v>
      </c>
      <c r="EE127" s="36">
        <v>0</v>
      </c>
      <c r="EF127" s="36">
        <v>0</v>
      </c>
      <c r="EG127" s="36">
        <v>0</v>
      </c>
      <c r="EH127" s="36">
        <v>0</v>
      </c>
      <c r="EI127" s="36">
        <v>0</v>
      </c>
      <c r="EJ127" s="36">
        <v>0</v>
      </c>
      <c r="EK127" s="36">
        <v>0</v>
      </c>
      <c r="EL127" s="36">
        <v>0</v>
      </c>
      <c r="EM127" s="36">
        <v>0</v>
      </c>
      <c r="EN127" s="36">
        <v>0</v>
      </c>
      <c r="EO127" s="36">
        <v>0</v>
      </c>
      <c r="EP127" s="36">
        <v>0</v>
      </c>
      <c r="EQ127" s="36">
        <v>0</v>
      </c>
      <c r="ER127" s="36">
        <v>0</v>
      </c>
      <c r="ES127" s="36">
        <v>0</v>
      </c>
      <c r="ET127" s="36">
        <v>0</v>
      </c>
      <c r="EU127" s="36">
        <v>0</v>
      </c>
      <c r="EV127" s="36">
        <v>0</v>
      </c>
      <c r="EW127" s="36">
        <v>0</v>
      </c>
      <c r="EX127" s="36">
        <v>0</v>
      </c>
      <c r="EY127" s="36">
        <v>0</v>
      </c>
      <c r="EZ127" s="36">
        <v>0</v>
      </c>
      <c r="FA127" s="36">
        <v>0</v>
      </c>
      <c r="FB127" s="36">
        <v>0</v>
      </c>
      <c r="FC127" s="36">
        <v>0</v>
      </c>
      <c r="FD127" s="36">
        <v>0</v>
      </c>
      <c r="FE127" s="36">
        <v>0</v>
      </c>
      <c r="FF127" s="36">
        <v>0</v>
      </c>
      <c r="FG127" s="36">
        <v>0</v>
      </c>
      <c r="FH127" s="36">
        <v>0</v>
      </c>
      <c r="FI127" s="36">
        <v>0</v>
      </c>
      <c r="FJ127" s="36">
        <v>0</v>
      </c>
      <c r="FK127" s="36">
        <v>0</v>
      </c>
      <c r="FL127" s="36">
        <v>0</v>
      </c>
      <c r="FM127" s="36">
        <v>0</v>
      </c>
      <c r="FN127" s="36">
        <v>0</v>
      </c>
      <c r="FO127" s="36">
        <v>0</v>
      </c>
      <c r="FP127" s="36">
        <v>0</v>
      </c>
      <c r="FQ127" s="36">
        <v>0</v>
      </c>
      <c r="FR127" s="36">
        <v>0</v>
      </c>
      <c r="FS127" s="36">
        <v>0</v>
      </c>
      <c r="FT127" s="36">
        <v>0</v>
      </c>
      <c r="FU127" s="36">
        <v>0</v>
      </c>
      <c r="FV127" s="36">
        <v>0</v>
      </c>
      <c r="FW127" s="36">
        <v>0</v>
      </c>
      <c r="FX127" s="36">
        <v>0</v>
      </c>
      <c r="FY127" s="36">
        <v>0</v>
      </c>
      <c r="FZ127" s="36">
        <v>0</v>
      </c>
      <c r="GA127" s="36">
        <v>0</v>
      </c>
      <c r="GB127" s="36">
        <v>0</v>
      </c>
      <c r="GC127" s="36">
        <v>0</v>
      </c>
      <c r="GD127" s="36">
        <v>0</v>
      </c>
      <c r="GE127" s="36">
        <v>0</v>
      </c>
      <c r="GF127" s="36">
        <v>0</v>
      </c>
      <c r="GG127" s="42">
        <v>191.96092064786154</v>
      </c>
      <c r="GH127" s="42">
        <v>366.87473131516373</v>
      </c>
      <c r="GI127" s="42">
        <v>431.16834165272292</v>
      </c>
      <c r="GJ127" s="42">
        <v>431.92176323494186</v>
      </c>
      <c r="GK127" s="42">
        <v>593.8073033665064</v>
      </c>
      <c r="GL127" s="42">
        <v>752.09582568869735</v>
      </c>
      <c r="GM127" s="42">
        <v>691.80060471679178</v>
      </c>
      <c r="GN127" s="42">
        <v>1310.8105462839321</v>
      </c>
      <c r="GO127" s="42">
        <v>2123.3375690698244</v>
      </c>
      <c r="GP127" s="42">
        <v>434.51467947449015</v>
      </c>
      <c r="GQ127" s="42">
        <v>601.90285175693623</v>
      </c>
      <c r="GR127" s="42">
        <v>597.36161563256223</v>
      </c>
      <c r="GS127" s="42">
        <v>1252.6649169831103</v>
      </c>
      <c r="GT127" s="42">
        <v>853.83717724388191</v>
      </c>
      <c r="GU127" s="36">
        <v>0</v>
      </c>
      <c r="GV127" s="36">
        <v>0</v>
      </c>
      <c r="GW127" s="36">
        <v>0</v>
      </c>
      <c r="GX127" s="36">
        <v>0</v>
      </c>
      <c r="GY127" s="36">
        <v>0</v>
      </c>
      <c r="GZ127" s="36">
        <v>0</v>
      </c>
      <c r="HA127" s="38">
        <v>395.95861352914653</v>
      </c>
      <c r="HB127" s="36">
        <v>14848.68927117539</v>
      </c>
      <c r="HC127" s="36">
        <f t="shared" si="1"/>
        <v>95813.202545757507</v>
      </c>
      <c r="HD127" s="36">
        <f>SUM(DT$5:DT$213)</f>
        <v>95813.202545757507</v>
      </c>
      <c r="HE127" s="41">
        <v>0</v>
      </c>
      <c r="HG127" s="43"/>
      <c r="HH127" s="43"/>
      <c r="HI127" s="43"/>
      <c r="HJ127" s="43"/>
      <c r="HK127" s="43"/>
      <c r="HL127" s="43"/>
      <c r="HM127" s="43"/>
      <c r="HN127" s="43"/>
      <c r="HO127" s="43"/>
      <c r="HP127" s="43"/>
      <c r="HQ127" s="43"/>
      <c r="HR127" s="43"/>
      <c r="HS127" s="43"/>
      <c r="HT127" s="43"/>
    </row>
    <row r="128" spans="1:228" hidden="1" outlineLevel="1" x14ac:dyDescent="0.2">
      <c r="A128" s="9" t="s">
        <v>998</v>
      </c>
      <c r="B128" s="36">
        <v>0</v>
      </c>
      <c r="C128" s="36">
        <v>0</v>
      </c>
      <c r="D128" s="36">
        <v>0</v>
      </c>
      <c r="E128" s="36">
        <v>0</v>
      </c>
      <c r="F128" s="36">
        <v>0</v>
      </c>
      <c r="G128" s="36">
        <v>0</v>
      </c>
      <c r="H128" s="36">
        <v>0</v>
      </c>
      <c r="I128" s="36">
        <v>0</v>
      </c>
      <c r="J128" s="36">
        <v>0</v>
      </c>
      <c r="K128" s="36">
        <v>0</v>
      </c>
      <c r="L128" s="36">
        <v>0</v>
      </c>
      <c r="M128" s="36">
        <v>0</v>
      </c>
      <c r="N128" s="36">
        <v>0</v>
      </c>
      <c r="O128" s="36">
        <v>0</v>
      </c>
      <c r="P128" s="36">
        <v>0</v>
      </c>
      <c r="Q128" s="36">
        <v>0</v>
      </c>
      <c r="R128" s="36">
        <v>0</v>
      </c>
      <c r="S128" s="36">
        <v>0</v>
      </c>
      <c r="T128" s="36">
        <v>0</v>
      </c>
      <c r="U128" s="36">
        <v>0</v>
      </c>
      <c r="V128" s="36">
        <v>0.10208237906559947</v>
      </c>
      <c r="W128" s="36">
        <v>0</v>
      </c>
      <c r="X128" s="36">
        <v>0</v>
      </c>
      <c r="Y128" s="36">
        <v>1.1667804379188489</v>
      </c>
      <c r="Z128" s="36">
        <v>0.17714150016194086</v>
      </c>
      <c r="AA128" s="36">
        <v>6673.9971628720723</v>
      </c>
      <c r="AB128" s="36">
        <v>661.20437482811815</v>
      </c>
      <c r="AC128" s="36">
        <v>0</v>
      </c>
      <c r="AD128" s="36">
        <v>0</v>
      </c>
      <c r="AE128" s="36">
        <v>4223.5233464309867</v>
      </c>
      <c r="AF128" s="36">
        <v>879.24535050411851</v>
      </c>
      <c r="AG128" s="36">
        <v>0</v>
      </c>
      <c r="AH128" s="36">
        <v>0</v>
      </c>
      <c r="AI128" s="36">
        <v>1.341965169082872E-2</v>
      </c>
      <c r="AJ128" s="36">
        <v>1.5020509416440271E-2</v>
      </c>
      <c r="AK128" s="36">
        <v>3304.6655380497932</v>
      </c>
      <c r="AL128" s="36">
        <v>0</v>
      </c>
      <c r="AM128" s="36">
        <v>0</v>
      </c>
      <c r="AN128" s="36">
        <v>0</v>
      </c>
      <c r="AO128" s="36">
        <v>0</v>
      </c>
      <c r="AP128" s="36">
        <v>0</v>
      </c>
      <c r="AQ128" s="36">
        <v>0</v>
      </c>
      <c r="AR128" s="36">
        <v>0</v>
      </c>
      <c r="AS128" s="36">
        <v>0</v>
      </c>
      <c r="AT128" s="36">
        <v>0</v>
      </c>
      <c r="AU128" s="36">
        <v>0</v>
      </c>
      <c r="AV128" s="36">
        <v>0</v>
      </c>
      <c r="AW128" s="36">
        <v>0</v>
      </c>
      <c r="AX128" s="36">
        <v>0</v>
      </c>
      <c r="AY128" s="36">
        <v>0</v>
      </c>
      <c r="AZ128" s="36">
        <v>0</v>
      </c>
      <c r="BA128" s="36">
        <v>0</v>
      </c>
      <c r="BB128" s="36">
        <v>0</v>
      </c>
      <c r="BC128" s="36">
        <v>247.53651088315755</v>
      </c>
      <c r="BD128" s="36">
        <v>0</v>
      </c>
      <c r="BE128" s="36">
        <v>30.710835050791665</v>
      </c>
      <c r="BF128" s="36">
        <v>0</v>
      </c>
      <c r="BG128" s="36">
        <v>0</v>
      </c>
      <c r="BH128" s="36">
        <v>0</v>
      </c>
      <c r="BI128" s="36">
        <v>0</v>
      </c>
      <c r="BJ128" s="36">
        <v>210.50964615035639</v>
      </c>
      <c r="BK128" s="36">
        <v>0</v>
      </c>
      <c r="BL128" s="36">
        <v>0</v>
      </c>
      <c r="BM128" s="36">
        <v>0</v>
      </c>
      <c r="BN128" s="36">
        <v>0</v>
      </c>
      <c r="BO128" s="36">
        <v>0</v>
      </c>
      <c r="BP128" s="36">
        <v>0</v>
      </c>
      <c r="BQ128" s="36">
        <v>0</v>
      </c>
      <c r="BR128" s="36">
        <v>0</v>
      </c>
      <c r="BS128" s="36">
        <v>0</v>
      </c>
      <c r="BT128" s="36">
        <v>0</v>
      </c>
      <c r="BU128" s="36">
        <v>0</v>
      </c>
      <c r="BV128" s="36">
        <v>0</v>
      </c>
      <c r="BW128" s="36">
        <v>0</v>
      </c>
      <c r="BX128" s="36">
        <v>0</v>
      </c>
      <c r="BY128" s="36">
        <v>0</v>
      </c>
      <c r="BZ128" s="36">
        <v>0</v>
      </c>
      <c r="CA128" s="36">
        <v>0</v>
      </c>
      <c r="CB128" s="36">
        <v>0</v>
      </c>
      <c r="CC128" s="36">
        <v>0</v>
      </c>
      <c r="CD128" s="36">
        <v>0</v>
      </c>
      <c r="CE128" s="36">
        <v>0</v>
      </c>
      <c r="CF128" s="36">
        <v>0</v>
      </c>
      <c r="CG128" s="36">
        <v>0</v>
      </c>
      <c r="CH128" s="36">
        <v>0</v>
      </c>
      <c r="CI128" s="36">
        <v>0</v>
      </c>
      <c r="CJ128" s="36">
        <v>0</v>
      </c>
      <c r="CK128" s="36">
        <v>0</v>
      </c>
      <c r="CL128" s="36">
        <v>0</v>
      </c>
      <c r="CM128" s="36">
        <v>0</v>
      </c>
      <c r="CN128" s="36">
        <v>0</v>
      </c>
      <c r="CO128" s="36">
        <v>0</v>
      </c>
      <c r="CP128" s="36">
        <v>0</v>
      </c>
      <c r="CQ128" s="36">
        <v>0</v>
      </c>
      <c r="CR128" s="36">
        <v>0</v>
      </c>
      <c r="CS128" s="36">
        <v>0</v>
      </c>
      <c r="CT128" s="36">
        <v>0</v>
      </c>
      <c r="CU128" s="36">
        <v>0</v>
      </c>
      <c r="CV128" s="36">
        <v>0</v>
      </c>
      <c r="CW128" s="36">
        <v>0</v>
      </c>
      <c r="CX128" s="36">
        <v>0</v>
      </c>
      <c r="CY128" s="36">
        <v>0</v>
      </c>
      <c r="CZ128" s="36">
        <v>0</v>
      </c>
      <c r="DA128" s="36">
        <v>0</v>
      </c>
      <c r="DB128" s="36">
        <v>0</v>
      </c>
      <c r="DC128" s="36">
        <v>0</v>
      </c>
      <c r="DD128" s="36">
        <v>0</v>
      </c>
      <c r="DE128" s="36">
        <v>0</v>
      </c>
      <c r="DF128" s="36">
        <v>0</v>
      </c>
      <c r="DG128" s="36">
        <v>0</v>
      </c>
      <c r="DH128" s="36">
        <v>0</v>
      </c>
      <c r="DI128" s="36">
        <v>0</v>
      </c>
      <c r="DJ128" s="36">
        <v>0</v>
      </c>
      <c r="DK128" s="36">
        <v>0</v>
      </c>
      <c r="DL128" s="36">
        <v>0</v>
      </c>
      <c r="DM128" s="36">
        <v>0</v>
      </c>
      <c r="DN128" s="36">
        <v>0</v>
      </c>
      <c r="DO128" s="36">
        <v>0</v>
      </c>
      <c r="DP128" s="36">
        <v>0</v>
      </c>
      <c r="DQ128" s="36">
        <v>0</v>
      </c>
      <c r="DR128" s="36">
        <v>0</v>
      </c>
      <c r="DS128" s="36">
        <v>0</v>
      </c>
      <c r="DT128" s="36">
        <v>0</v>
      </c>
      <c r="DU128" s="36">
        <v>0</v>
      </c>
      <c r="DV128" s="36">
        <v>0</v>
      </c>
      <c r="DW128" s="36">
        <v>0</v>
      </c>
      <c r="DX128" s="36">
        <v>0</v>
      </c>
      <c r="DY128" s="36">
        <v>0</v>
      </c>
      <c r="DZ128" s="36">
        <v>0</v>
      </c>
      <c r="EA128" s="36">
        <v>0</v>
      </c>
      <c r="EB128" s="36">
        <v>0</v>
      </c>
      <c r="EC128" s="36">
        <v>0</v>
      </c>
      <c r="ED128" s="36">
        <v>0</v>
      </c>
      <c r="EE128" s="36">
        <v>0</v>
      </c>
      <c r="EF128" s="36">
        <v>0</v>
      </c>
      <c r="EG128" s="36">
        <v>0</v>
      </c>
      <c r="EH128" s="36">
        <v>0</v>
      </c>
      <c r="EI128" s="36">
        <v>0</v>
      </c>
      <c r="EJ128" s="36">
        <v>0</v>
      </c>
      <c r="EK128" s="36">
        <v>0</v>
      </c>
      <c r="EL128" s="36">
        <v>0</v>
      </c>
      <c r="EM128" s="36">
        <v>0</v>
      </c>
      <c r="EN128" s="36">
        <v>0</v>
      </c>
      <c r="EO128" s="36">
        <v>0</v>
      </c>
      <c r="EP128" s="36">
        <v>0</v>
      </c>
      <c r="EQ128" s="36">
        <v>0</v>
      </c>
      <c r="ER128" s="36">
        <v>0</v>
      </c>
      <c r="ES128" s="36">
        <v>0</v>
      </c>
      <c r="ET128" s="36">
        <v>0</v>
      </c>
      <c r="EU128" s="36">
        <v>0</v>
      </c>
      <c r="EV128" s="36">
        <v>0</v>
      </c>
      <c r="EW128" s="36">
        <v>0</v>
      </c>
      <c r="EX128" s="36">
        <v>0</v>
      </c>
      <c r="EY128" s="36">
        <v>0</v>
      </c>
      <c r="EZ128" s="36">
        <v>0</v>
      </c>
      <c r="FA128" s="36">
        <v>0</v>
      </c>
      <c r="FB128" s="36">
        <v>0</v>
      </c>
      <c r="FC128" s="36">
        <v>0</v>
      </c>
      <c r="FD128" s="36">
        <v>0</v>
      </c>
      <c r="FE128" s="36">
        <v>0</v>
      </c>
      <c r="FF128" s="36">
        <v>0</v>
      </c>
      <c r="FG128" s="36">
        <v>0</v>
      </c>
      <c r="FH128" s="36">
        <v>0</v>
      </c>
      <c r="FI128" s="36">
        <v>0</v>
      </c>
      <c r="FJ128" s="36">
        <v>0</v>
      </c>
      <c r="FK128" s="36">
        <v>0</v>
      </c>
      <c r="FL128" s="36">
        <v>0</v>
      </c>
      <c r="FM128" s="36">
        <v>0</v>
      </c>
      <c r="FN128" s="36">
        <v>0</v>
      </c>
      <c r="FO128" s="36">
        <v>0</v>
      </c>
      <c r="FP128" s="36">
        <v>0</v>
      </c>
      <c r="FQ128" s="36">
        <v>0</v>
      </c>
      <c r="FR128" s="36">
        <v>0</v>
      </c>
      <c r="FS128" s="36">
        <v>0</v>
      </c>
      <c r="FT128" s="36">
        <v>0</v>
      </c>
      <c r="FU128" s="36">
        <v>0</v>
      </c>
      <c r="FV128" s="36">
        <v>0</v>
      </c>
      <c r="FW128" s="36">
        <v>0</v>
      </c>
      <c r="FX128" s="36">
        <v>0</v>
      </c>
      <c r="FY128" s="36">
        <v>0</v>
      </c>
      <c r="FZ128" s="36">
        <v>0</v>
      </c>
      <c r="GA128" s="36">
        <v>0</v>
      </c>
      <c r="GB128" s="36">
        <v>0</v>
      </c>
      <c r="GC128" s="36">
        <v>0</v>
      </c>
      <c r="GD128" s="36">
        <v>0</v>
      </c>
      <c r="GE128" s="36">
        <v>0</v>
      </c>
      <c r="GF128" s="36">
        <v>0</v>
      </c>
      <c r="GG128" s="42">
        <v>0</v>
      </c>
      <c r="GH128" s="42">
        <v>0</v>
      </c>
      <c r="GI128" s="42">
        <v>0</v>
      </c>
      <c r="GJ128" s="42">
        <v>0</v>
      </c>
      <c r="GK128" s="42">
        <v>0</v>
      </c>
      <c r="GL128" s="42">
        <v>0</v>
      </c>
      <c r="GM128" s="42">
        <v>0</v>
      </c>
      <c r="GN128" s="42">
        <v>0</v>
      </c>
      <c r="GO128" s="42">
        <v>0</v>
      </c>
      <c r="GP128" s="42">
        <v>0</v>
      </c>
      <c r="GQ128" s="42">
        <v>0</v>
      </c>
      <c r="GR128" s="42">
        <v>0</v>
      </c>
      <c r="GS128" s="42">
        <v>0</v>
      </c>
      <c r="GT128" s="42">
        <v>0</v>
      </c>
      <c r="GU128" s="36">
        <v>0</v>
      </c>
      <c r="GV128" s="36">
        <v>0</v>
      </c>
      <c r="GW128" s="36">
        <v>0</v>
      </c>
      <c r="GX128" s="36">
        <v>0</v>
      </c>
      <c r="GY128" s="36">
        <v>0</v>
      </c>
      <c r="GZ128" s="36">
        <v>55503.351106356131</v>
      </c>
      <c r="HA128" s="38">
        <v>282.59563429477566</v>
      </c>
      <c r="HB128" s="36">
        <v>17697.540811124811</v>
      </c>
      <c r="HC128" s="36">
        <f t="shared" si="1"/>
        <v>89716.354761023365</v>
      </c>
      <c r="HD128" s="36">
        <f>SUM(DU$5:DU$213)</f>
        <v>89716.354761023365</v>
      </c>
      <c r="HE128" s="41">
        <v>0</v>
      </c>
      <c r="HG128" s="43"/>
      <c r="HH128" s="43"/>
      <c r="HI128" s="43"/>
      <c r="HJ128" s="43"/>
      <c r="HK128" s="43"/>
      <c r="HL128" s="43"/>
      <c r="HM128" s="43"/>
      <c r="HN128" s="43"/>
      <c r="HO128" s="43"/>
      <c r="HP128" s="43"/>
      <c r="HQ128" s="43"/>
      <c r="HR128" s="43"/>
      <c r="HS128" s="43"/>
      <c r="HT128" s="43"/>
    </row>
    <row r="129" spans="1:228" hidden="1" outlineLevel="1" x14ac:dyDescent="0.2">
      <c r="A129" s="9" t="s">
        <v>1017</v>
      </c>
      <c r="B129" s="36">
        <v>0</v>
      </c>
      <c r="C129" s="36">
        <v>0</v>
      </c>
      <c r="D129" s="36">
        <v>0</v>
      </c>
      <c r="E129" s="36">
        <v>126.20049331451946</v>
      </c>
      <c r="F129" s="36">
        <v>108.63060883337843</v>
      </c>
      <c r="G129" s="36">
        <v>1001.5563730979484</v>
      </c>
      <c r="H129" s="36">
        <v>12.481651175176744</v>
      </c>
      <c r="I129" s="36">
        <v>0</v>
      </c>
      <c r="J129" s="36">
        <v>0</v>
      </c>
      <c r="K129" s="36">
        <v>0</v>
      </c>
      <c r="L129" s="36">
        <v>0</v>
      </c>
      <c r="M129" s="36">
        <v>0</v>
      </c>
      <c r="N129" s="36">
        <v>0</v>
      </c>
      <c r="O129" s="36">
        <v>0</v>
      </c>
      <c r="P129" s="36">
        <v>0</v>
      </c>
      <c r="Q129" s="36">
        <v>0</v>
      </c>
      <c r="R129" s="36">
        <v>0</v>
      </c>
      <c r="S129" s="36">
        <v>0</v>
      </c>
      <c r="T129" s="36">
        <v>0</v>
      </c>
      <c r="U129" s="36">
        <v>0</v>
      </c>
      <c r="V129" s="36">
        <v>0</v>
      </c>
      <c r="W129" s="36">
        <v>0</v>
      </c>
      <c r="X129" s="36">
        <v>0</v>
      </c>
      <c r="Y129" s="36">
        <v>0</v>
      </c>
      <c r="Z129" s="36">
        <v>0</v>
      </c>
      <c r="AA129" s="36">
        <v>906.15819138442237</v>
      </c>
      <c r="AB129" s="36">
        <v>8.5990454629104526E-3</v>
      </c>
      <c r="AC129" s="36">
        <v>0</v>
      </c>
      <c r="AD129" s="36">
        <v>0</v>
      </c>
      <c r="AE129" s="36">
        <v>2.0158939193222123</v>
      </c>
      <c r="AF129" s="36">
        <v>4.5922355163635746</v>
      </c>
      <c r="AG129" s="36">
        <v>0</v>
      </c>
      <c r="AH129" s="36">
        <v>0</v>
      </c>
      <c r="AI129" s="36">
        <v>3.259349958787245E-2</v>
      </c>
      <c r="AJ129" s="36">
        <v>3.5931831056910529E-2</v>
      </c>
      <c r="AK129" s="36">
        <v>0</v>
      </c>
      <c r="AL129" s="36">
        <v>0</v>
      </c>
      <c r="AM129" s="36">
        <v>0</v>
      </c>
      <c r="AN129" s="36">
        <v>0</v>
      </c>
      <c r="AO129" s="36">
        <v>0</v>
      </c>
      <c r="AP129" s="36">
        <v>0</v>
      </c>
      <c r="AQ129" s="36">
        <v>0</v>
      </c>
      <c r="AR129" s="36">
        <v>0</v>
      </c>
      <c r="AS129" s="36">
        <v>0</v>
      </c>
      <c r="AT129" s="36">
        <v>0</v>
      </c>
      <c r="AU129" s="36">
        <v>0</v>
      </c>
      <c r="AV129" s="36">
        <v>0</v>
      </c>
      <c r="AW129" s="36">
        <v>0</v>
      </c>
      <c r="AX129" s="36">
        <v>0</v>
      </c>
      <c r="AY129" s="36">
        <v>0</v>
      </c>
      <c r="AZ129" s="36">
        <v>0</v>
      </c>
      <c r="BA129" s="36">
        <v>0</v>
      </c>
      <c r="BB129" s="36">
        <v>0</v>
      </c>
      <c r="BC129" s="36">
        <v>5.6799810830981095</v>
      </c>
      <c r="BD129" s="36">
        <v>8.0649503712620692E-3</v>
      </c>
      <c r="BE129" s="36">
        <v>0</v>
      </c>
      <c r="BF129" s="36">
        <v>86.964728358582633</v>
      </c>
      <c r="BG129" s="36">
        <v>0</v>
      </c>
      <c r="BH129" s="36">
        <v>0</v>
      </c>
      <c r="BI129" s="36">
        <v>0</v>
      </c>
      <c r="BJ129" s="36">
        <v>0</v>
      </c>
      <c r="BK129" s="36">
        <v>0</v>
      </c>
      <c r="BL129" s="36">
        <v>0</v>
      </c>
      <c r="BM129" s="36">
        <v>0</v>
      </c>
      <c r="BN129" s="36">
        <v>0</v>
      </c>
      <c r="BO129" s="36">
        <v>0</v>
      </c>
      <c r="BP129" s="36">
        <v>0</v>
      </c>
      <c r="BQ129" s="36">
        <v>0</v>
      </c>
      <c r="BR129" s="36">
        <v>0</v>
      </c>
      <c r="BS129" s="36">
        <v>0</v>
      </c>
      <c r="BT129" s="36">
        <v>0</v>
      </c>
      <c r="BU129" s="36">
        <v>0</v>
      </c>
      <c r="BV129" s="36">
        <v>0</v>
      </c>
      <c r="BW129" s="36">
        <v>0</v>
      </c>
      <c r="BX129" s="36">
        <v>0</v>
      </c>
      <c r="BY129" s="36">
        <v>0</v>
      </c>
      <c r="BZ129" s="36">
        <v>0</v>
      </c>
      <c r="CA129" s="36">
        <v>0</v>
      </c>
      <c r="CB129" s="36">
        <v>0</v>
      </c>
      <c r="CC129" s="36">
        <v>0</v>
      </c>
      <c r="CD129" s="36">
        <v>0</v>
      </c>
      <c r="CE129" s="36">
        <v>0</v>
      </c>
      <c r="CF129" s="36">
        <v>0</v>
      </c>
      <c r="CG129" s="36">
        <v>0</v>
      </c>
      <c r="CH129" s="36">
        <v>0</v>
      </c>
      <c r="CI129" s="36">
        <v>0</v>
      </c>
      <c r="CJ129" s="36">
        <v>0</v>
      </c>
      <c r="CK129" s="36">
        <v>0</v>
      </c>
      <c r="CL129" s="36">
        <v>0</v>
      </c>
      <c r="CM129" s="36">
        <v>0</v>
      </c>
      <c r="CN129" s="36">
        <v>0</v>
      </c>
      <c r="CO129" s="36">
        <v>0</v>
      </c>
      <c r="CP129" s="36">
        <v>0</v>
      </c>
      <c r="CQ129" s="36">
        <v>0</v>
      </c>
      <c r="CR129" s="36">
        <v>0</v>
      </c>
      <c r="CS129" s="36">
        <v>0</v>
      </c>
      <c r="CT129" s="36">
        <v>0</v>
      </c>
      <c r="CU129" s="36">
        <v>0</v>
      </c>
      <c r="CV129" s="36">
        <v>0</v>
      </c>
      <c r="CW129" s="36">
        <v>0</v>
      </c>
      <c r="CX129" s="36">
        <v>0</v>
      </c>
      <c r="CY129" s="36">
        <v>0</v>
      </c>
      <c r="CZ129" s="36">
        <v>0</v>
      </c>
      <c r="DA129" s="36">
        <v>0</v>
      </c>
      <c r="DB129" s="36">
        <v>0</v>
      </c>
      <c r="DC129" s="36">
        <v>0</v>
      </c>
      <c r="DD129" s="36">
        <v>0</v>
      </c>
      <c r="DE129" s="36">
        <v>0</v>
      </c>
      <c r="DF129" s="36">
        <v>0</v>
      </c>
      <c r="DG129" s="36">
        <v>0</v>
      </c>
      <c r="DH129" s="36">
        <v>0</v>
      </c>
      <c r="DI129" s="36">
        <v>0</v>
      </c>
      <c r="DJ129" s="36">
        <v>0</v>
      </c>
      <c r="DK129" s="36">
        <v>0</v>
      </c>
      <c r="DL129" s="36">
        <v>0</v>
      </c>
      <c r="DM129" s="36">
        <v>0</v>
      </c>
      <c r="DN129" s="36">
        <v>0</v>
      </c>
      <c r="DO129" s="36">
        <v>0</v>
      </c>
      <c r="DP129" s="36">
        <v>0</v>
      </c>
      <c r="DQ129" s="36">
        <v>0</v>
      </c>
      <c r="DR129" s="36">
        <v>0</v>
      </c>
      <c r="DS129" s="36">
        <v>0</v>
      </c>
      <c r="DT129" s="36">
        <v>0</v>
      </c>
      <c r="DU129" s="36">
        <v>0</v>
      </c>
      <c r="DV129" s="36">
        <v>0</v>
      </c>
      <c r="DW129" s="36">
        <v>0</v>
      </c>
      <c r="DX129" s="36">
        <v>0</v>
      </c>
      <c r="DY129" s="36">
        <v>0</v>
      </c>
      <c r="DZ129" s="36">
        <v>0</v>
      </c>
      <c r="EA129" s="36">
        <v>0</v>
      </c>
      <c r="EB129" s="36">
        <v>0</v>
      </c>
      <c r="EC129" s="36">
        <v>0</v>
      </c>
      <c r="ED129" s="36">
        <v>0</v>
      </c>
      <c r="EE129" s="36">
        <v>0</v>
      </c>
      <c r="EF129" s="36">
        <v>0</v>
      </c>
      <c r="EG129" s="36">
        <v>0</v>
      </c>
      <c r="EH129" s="36">
        <v>0</v>
      </c>
      <c r="EI129" s="36">
        <v>0</v>
      </c>
      <c r="EJ129" s="36">
        <v>0</v>
      </c>
      <c r="EK129" s="36">
        <v>0</v>
      </c>
      <c r="EL129" s="36">
        <v>0</v>
      </c>
      <c r="EM129" s="36">
        <v>0</v>
      </c>
      <c r="EN129" s="36">
        <v>0</v>
      </c>
      <c r="EO129" s="36">
        <v>0</v>
      </c>
      <c r="EP129" s="36">
        <v>0</v>
      </c>
      <c r="EQ129" s="36">
        <v>0</v>
      </c>
      <c r="ER129" s="36">
        <v>0</v>
      </c>
      <c r="ES129" s="36">
        <v>0</v>
      </c>
      <c r="ET129" s="36">
        <v>0</v>
      </c>
      <c r="EU129" s="36">
        <v>0</v>
      </c>
      <c r="EV129" s="36">
        <v>0</v>
      </c>
      <c r="EW129" s="36">
        <v>0</v>
      </c>
      <c r="EX129" s="36">
        <v>0</v>
      </c>
      <c r="EY129" s="36">
        <v>0</v>
      </c>
      <c r="EZ129" s="36">
        <v>0</v>
      </c>
      <c r="FA129" s="36">
        <v>0</v>
      </c>
      <c r="FB129" s="36">
        <v>0</v>
      </c>
      <c r="FC129" s="36">
        <v>0</v>
      </c>
      <c r="FD129" s="36">
        <v>0</v>
      </c>
      <c r="FE129" s="36">
        <v>0</v>
      </c>
      <c r="FF129" s="36">
        <v>0</v>
      </c>
      <c r="FG129" s="36">
        <v>0</v>
      </c>
      <c r="FH129" s="36">
        <v>0</v>
      </c>
      <c r="FI129" s="36">
        <v>0</v>
      </c>
      <c r="FJ129" s="36">
        <v>0</v>
      </c>
      <c r="FK129" s="36">
        <v>0</v>
      </c>
      <c r="FL129" s="36">
        <v>0</v>
      </c>
      <c r="FM129" s="36">
        <v>0</v>
      </c>
      <c r="FN129" s="36">
        <v>0</v>
      </c>
      <c r="FO129" s="36">
        <v>0</v>
      </c>
      <c r="FP129" s="36">
        <v>0</v>
      </c>
      <c r="FQ129" s="36">
        <v>0</v>
      </c>
      <c r="FR129" s="36">
        <v>0</v>
      </c>
      <c r="FS129" s="36">
        <v>0</v>
      </c>
      <c r="FT129" s="36">
        <v>0</v>
      </c>
      <c r="FU129" s="36">
        <v>0</v>
      </c>
      <c r="FV129" s="36">
        <v>0</v>
      </c>
      <c r="FW129" s="36">
        <v>0</v>
      </c>
      <c r="FX129" s="36">
        <v>0</v>
      </c>
      <c r="FY129" s="36">
        <v>0</v>
      </c>
      <c r="FZ129" s="36">
        <v>0</v>
      </c>
      <c r="GA129" s="36">
        <v>0</v>
      </c>
      <c r="GB129" s="36">
        <v>0</v>
      </c>
      <c r="GC129" s="36">
        <v>0</v>
      </c>
      <c r="GD129" s="36">
        <v>0</v>
      </c>
      <c r="GE129" s="36">
        <v>0</v>
      </c>
      <c r="GF129" s="36">
        <v>0</v>
      </c>
      <c r="GG129" s="42">
        <v>0</v>
      </c>
      <c r="GH129" s="42">
        <v>0</v>
      </c>
      <c r="GI129" s="42">
        <v>0</v>
      </c>
      <c r="GJ129" s="42">
        <v>0</v>
      </c>
      <c r="GK129" s="42">
        <v>0</v>
      </c>
      <c r="GL129" s="42">
        <v>0</v>
      </c>
      <c r="GM129" s="42">
        <v>0</v>
      </c>
      <c r="GN129" s="42">
        <v>0</v>
      </c>
      <c r="GO129" s="42">
        <v>0</v>
      </c>
      <c r="GP129" s="42">
        <v>0</v>
      </c>
      <c r="GQ129" s="42">
        <v>0</v>
      </c>
      <c r="GR129" s="42">
        <v>0</v>
      </c>
      <c r="GS129" s="42">
        <v>0</v>
      </c>
      <c r="GT129" s="42">
        <v>0</v>
      </c>
      <c r="GU129" s="36">
        <v>0</v>
      </c>
      <c r="GV129" s="36">
        <v>0</v>
      </c>
      <c r="GW129" s="36">
        <v>0</v>
      </c>
      <c r="GX129" s="36">
        <v>0</v>
      </c>
      <c r="GY129" s="36">
        <v>0</v>
      </c>
      <c r="GZ129" s="36">
        <v>17164.045495098893</v>
      </c>
      <c r="HA129" s="38">
        <v>-937.63367203210873</v>
      </c>
      <c r="HB129" s="36">
        <v>2504.0664455014007</v>
      </c>
      <c r="HC129" s="36">
        <f t="shared" si="1"/>
        <v>20984.843614577476</v>
      </c>
      <c r="HD129" s="36">
        <f>SUM(DV$5:DV$213)</f>
        <v>20984.843614577476</v>
      </c>
      <c r="HE129" s="41">
        <v>0</v>
      </c>
      <c r="HG129" s="43"/>
      <c r="HH129" s="43"/>
      <c r="HI129" s="43"/>
      <c r="HJ129" s="43"/>
      <c r="HK129" s="43"/>
      <c r="HL129" s="43"/>
      <c r="HM129" s="43"/>
      <c r="HN129" s="43"/>
      <c r="HO129" s="43"/>
      <c r="HP129" s="43"/>
      <c r="HQ129" s="43"/>
      <c r="HR129" s="43"/>
      <c r="HS129" s="43"/>
      <c r="HT129" s="43"/>
    </row>
    <row r="130" spans="1:228" hidden="1" outlineLevel="1" x14ac:dyDescent="0.2">
      <c r="A130" s="9" t="s">
        <v>1022</v>
      </c>
      <c r="B130" s="36">
        <v>0</v>
      </c>
      <c r="C130" s="36">
        <v>0</v>
      </c>
      <c r="D130" s="36">
        <v>0</v>
      </c>
      <c r="E130" s="36">
        <v>0</v>
      </c>
      <c r="F130" s="36">
        <v>0</v>
      </c>
      <c r="G130" s="36">
        <v>9104.3642839884196</v>
      </c>
      <c r="H130" s="36">
        <v>73.02024335540834</v>
      </c>
      <c r="I130" s="36">
        <v>878.02841213619854</v>
      </c>
      <c r="J130" s="36">
        <v>135.40679871317388</v>
      </c>
      <c r="K130" s="36">
        <v>147.63806989175066</v>
      </c>
      <c r="L130" s="36">
        <v>873.343569311544</v>
      </c>
      <c r="M130" s="36">
        <v>19.280903874757833</v>
      </c>
      <c r="N130" s="36">
        <v>13.964714747670481</v>
      </c>
      <c r="O130" s="36">
        <v>85.198053415046672</v>
      </c>
      <c r="P130" s="36">
        <v>424.61939726418939</v>
      </c>
      <c r="Q130" s="36">
        <v>649.18566189956346</v>
      </c>
      <c r="R130" s="36">
        <v>65.846154521621926</v>
      </c>
      <c r="S130" s="36">
        <v>1205.6015130470591</v>
      </c>
      <c r="T130" s="36">
        <v>234.43448668685056</v>
      </c>
      <c r="U130" s="36">
        <v>195.1129992628278</v>
      </c>
      <c r="V130" s="36">
        <v>292.94382089493212</v>
      </c>
      <c r="W130" s="36">
        <v>105.32633375545028</v>
      </c>
      <c r="X130" s="36">
        <v>190.05303048538485</v>
      </c>
      <c r="Y130" s="36">
        <v>2105.199172036499</v>
      </c>
      <c r="Z130" s="36">
        <v>702.5275169777226</v>
      </c>
      <c r="AA130" s="36">
        <v>5422.7179025718988</v>
      </c>
      <c r="AB130" s="36">
        <v>433.06323302345061</v>
      </c>
      <c r="AC130" s="36">
        <v>89.296401001000689</v>
      </c>
      <c r="AD130" s="36">
        <v>55.035471927055426</v>
      </c>
      <c r="AE130" s="36">
        <v>750.39149340300946</v>
      </c>
      <c r="AF130" s="36">
        <v>54.970671237331125</v>
      </c>
      <c r="AG130" s="36">
        <v>79.853872782286146</v>
      </c>
      <c r="AH130" s="36">
        <v>19.475044308350629</v>
      </c>
      <c r="AI130" s="36">
        <v>1.6162405364634125</v>
      </c>
      <c r="AJ130" s="36">
        <v>2.030927344650741</v>
      </c>
      <c r="AK130" s="36">
        <v>0</v>
      </c>
      <c r="AL130" s="36">
        <v>0</v>
      </c>
      <c r="AM130" s="36">
        <v>0</v>
      </c>
      <c r="AN130" s="36">
        <v>0</v>
      </c>
      <c r="AO130" s="36">
        <v>0</v>
      </c>
      <c r="AP130" s="36">
        <v>0</v>
      </c>
      <c r="AQ130" s="36">
        <v>0</v>
      </c>
      <c r="AR130" s="36">
        <v>0</v>
      </c>
      <c r="AS130" s="36">
        <v>0</v>
      </c>
      <c r="AT130" s="36">
        <v>0</v>
      </c>
      <c r="AU130" s="36">
        <v>0</v>
      </c>
      <c r="AV130" s="36">
        <v>0</v>
      </c>
      <c r="AW130" s="36">
        <v>0</v>
      </c>
      <c r="AX130" s="36">
        <v>10.339143957052361</v>
      </c>
      <c r="AY130" s="36">
        <v>0</v>
      </c>
      <c r="AZ130" s="36">
        <v>0</v>
      </c>
      <c r="BA130" s="36">
        <v>0</v>
      </c>
      <c r="BB130" s="36">
        <v>0</v>
      </c>
      <c r="BC130" s="36">
        <v>229.18179013829499</v>
      </c>
      <c r="BD130" s="36">
        <v>2.4025878171685309E-2</v>
      </c>
      <c r="BE130" s="36">
        <v>28.435037658543195</v>
      </c>
      <c r="BF130" s="36">
        <v>0</v>
      </c>
      <c r="BG130" s="36">
        <v>0</v>
      </c>
      <c r="BH130" s="36">
        <v>0</v>
      </c>
      <c r="BI130" s="36">
        <v>0</v>
      </c>
      <c r="BJ130" s="36">
        <v>1812.0101143128691</v>
      </c>
      <c r="BK130" s="36">
        <v>0</v>
      </c>
      <c r="BL130" s="36">
        <v>0</v>
      </c>
      <c r="BM130" s="36">
        <v>0</v>
      </c>
      <c r="BN130" s="36">
        <v>0</v>
      </c>
      <c r="BO130" s="36">
        <v>0</v>
      </c>
      <c r="BP130" s="36">
        <v>0</v>
      </c>
      <c r="BQ130" s="36">
        <v>0</v>
      </c>
      <c r="BR130" s="36">
        <v>0</v>
      </c>
      <c r="BS130" s="36">
        <v>0</v>
      </c>
      <c r="BT130" s="36">
        <v>0</v>
      </c>
      <c r="BU130" s="36">
        <v>0</v>
      </c>
      <c r="BV130" s="36">
        <v>0</v>
      </c>
      <c r="BW130" s="36">
        <v>0</v>
      </c>
      <c r="BX130" s="36">
        <v>0</v>
      </c>
      <c r="BY130" s="36">
        <v>0</v>
      </c>
      <c r="BZ130" s="36">
        <v>0</v>
      </c>
      <c r="CA130" s="36">
        <v>0</v>
      </c>
      <c r="CB130" s="36">
        <v>0</v>
      </c>
      <c r="CC130" s="36">
        <v>0</v>
      </c>
      <c r="CD130" s="36">
        <v>0</v>
      </c>
      <c r="CE130" s="36">
        <v>0</v>
      </c>
      <c r="CF130" s="36">
        <v>0</v>
      </c>
      <c r="CG130" s="36">
        <v>0</v>
      </c>
      <c r="CH130" s="36">
        <v>0</v>
      </c>
      <c r="CI130" s="36">
        <v>0</v>
      </c>
      <c r="CJ130" s="36">
        <v>0</v>
      </c>
      <c r="CK130" s="36">
        <v>0</v>
      </c>
      <c r="CL130" s="36">
        <v>0</v>
      </c>
      <c r="CM130" s="36">
        <v>0</v>
      </c>
      <c r="CN130" s="36">
        <v>0</v>
      </c>
      <c r="CO130" s="36">
        <v>0</v>
      </c>
      <c r="CP130" s="36">
        <v>0</v>
      </c>
      <c r="CQ130" s="36">
        <v>0</v>
      </c>
      <c r="CR130" s="36">
        <v>0</v>
      </c>
      <c r="CS130" s="36">
        <v>0</v>
      </c>
      <c r="CT130" s="36">
        <v>0</v>
      </c>
      <c r="CU130" s="36">
        <v>0</v>
      </c>
      <c r="CV130" s="36">
        <v>0</v>
      </c>
      <c r="CW130" s="36">
        <v>0</v>
      </c>
      <c r="CX130" s="36">
        <v>0</v>
      </c>
      <c r="CY130" s="36">
        <v>0</v>
      </c>
      <c r="CZ130" s="36">
        <v>0</v>
      </c>
      <c r="DA130" s="36">
        <v>0</v>
      </c>
      <c r="DB130" s="36">
        <v>0</v>
      </c>
      <c r="DC130" s="36">
        <v>0</v>
      </c>
      <c r="DD130" s="36">
        <v>0</v>
      </c>
      <c r="DE130" s="36">
        <v>0</v>
      </c>
      <c r="DF130" s="36">
        <v>0</v>
      </c>
      <c r="DG130" s="36">
        <v>0</v>
      </c>
      <c r="DH130" s="36">
        <v>0</v>
      </c>
      <c r="DI130" s="36">
        <v>0</v>
      </c>
      <c r="DJ130" s="36">
        <v>0</v>
      </c>
      <c r="DK130" s="36">
        <v>0</v>
      </c>
      <c r="DL130" s="36">
        <v>0</v>
      </c>
      <c r="DM130" s="36">
        <v>0</v>
      </c>
      <c r="DN130" s="36">
        <v>0</v>
      </c>
      <c r="DO130" s="36">
        <v>0</v>
      </c>
      <c r="DP130" s="36">
        <v>0</v>
      </c>
      <c r="DQ130" s="36">
        <v>0</v>
      </c>
      <c r="DR130" s="36">
        <v>0</v>
      </c>
      <c r="DS130" s="36">
        <v>0</v>
      </c>
      <c r="DT130" s="36">
        <v>0</v>
      </c>
      <c r="DU130" s="36">
        <v>0</v>
      </c>
      <c r="DV130" s="36">
        <v>0</v>
      </c>
      <c r="DW130" s="36">
        <v>0</v>
      </c>
      <c r="DX130" s="36">
        <v>0</v>
      </c>
      <c r="DY130" s="36">
        <v>0</v>
      </c>
      <c r="DZ130" s="36">
        <v>0</v>
      </c>
      <c r="EA130" s="36">
        <v>0</v>
      </c>
      <c r="EB130" s="36">
        <v>0</v>
      </c>
      <c r="EC130" s="36">
        <v>0</v>
      </c>
      <c r="ED130" s="36">
        <v>0</v>
      </c>
      <c r="EE130" s="36">
        <v>0</v>
      </c>
      <c r="EF130" s="36">
        <v>0</v>
      </c>
      <c r="EG130" s="36">
        <v>0</v>
      </c>
      <c r="EH130" s="36">
        <v>0</v>
      </c>
      <c r="EI130" s="36">
        <v>0</v>
      </c>
      <c r="EJ130" s="36">
        <v>0</v>
      </c>
      <c r="EK130" s="36">
        <v>0</v>
      </c>
      <c r="EL130" s="36">
        <v>0</v>
      </c>
      <c r="EM130" s="36">
        <v>0</v>
      </c>
      <c r="EN130" s="36">
        <v>0</v>
      </c>
      <c r="EO130" s="36">
        <v>0</v>
      </c>
      <c r="EP130" s="36">
        <v>0</v>
      </c>
      <c r="EQ130" s="36">
        <v>0</v>
      </c>
      <c r="ER130" s="36">
        <v>0</v>
      </c>
      <c r="ES130" s="36">
        <v>0</v>
      </c>
      <c r="ET130" s="36">
        <v>0</v>
      </c>
      <c r="EU130" s="36">
        <v>0</v>
      </c>
      <c r="EV130" s="36">
        <v>0</v>
      </c>
      <c r="EW130" s="36">
        <v>0</v>
      </c>
      <c r="EX130" s="36">
        <v>0</v>
      </c>
      <c r="EY130" s="36">
        <v>0</v>
      </c>
      <c r="EZ130" s="36">
        <v>0</v>
      </c>
      <c r="FA130" s="36">
        <v>0</v>
      </c>
      <c r="FB130" s="36">
        <v>0</v>
      </c>
      <c r="FC130" s="36">
        <v>0</v>
      </c>
      <c r="FD130" s="36">
        <v>0</v>
      </c>
      <c r="FE130" s="36">
        <v>0</v>
      </c>
      <c r="FF130" s="36">
        <v>0</v>
      </c>
      <c r="FG130" s="36">
        <v>0</v>
      </c>
      <c r="FH130" s="36">
        <v>0</v>
      </c>
      <c r="FI130" s="36">
        <v>0</v>
      </c>
      <c r="FJ130" s="36">
        <v>0</v>
      </c>
      <c r="FK130" s="36">
        <v>0</v>
      </c>
      <c r="FL130" s="36">
        <v>0</v>
      </c>
      <c r="FM130" s="36">
        <v>0</v>
      </c>
      <c r="FN130" s="36">
        <v>0</v>
      </c>
      <c r="FO130" s="36">
        <v>0</v>
      </c>
      <c r="FP130" s="36">
        <v>0</v>
      </c>
      <c r="FQ130" s="36">
        <v>0</v>
      </c>
      <c r="FR130" s="36">
        <v>0</v>
      </c>
      <c r="FS130" s="36">
        <v>0</v>
      </c>
      <c r="FT130" s="36">
        <v>0</v>
      </c>
      <c r="FU130" s="36">
        <v>0</v>
      </c>
      <c r="FV130" s="36">
        <v>0</v>
      </c>
      <c r="FW130" s="36">
        <v>0</v>
      </c>
      <c r="FX130" s="36">
        <v>0</v>
      </c>
      <c r="FY130" s="36">
        <v>0</v>
      </c>
      <c r="FZ130" s="36">
        <v>0</v>
      </c>
      <c r="GA130" s="36">
        <v>0</v>
      </c>
      <c r="GB130" s="36">
        <v>0</v>
      </c>
      <c r="GC130" s="36">
        <v>0</v>
      </c>
      <c r="GD130" s="36">
        <v>0</v>
      </c>
      <c r="GE130" s="36">
        <v>0</v>
      </c>
      <c r="GF130" s="36">
        <v>0</v>
      </c>
      <c r="GG130" s="42">
        <v>9.9507546077887754E-2</v>
      </c>
      <c r="GH130" s="42">
        <v>0.66871055026463622</v>
      </c>
      <c r="GI130" s="42">
        <v>0.34643238721211406</v>
      </c>
      <c r="GJ130" s="42">
        <v>3.2072787895749473</v>
      </c>
      <c r="GK130" s="42">
        <v>0.97555389334114395</v>
      </c>
      <c r="GL130" s="42">
        <v>2.2543417618060024</v>
      </c>
      <c r="GM130" s="42">
        <v>4.0072659068837426</v>
      </c>
      <c r="GN130" s="42">
        <v>27.608111871244031</v>
      </c>
      <c r="GO130" s="42">
        <v>36.499611320529084</v>
      </c>
      <c r="GP130" s="42">
        <v>15.173509760416376</v>
      </c>
      <c r="GQ130" s="42">
        <v>9.3700977552466025</v>
      </c>
      <c r="GR130" s="42">
        <v>23.566903342441954</v>
      </c>
      <c r="GS130" s="42">
        <v>43.386686698975041</v>
      </c>
      <c r="GT130" s="42">
        <v>107.23276940865989</v>
      </c>
      <c r="GU130" s="36">
        <v>0</v>
      </c>
      <c r="GV130" s="36">
        <v>0</v>
      </c>
      <c r="GW130" s="36">
        <v>0</v>
      </c>
      <c r="GX130" s="36">
        <v>0</v>
      </c>
      <c r="GY130" s="36">
        <v>0</v>
      </c>
      <c r="GZ130" s="36">
        <v>28050.065060717105</v>
      </c>
      <c r="HA130" s="38">
        <v>-22.241380612380453</v>
      </c>
      <c r="HB130" s="36">
        <v>27412.341393466173</v>
      </c>
      <c r="HC130" s="36">
        <f t="shared" si="1"/>
        <v>82204.09836091008</v>
      </c>
      <c r="HD130" s="36">
        <f>SUM(DW$5:DW$213)</f>
        <v>82204.098360910066</v>
      </c>
      <c r="HE130" s="41">
        <v>0</v>
      </c>
      <c r="HG130" s="43"/>
      <c r="HH130" s="43"/>
      <c r="HI130" s="43"/>
      <c r="HJ130" s="43"/>
      <c r="HK130" s="43"/>
      <c r="HL130" s="43"/>
      <c r="HM130" s="43"/>
      <c r="HN130" s="43"/>
      <c r="HO130" s="43"/>
      <c r="HP130" s="43"/>
      <c r="HQ130" s="43"/>
      <c r="HR130" s="43"/>
      <c r="HS130" s="43"/>
      <c r="HT130" s="43"/>
    </row>
    <row r="131" spans="1:228" hidden="1" outlineLevel="1" x14ac:dyDescent="0.2">
      <c r="A131" s="9" t="s">
        <v>1029</v>
      </c>
      <c r="B131" s="36">
        <v>0</v>
      </c>
      <c r="C131" s="36">
        <v>3142.3923446107624</v>
      </c>
      <c r="D131" s="36">
        <v>0</v>
      </c>
      <c r="E131" s="36">
        <v>2269.8654089215779</v>
      </c>
      <c r="F131" s="36">
        <v>5516.6679538446215</v>
      </c>
      <c r="G131" s="36">
        <v>17165.541110823284</v>
      </c>
      <c r="H131" s="36">
        <v>3254.869235522493</v>
      </c>
      <c r="I131" s="36">
        <v>0</v>
      </c>
      <c r="J131" s="36">
        <v>0</v>
      </c>
      <c r="K131" s="36">
        <v>0</v>
      </c>
      <c r="L131" s="36">
        <v>0</v>
      </c>
      <c r="M131" s="36">
        <v>0</v>
      </c>
      <c r="N131" s="36">
        <v>0</v>
      </c>
      <c r="O131" s="36">
        <v>0</v>
      </c>
      <c r="P131" s="36">
        <v>0</v>
      </c>
      <c r="Q131" s="36">
        <v>3.1472964090087173E-2</v>
      </c>
      <c r="R131" s="36">
        <v>0</v>
      </c>
      <c r="S131" s="36">
        <v>0</v>
      </c>
      <c r="T131" s="36">
        <v>0</v>
      </c>
      <c r="U131" s="36">
        <v>0</v>
      </c>
      <c r="V131" s="36">
        <v>38.657752549894113</v>
      </c>
      <c r="W131" s="36">
        <v>0</v>
      </c>
      <c r="X131" s="36">
        <v>0</v>
      </c>
      <c r="Y131" s="36">
        <v>9.2325886642797421</v>
      </c>
      <c r="Z131" s="36">
        <v>996.37301251976351</v>
      </c>
      <c r="AA131" s="36">
        <v>14846.579123948617</v>
      </c>
      <c r="AB131" s="36">
        <v>489.65640527327179</v>
      </c>
      <c r="AC131" s="36">
        <v>0</v>
      </c>
      <c r="AD131" s="36">
        <v>20.636621296180856</v>
      </c>
      <c r="AE131" s="36">
        <v>18.922446328816001</v>
      </c>
      <c r="AF131" s="36">
        <v>24.488391905009067</v>
      </c>
      <c r="AG131" s="36">
        <v>0</v>
      </c>
      <c r="AH131" s="36">
        <v>0</v>
      </c>
      <c r="AI131" s="36">
        <v>21.223892544083999</v>
      </c>
      <c r="AJ131" s="36">
        <v>25.479100475411656</v>
      </c>
      <c r="AK131" s="36">
        <v>0</v>
      </c>
      <c r="AL131" s="36">
        <v>0</v>
      </c>
      <c r="AM131" s="36">
        <v>0</v>
      </c>
      <c r="AN131" s="36">
        <v>0</v>
      </c>
      <c r="AO131" s="36">
        <v>0</v>
      </c>
      <c r="AP131" s="36">
        <v>0</v>
      </c>
      <c r="AQ131" s="36">
        <v>0</v>
      </c>
      <c r="AR131" s="36">
        <v>0</v>
      </c>
      <c r="AS131" s="36">
        <v>0</v>
      </c>
      <c r="AT131" s="36">
        <v>0</v>
      </c>
      <c r="AU131" s="36">
        <v>0</v>
      </c>
      <c r="AV131" s="36">
        <v>0</v>
      </c>
      <c r="AW131" s="36">
        <v>0</v>
      </c>
      <c r="AX131" s="36">
        <v>54.106238490750535</v>
      </c>
      <c r="AY131" s="36">
        <v>0</v>
      </c>
      <c r="AZ131" s="36">
        <v>0</v>
      </c>
      <c r="BA131" s="36">
        <v>0</v>
      </c>
      <c r="BB131" s="36">
        <v>0</v>
      </c>
      <c r="BC131" s="36">
        <v>474.60423109263809</v>
      </c>
      <c r="BD131" s="36">
        <v>49.192820773845845</v>
      </c>
      <c r="BE131" s="36">
        <v>74.161722406497447</v>
      </c>
      <c r="BF131" s="36">
        <v>0</v>
      </c>
      <c r="BG131" s="36">
        <v>0</v>
      </c>
      <c r="BH131" s="36">
        <v>0</v>
      </c>
      <c r="BI131" s="36">
        <v>0</v>
      </c>
      <c r="BJ131" s="36">
        <v>44.275489738493398</v>
      </c>
      <c r="BK131" s="36">
        <v>0</v>
      </c>
      <c r="BL131" s="36">
        <v>0</v>
      </c>
      <c r="BM131" s="36">
        <v>0</v>
      </c>
      <c r="BN131" s="36">
        <v>0</v>
      </c>
      <c r="BO131" s="36">
        <v>0</v>
      </c>
      <c r="BP131" s="36">
        <v>0</v>
      </c>
      <c r="BQ131" s="36">
        <v>0</v>
      </c>
      <c r="BR131" s="36">
        <v>0</v>
      </c>
      <c r="BS131" s="36">
        <v>0</v>
      </c>
      <c r="BT131" s="36">
        <v>0</v>
      </c>
      <c r="BU131" s="36">
        <v>0</v>
      </c>
      <c r="BV131" s="36">
        <v>0</v>
      </c>
      <c r="BW131" s="36">
        <v>0</v>
      </c>
      <c r="BX131" s="36">
        <v>0</v>
      </c>
      <c r="BY131" s="36">
        <v>0</v>
      </c>
      <c r="BZ131" s="36">
        <v>0</v>
      </c>
      <c r="CA131" s="36">
        <v>0</v>
      </c>
      <c r="CB131" s="36">
        <v>0</v>
      </c>
      <c r="CC131" s="36">
        <v>0</v>
      </c>
      <c r="CD131" s="36">
        <v>0</v>
      </c>
      <c r="CE131" s="36">
        <v>0</v>
      </c>
      <c r="CF131" s="36">
        <v>0</v>
      </c>
      <c r="CG131" s="36">
        <v>0</v>
      </c>
      <c r="CH131" s="36">
        <v>0</v>
      </c>
      <c r="CI131" s="36">
        <v>0</v>
      </c>
      <c r="CJ131" s="36">
        <v>0</v>
      </c>
      <c r="CK131" s="36">
        <v>0</v>
      </c>
      <c r="CL131" s="36">
        <v>0</v>
      </c>
      <c r="CM131" s="36">
        <v>0</v>
      </c>
      <c r="CN131" s="36">
        <v>0</v>
      </c>
      <c r="CO131" s="36">
        <v>0</v>
      </c>
      <c r="CP131" s="36">
        <v>0</v>
      </c>
      <c r="CQ131" s="36">
        <v>0</v>
      </c>
      <c r="CR131" s="36">
        <v>0</v>
      </c>
      <c r="CS131" s="36">
        <v>0</v>
      </c>
      <c r="CT131" s="36">
        <v>0</v>
      </c>
      <c r="CU131" s="36">
        <v>0</v>
      </c>
      <c r="CV131" s="36">
        <v>0</v>
      </c>
      <c r="CW131" s="36">
        <v>0</v>
      </c>
      <c r="CX131" s="36">
        <v>0</v>
      </c>
      <c r="CY131" s="36">
        <v>0</v>
      </c>
      <c r="CZ131" s="36">
        <v>0</v>
      </c>
      <c r="DA131" s="36">
        <v>0</v>
      </c>
      <c r="DB131" s="36">
        <v>0</v>
      </c>
      <c r="DC131" s="36">
        <v>0</v>
      </c>
      <c r="DD131" s="36">
        <v>0</v>
      </c>
      <c r="DE131" s="36">
        <v>0</v>
      </c>
      <c r="DF131" s="36">
        <v>0</v>
      </c>
      <c r="DG131" s="36">
        <v>0</v>
      </c>
      <c r="DH131" s="36">
        <v>0</v>
      </c>
      <c r="DI131" s="36">
        <v>0</v>
      </c>
      <c r="DJ131" s="36">
        <v>0</v>
      </c>
      <c r="DK131" s="36">
        <v>0</v>
      </c>
      <c r="DL131" s="36">
        <v>0</v>
      </c>
      <c r="DM131" s="36">
        <v>0</v>
      </c>
      <c r="DN131" s="36">
        <v>0</v>
      </c>
      <c r="DO131" s="36">
        <v>0</v>
      </c>
      <c r="DP131" s="36">
        <v>0</v>
      </c>
      <c r="DQ131" s="36">
        <v>0</v>
      </c>
      <c r="DR131" s="36">
        <v>0</v>
      </c>
      <c r="DS131" s="36">
        <v>0</v>
      </c>
      <c r="DT131" s="36">
        <v>0</v>
      </c>
      <c r="DU131" s="36">
        <v>0</v>
      </c>
      <c r="DV131" s="36">
        <v>0</v>
      </c>
      <c r="DW131" s="36">
        <v>0</v>
      </c>
      <c r="DX131" s="36">
        <v>0</v>
      </c>
      <c r="DY131" s="36">
        <v>0</v>
      </c>
      <c r="DZ131" s="36">
        <v>0</v>
      </c>
      <c r="EA131" s="36">
        <v>0</v>
      </c>
      <c r="EB131" s="36">
        <v>0</v>
      </c>
      <c r="EC131" s="36">
        <v>0</v>
      </c>
      <c r="ED131" s="36">
        <v>0</v>
      </c>
      <c r="EE131" s="36">
        <v>0</v>
      </c>
      <c r="EF131" s="36">
        <v>0</v>
      </c>
      <c r="EG131" s="36">
        <v>0</v>
      </c>
      <c r="EH131" s="36">
        <v>0</v>
      </c>
      <c r="EI131" s="36">
        <v>0</v>
      </c>
      <c r="EJ131" s="36">
        <v>0</v>
      </c>
      <c r="EK131" s="36">
        <v>0</v>
      </c>
      <c r="EL131" s="36">
        <v>0</v>
      </c>
      <c r="EM131" s="36">
        <v>0</v>
      </c>
      <c r="EN131" s="36">
        <v>0</v>
      </c>
      <c r="EO131" s="36">
        <v>0</v>
      </c>
      <c r="EP131" s="36">
        <v>0</v>
      </c>
      <c r="EQ131" s="36">
        <v>0</v>
      </c>
      <c r="ER131" s="36">
        <v>0</v>
      </c>
      <c r="ES131" s="36">
        <v>0</v>
      </c>
      <c r="ET131" s="36">
        <v>0</v>
      </c>
      <c r="EU131" s="36">
        <v>0</v>
      </c>
      <c r="EV131" s="36">
        <v>0</v>
      </c>
      <c r="EW131" s="36">
        <v>0</v>
      </c>
      <c r="EX131" s="36">
        <v>0</v>
      </c>
      <c r="EY131" s="36">
        <v>0</v>
      </c>
      <c r="EZ131" s="36">
        <v>0</v>
      </c>
      <c r="FA131" s="36">
        <v>0</v>
      </c>
      <c r="FB131" s="36">
        <v>0</v>
      </c>
      <c r="FC131" s="36">
        <v>0</v>
      </c>
      <c r="FD131" s="36">
        <v>0</v>
      </c>
      <c r="FE131" s="36">
        <v>0</v>
      </c>
      <c r="FF131" s="36">
        <v>0</v>
      </c>
      <c r="FG131" s="36">
        <v>0</v>
      </c>
      <c r="FH131" s="36">
        <v>0</v>
      </c>
      <c r="FI131" s="36">
        <v>0</v>
      </c>
      <c r="FJ131" s="36">
        <v>0</v>
      </c>
      <c r="FK131" s="36">
        <v>0</v>
      </c>
      <c r="FL131" s="36">
        <v>0</v>
      </c>
      <c r="FM131" s="36">
        <v>0</v>
      </c>
      <c r="FN131" s="36">
        <v>0</v>
      </c>
      <c r="FO131" s="36">
        <v>0</v>
      </c>
      <c r="FP131" s="36">
        <v>0</v>
      </c>
      <c r="FQ131" s="36">
        <v>0</v>
      </c>
      <c r="FR131" s="36">
        <v>0</v>
      </c>
      <c r="FS131" s="36">
        <v>0</v>
      </c>
      <c r="FT131" s="36">
        <v>0</v>
      </c>
      <c r="FU131" s="36">
        <v>0</v>
      </c>
      <c r="FV131" s="36">
        <v>0</v>
      </c>
      <c r="FW131" s="36">
        <v>0</v>
      </c>
      <c r="FX131" s="36">
        <v>0</v>
      </c>
      <c r="FY131" s="36">
        <v>0</v>
      </c>
      <c r="FZ131" s="36">
        <v>0</v>
      </c>
      <c r="GA131" s="36">
        <v>0</v>
      </c>
      <c r="GB131" s="36">
        <v>0</v>
      </c>
      <c r="GC131" s="36">
        <v>0</v>
      </c>
      <c r="GD131" s="36">
        <v>0</v>
      </c>
      <c r="GE131" s="36">
        <v>0</v>
      </c>
      <c r="GF131" s="36">
        <v>0</v>
      </c>
      <c r="GG131" s="42">
        <v>1.143471537370284</v>
      </c>
      <c r="GH131" s="42">
        <v>7.68435672575339</v>
      </c>
      <c r="GI131" s="42">
        <v>3.9809601383419255</v>
      </c>
      <c r="GJ131" s="42">
        <v>36.855818004191882</v>
      </c>
      <c r="GK131" s="42">
        <v>11.21038709298702</v>
      </c>
      <c r="GL131" s="42">
        <v>25.905328206090385</v>
      </c>
      <c r="GM131" s="42">
        <v>46.04871376899645</v>
      </c>
      <c r="GN131" s="42">
        <v>317.25322721346237</v>
      </c>
      <c r="GO131" s="42">
        <v>419.42815711116924</v>
      </c>
      <c r="GP131" s="42">
        <v>174.36342485489038</v>
      </c>
      <c r="GQ131" s="42">
        <v>107.67464888657933</v>
      </c>
      <c r="GR131" s="42">
        <v>270.81446843182982</v>
      </c>
      <c r="GS131" s="42">
        <v>498.56963915326958</v>
      </c>
      <c r="GT131" s="42">
        <v>1232.2444329620664</v>
      </c>
      <c r="GU131" s="36">
        <v>0</v>
      </c>
      <c r="GV131" s="36">
        <v>0</v>
      </c>
      <c r="GW131" s="36">
        <v>0</v>
      </c>
      <c r="GX131" s="36">
        <v>0</v>
      </c>
      <c r="GY131" s="36">
        <v>0</v>
      </c>
      <c r="GZ131" s="36">
        <v>40489.668202871209</v>
      </c>
      <c r="HA131" s="38">
        <v>469.00695054620155</v>
      </c>
      <c r="HB131" s="36">
        <v>30484.048810507793</v>
      </c>
      <c r="HC131" s="36">
        <f t="shared" si="1"/>
        <v>123132.8583627066</v>
      </c>
      <c r="HD131" s="36">
        <f>SUM(DX$5:DX$213)</f>
        <v>123132.8583627066</v>
      </c>
      <c r="HE131" s="41">
        <v>0</v>
      </c>
      <c r="HG131" s="43"/>
      <c r="HH131" s="43"/>
      <c r="HI131" s="43"/>
      <c r="HJ131" s="43"/>
      <c r="HK131" s="43"/>
      <c r="HL131" s="43"/>
      <c r="HM131" s="43"/>
      <c r="HN131" s="43"/>
      <c r="HO131" s="43"/>
      <c r="HP131" s="43"/>
      <c r="HQ131" s="43"/>
      <c r="HR131" s="43"/>
      <c r="HS131" s="43"/>
      <c r="HT131" s="43"/>
    </row>
    <row r="132" spans="1:228" hidden="1" outlineLevel="1" x14ac:dyDescent="0.2">
      <c r="A132" s="9" t="s">
        <v>1036</v>
      </c>
      <c r="B132" s="36">
        <v>0</v>
      </c>
      <c r="C132" s="36">
        <v>0</v>
      </c>
      <c r="D132" s="36">
        <v>191.56383826061625</v>
      </c>
      <c r="E132" s="36">
        <v>0</v>
      </c>
      <c r="F132" s="36">
        <v>0</v>
      </c>
      <c r="G132" s="36">
        <v>0</v>
      </c>
      <c r="H132" s="36">
        <v>0</v>
      </c>
      <c r="I132" s="36">
        <v>0</v>
      </c>
      <c r="J132" s="36">
        <v>0</v>
      </c>
      <c r="K132" s="36">
        <v>0</v>
      </c>
      <c r="L132" s="36">
        <v>0</v>
      </c>
      <c r="M132" s="36">
        <v>0</v>
      </c>
      <c r="N132" s="36">
        <v>0</v>
      </c>
      <c r="O132" s="36">
        <v>0</v>
      </c>
      <c r="P132" s="36">
        <v>0</v>
      </c>
      <c r="Q132" s="36">
        <v>0</v>
      </c>
      <c r="R132" s="36">
        <v>0</v>
      </c>
      <c r="S132" s="36">
        <v>0</v>
      </c>
      <c r="T132" s="36">
        <v>0</v>
      </c>
      <c r="U132" s="36">
        <v>0</v>
      </c>
      <c r="V132" s="36">
        <v>0</v>
      </c>
      <c r="W132" s="36">
        <v>0</v>
      </c>
      <c r="X132" s="36">
        <v>0</v>
      </c>
      <c r="Y132" s="36">
        <v>0</v>
      </c>
      <c r="Z132" s="36">
        <v>0</v>
      </c>
      <c r="AA132" s="36">
        <v>0</v>
      </c>
      <c r="AB132" s="36">
        <v>4135.2612794884435</v>
      </c>
      <c r="AC132" s="36">
        <v>0</v>
      </c>
      <c r="AD132" s="36">
        <v>0</v>
      </c>
      <c r="AE132" s="36">
        <v>0</v>
      </c>
      <c r="AF132" s="36">
        <v>0</v>
      </c>
      <c r="AG132" s="36">
        <v>0</v>
      </c>
      <c r="AH132" s="36">
        <v>0</v>
      </c>
      <c r="AI132" s="36">
        <v>0.29932445902270011</v>
      </c>
      <c r="AJ132" s="36">
        <v>0.34782016050590081</v>
      </c>
      <c r="AK132" s="36">
        <v>2777.0637041025775</v>
      </c>
      <c r="AL132" s="36">
        <v>0</v>
      </c>
      <c r="AM132" s="36">
        <v>0</v>
      </c>
      <c r="AN132" s="36">
        <v>0</v>
      </c>
      <c r="AO132" s="36">
        <v>155.6878812315656</v>
      </c>
      <c r="AP132" s="36">
        <v>0</v>
      </c>
      <c r="AQ132" s="36">
        <v>0</v>
      </c>
      <c r="AR132" s="36">
        <v>77.78405803281089</v>
      </c>
      <c r="AS132" s="36">
        <v>0</v>
      </c>
      <c r="AT132" s="36">
        <v>0</v>
      </c>
      <c r="AU132" s="36">
        <v>0</v>
      </c>
      <c r="AV132" s="36">
        <v>0</v>
      </c>
      <c r="AW132" s="36">
        <v>0</v>
      </c>
      <c r="AX132" s="36">
        <v>0</v>
      </c>
      <c r="AY132" s="36">
        <v>0</v>
      </c>
      <c r="AZ132" s="36">
        <v>0</v>
      </c>
      <c r="BA132" s="36">
        <v>0</v>
      </c>
      <c r="BB132" s="36">
        <v>0</v>
      </c>
      <c r="BC132" s="36">
        <v>360.99339118798429</v>
      </c>
      <c r="BD132" s="36">
        <v>1.5009745623381039</v>
      </c>
      <c r="BE132" s="36">
        <v>66.852207313899044</v>
      </c>
      <c r="BF132" s="36">
        <v>0</v>
      </c>
      <c r="BG132" s="36">
        <v>0</v>
      </c>
      <c r="BH132" s="36">
        <v>0</v>
      </c>
      <c r="BI132" s="36">
        <v>0</v>
      </c>
      <c r="BJ132" s="36">
        <v>516.64743675318618</v>
      </c>
      <c r="BK132" s="36">
        <v>0</v>
      </c>
      <c r="BL132" s="36">
        <v>0</v>
      </c>
      <c r="BM132" s="36">
        <v>0</v>
      </c>
      <c r="BN132" s="36">
        <v>0</v>
      </c>
      <c r="BO132" s="36">
        <v>0</v>
      </c>
      <c r="BP132" s="36">
        <v>0</v>
      </c>
      <c r="BQ132" s="36">
        <v>0</v>
      </c>
      <c r="BR132" s="36">
        <v>0</v>
      </c>
      <c r="BS132" s="36">
        <v>0</v>
      </c>
      <c r="BT132" s="36">
        <v>0</v>
      </c>
      <c r="BU132" s="36">
        <v>0</v>
      </c>
      <c r="BV132" s="36">
        <v>0</v>
      </c>
      <c r="BW132" s="36">
        <v>0</v>
      </c>
      <c r="BX132" s="36">
        <v>0</v>
      </c>
      <c r="BY132" s="36">
        <v>0</v>
      </c>
      <c r="BZ132" s="36">
        <v>0</v>
      </c>
      <c r="CA132" s="36">
        <v>0</v>
      </c>
      <c r="CB132" s="36">
        <v>0</v>
      </c>
      <c r="CC132" s="36">
        <v>0</v>
      </c>
      <c r="CD132" s="36">
        <v>0</v>
      </c>
      <c r="CE132" s="36">
        <v>0</v>
      </c>
      <c r="CF132" s="36">
        <v>0</v>
      </c>
      <c r="CG132" s="36">
        <v>0</v>
      </c>
      <c r="CH132" s="36">
        <v>0</v>
      </c>
      <c r="CI132" s="36">
        <v>0</v>
      </c>
      <c r="CJ132" s="36">
        <v>0</v>
      </c>
      <c r="CK132" s="36">
        <v>0</v>
      </c>
      <c r="CL132" s="36">
        <v>0</v>
      </c>
      <c r="CM132" s="36">
        <v>0</v>
      </c>
      <c r="CN132" s="36">
        <v>0</v>
      </c>
      <c r="CO132" s="36">
        <v>0</v>
      </c>
      <c r="CP132" s="36">
        <v>0</v>
      </c>
      <c r="CQ132" s="36">
        <v>0</v>
      </c>
      <c r="CR132" s="36">
        <v>0</v>
      </c>
      <c r="CS132" s="36">
        <v>0</v>
      </c>
      <c r="CT132" s="36">
        <v>0</v>
      </c>
      <c r="CU132" s="36">
        <v>0</v>
      </c>
      <c r="CV132" s="36">
        <v>0</v>
      </c>
      <c r="CW132" s="36">
        <v>0</v>
      </c>
      <c r="CX132" s="36">
        <v>0</v>
      </c>
      <c r="CY132" s="36">
        <v>0</v>
      </c>
      <c r="CZ132" s="36">
        <v>0</v>
      </c>
      <c r="DA132" s="36">
        <v>0</v>
      </c>
      <c r="DB132" s="36">
        <v>0</v>
      </c>
      <c r="DC132" s="36">
        <v>0</v>
      </c>
      <c r="DD132" s="36">
        <v>0</v>
      </c>
      <c r="DE132" s="36">
        <v>0</v>
      </c>
      <c r="DF132" s="36">
        <v>0</v>
      </c>
      <c r="DG132" s="36">
        <v>0</v>
      </c>
      <c r="DH132" s="36">
        <v>0</v>
      </c>
      <c r="DI132" s="36">
        <v>0</v>
      </c>
      <c r="DJ132" s="36">
        <v>0</v>
      </c>
      <c r="DK132" s="36">
        <v>0</v>
      </c>
      <c r="DL132" s="36">
        <v>0</v>
      </c>
      <c r="DM132" s="36">
        <v>0</v>
      </c>
      <c r="DN132" s="36">
        <v>0</v>
      </c>
      <c r="DO132" s="36">
        <v>0</v>
      </c>
      <c r="DP132" s="36">
        <v>0</v>
      </c>
      <c r="DQ132" s="36">
        <v>0</v>
      </c>
      <c r="DR132" s="36">
        <v>0</v>
      </c>
      <c r="DS132" s="36">
        <v>0</v>
      </c>
      <c r="DT132" s="36">
        <v>0</v>
      </c>
      <c r="DU132" s="36">
        <v>0</v>
      </c>
      <c r="DV132" s="36">
        <v>0</v>
      </c>
      <c r="DW132" s="36">
        <v>0</v>
      </c>
      <c r="DX132" s="36">
        <v>0</v>
      </c>
      <c r="DY132" s="36">
        <v>0</v>
      </c>
      <c r="DZ132" s="36">
        <v>0</v>
      </c>
      <c r="EA132" s="36">
        <v>0</v>
      </c>
      <c r="EB132" s="36">
        <v>0</v>
      </c>
      <c r="EC132" s="36">
        <v>0</v>
      </c>
      <c r="ED132" s="36">
        <v>0</v>
      </c>
      <c r="EE132" s="36">
        <v>0</v>
      </c>
      <c r="EF132" s="36">
        <v>0</v>
      </c>
      <c r="EG132" s="36">
        <v>0</v>
      </c>
      <c r="EH132" s="36">
        <v>0</v>
      </c>
      <c r="EI132" s="36">
        <v>0</v>
      </c>
      <c r="EJ132" s="36">
        <v>0</v>
      </c>
      <c r="EK132" s="36">
        <v>0</v>
      </c>
      <c r="EL132" s="36">
        <v>0</v>
      </c>
      <c r="EM132" s="36">
        <v>0</v>
      </c>
      <c r="EN132" s="36">
        <v>0</v>
      </c>
      <c r="EO132" s="36">
        <v>0</v>
      </c>
      <c r="EP132" s="36">
        <v>0</v>
      </c>
      <c r="EQ132" s="36">
        <v>0</v>
      </c>
      <c r="ER132" s="36">
        <v>0</v>
      </c>
      <c r="ES132" s="36">
        <v>0</v>
      </c>
      <c r="ET132" s="36">
        <v>0</v>
      </c>
      <c r="EU132" s="36">
        <v>0</v>
      </c>
      <c r="EV132" s="36">
        <v>0</v>
      </c>
      <c r="EW132" s="36">
        <v>0</v>
      </c>
      <c r="EX132" s="36">
        <v>0</v>
      </c>
      <c r="EY132" s="36">
        <v>0</v>
      </c>
      <c r="EZ132" s="36">
        <v>0</v>
      </c>
      <c r="FA132" s="36">
        <v>0</v>
      </c>
      <c r="FB132" s="36">
        <v>0</v>
      </c>
      <c r="FC132" s="36">
        <v>0</v>
      </c>
      <c r="FD132" s="36">
        <v>0</v>
      </c>
      <c r="FE132" s="36">
        <v>0</v>
      </c>
      <c r="FF132" s="36">
        <v>0</v>
      </c>
      <c r="FG132" s="36">
        <v>0</v>
      </c>
      <c r="FH132" s="36">
        <v>0</v>
      </c>
      <c r="FI132" s="36">
        <v>0</v>
      </c>
      <c r="FJ132" s="36">
        <v>0</v>
      </c>
      <c r="FK132" s="36">
        <v>0</v>
      </c>
      <c r="FL132" s="36">
        <v>0</v>
      </c>
      <c r="FM132" s="36">
        <v>0</v>
      </c>
      <c r="FN132" s="36">
        <v>0</v>
      </c>
      <c r="FO132" s="36">
        <v>0</v>
      </c>
      <c r="FP132" s="36">
        <v>0</v>
      </c>
      <c r="FQ132" s="36">
        <v>0</v>
      </c>
      <c r="FR132" s="36">
        <v>0</v>
      </c>
      <c r="FS132" s="36">
        <v>0</v>
      </c>
      <c r="FT132" s="36">
        <v>0</v>
      </c>
      <c r="FU132" s="36">
        <v>0</v>
      </c>
      <c r="FV132" s="36">
        <v>0</v>
      </c>
      <c r="FW132" s="36">
        <v>0</v>
      </c>
      <c r="FX132" s="36">
        <v>0</v>
      </c>
      <c r="FY132" s="36">
        <v>0</v>
      </c>
      <c r="FZ132" s="36">
        <v>0</v>
      </c>
      <c r="GA132" s="36">
        <v>0</v>
      </c>
      <c r="GB132" s="36">
        <v>0</v>
      </c>
      <c r="GC132" s="36">
        <v>0</v>
      </c>
      <c r="GD132" s="36">
        <v>0</v>
      </c>
      <c r="GE132" s="36">
        <v>0</v>
      </c>
      <c r="GF132" s="36">
        <v>0</v>
      </c>
      <c r="GG132" s="42">
        <v>598.99596459773818</v>
      </c>
      <c r="GH132" s="42">
        <v>1029.1597242580337</v>
      </c>
      <c r="GI132" s="42">
        <v>1217.3029947388068</v>
      </c>
      <c r="GJ132" s="42">
        <v>1249.6035599378686</v>
      </c>
      <c r="GK132" s="42">
        <v>1715.5604641214225</v>
      </c>
      <c r="GL132" s="42">
        <v>1614.4169154385254</v>
      </c>
      <c r="GM132" s="42">
        <v>1876.8154548137823</v>
      </c>
      <c r="GN132" s="42">
        <v>2375.0167352931094</v>
      </c>
      <c r="GO132" s="42">
        <v>3053.3366715135739</v>
      </c>
      <c r="GP132" s="42">
        <v>596.97341136594241</v>
      </c>
      <c r="GQ132" s="42">
        <v>850.83927865767816</v>
      </c>
      <c r="GR132" s="42">
        <v>1009.1176757809371</v>
      </c>
      <c r="GS132" s="42">
        <v>1260.777404399551</v>
      </c>
      <c r="GT132" s="42">
        <v>1547.4857432194028</v>
      </c>
      <c r="GU132" s="36">
        <v>0</v>
      </c>
      <c r="GV132" s="36">
        <v>0</v>
      </c>
      <c r="GW132" s="36">
        <v>0</v>
      </c>
      <c r="GX132" s="36">
        <v>0</v>
      </c>
      <c r="GY132" s="36">
        <v>0</v>
      </c>
      <c r="GZ132" s="36">
        <v>1399.2853498188081</v>
      </c>
      <c r="HA132" s="38">
        <v>61.073795685311779</v>
      </c>
      <c r="HB132" s="36">
        <v>3426.505819275143</v>
      </c>
      <c r="HC132" s="36">
        <f t="shared" si="1"/>
        <v>33166.268878468589</v>
      </c>
      <c r="HD132" s="36">
        <f>SUM(DY$5:DY$213)</f>
        <v>33166.268878468589</v>
      </c>
      <c r="HE132" s="41">
        <v>0</v>
      </c>
      <c r="HG132" s="43"/>
      <c r="HH132" s="43"/>
      <c r="HI132" s="43"/>
      <c r="HJ132" s="43"/>
      <c r="HK132" s="43"/>
      <c r="HL132" s="43"/>
      <c r="HM132" s="43"/>
      <c r="HN132" s="43"/>
      <c r="HO132" s="43"/>
      <c r="HP132" s="43"/>
      <c r="HQ132" s="43"/>
      <c r="HR132" s="43"/>
      <c r="HS132" s="43"/>
      <c r="HT132" s="43"/>
    </row>
    <row r="133" spans="1:228" hidden="1" outlineLevel="1" x14ac:dyDescent="0.2">
      <c r="A133" s="9" t="s">
        <v>1043</v>
      </c>
      <c r="B133" s="36">
        <v>0</v>
      </c>
      <c r="C133" s="36">
        <v>0</v>
      </c>
      <c r="D133" s="36">
        <v>45.267818641183922</v>
      </c>
      <c r="E133" s="36">
        <v>439.45430824626237</v>
      </c>
      <c r="F133" s="36">
        <v>522.17138049687628</v>
      </c>
      <c r="G133" s="36">
        <v>2425.8120306608221</v>
      </c>
      <c r="H133" s="36">
        <v>323.35448340203288</v>
      </c>
      <c r="I133" s="36">
        <v>1119.3825419085415</v>
      </c>
      <c r="J133" s="36">
        <v>324.32063516845187</v>
      </c>
      <c r="K133" s="36">
        <v>71.082161550551206</v>
      </c>
      <c r="L133" s="36">
        <v>84.13708165854456</v>
      </c>
      <c r="M133" s="36">
        <v>12.567943335089108</v>
      </c>
      <c r="N133" s="36">
        <v>30.272234407248348</v>
      </c>
      <c r="O133" s="36">
        <v>81.156645796354582</v>
      </c>
      <c r="P133" s="36">
        <v>589.98680382351836</v>
      </c>
      <c r="Q133" s="36">
        <v>305.79269658897954</v>
      </c>
      <c r="R133" s="36">
        <v>273.68291656353358</v>
      </c>
      <c r="S133" s="36">
        <v>257.64526318340148</v>
      </c>
      <c r="T133" s="36">
        <v>578.05766162872499</v>
      </c>
      <c r="U133" s="36">
        <v>77.709123287755972</v>
      </c>
      <c r="V133" s="36">
        <v>139.43306974848122</v>
      </c>
      <c r="W133" s="36">
        <v>16.698630097397629</v>
      </c>
      <c r="X133" s="36">
        <v>378.97762311171022</v>
      </c>
      <c r="Y133" s="36">
        <v>264.22082878758562</v>
      </c>
      <c r="Z133" s="36">
        <v>195.65315130190442</v>
      </c>
      <c r="AA133" s="36">
        <v>405.44886743625716</v>
      </c>
      <c r="AB133" s="36">
        <v>1665.6733417319492</v>
      </c>
      <c r="AC133" s="36">
        <v>1267.6237218695001</v>
      </c>
      <c r="AD133" s="36">
        <v>534.9542825025411</v>
      </c>
      <c r="AE133" s="36">
        <v>445.40875649161603</v>
      </c>
      <c r="AF133" s="36">
        <v>72.288813119926971</v>
      </c>
      <c r="AG133" s="36">
        <v>69.005807988223495</v>
      </c>
      <c r="AH133" s="36">
        <v>72.963221154099301</v>
      </c>
      <c r="AI133" s="36">
        <v>336.37381136482151</v>
      </c>
      <c r="AJ133" s="36">
        <v>138.72533656032599</v>
      </c>
      <c r="AK133" s="36">
        <v>1308.4460915740156</v>
      </c>
      <c r="AL133" s="36">
        <v>5349.564041025189</v>
      </c>
      <c r="AM133" s="36">
        <v>2351.2396852866677</v>
      </c>
      <c r="AN133" s="36">
        <v>2113.5189248160141</v>
      </c>
      <c r="AO133" s="36">
        <v>1657.4353843141516</v>
      </c>
      <c r="AP133" s="36">
        <v>775.19819157147788</v>
      </c>
      <c r="AQ133" s="36">
        <v>26.656100213069692</v>
      </c>
      <c r="AR133" s="36">
        <v>657.09071038129593</v>
      </c>
      <c r="AS133" s="36">
        <v>5036.0241579281646</v>
      </c>
      <c r="AT133" s="36">
        <v>3903.9090159239618</v>
      </c>
      <c r="AU133" s="36">
        <v>1170.9645843223291</v>
      </c>
      <c r="AV133" s="36">
        <v>401.97804049163915</v>
      </c>
      <c r="AW133" s="36">
        <v>2601.0782754224911</v>
      </c>
      <c r="AX133" s="36">
        <v>1168.9887458506691</v>
      </c>
      <c r="AY133" s="36">
        <v>143.68505271040002</v>
      </c>
      <c r="AZ133" s="36">
        <v>517.30882964402952</v>
      </c>
      <c r="BA133" s="36">
        <v>209.20566292865863</v>
      </c>
      <c r="BB133" s="36">
        <v>2567.9491871794667</v>
      </c>
      <c r="BC133" s="36">
        <v>439.8271113679541</v>
      </c>
      <c r="BD133" s="36">
        <v>357.72297601107704</v>
      </c>
      <c r="BE133" s="36">
        <v>1478.2691428520989</v>
      </c>
      <c r="BF133" s="36">
        <v>63.661345109196944</v>
      </c>
      <c r="BG133" s="36">
        <v>223.93235410784271</v>
      </c>
      <c r="BH133" s="36">
        <v>2071.9790015473636</v>
      </c>
      <c r="BI133" s="36">
        <v>29.526212236093635</v>
      </c>
      <c r="BJ133" s="36">
        <v>1301.4454882643849</v>
      </c>
      <c r="BK133" s="36">
        <v>0</v>
      </c>
      <c r="BL133" s="36">
        <v>0</v>
      </c>
      <c r="BM133" s="36">
        <v>0</v>
      </c>
      <c r="BN133" s="36">
        <v>0</v>
      </c>
      <c r="BO133" s="36">
        <v>0</v>
      </c>
      <c r="BP133" s="36">
        <v>0</v>
      </c>
      <c r="BQ133" s="36">
        <v>0</v>
      </c>
      <c r="BR133" s="36">
        <v>0</v>
      </c>
      <c r="BS133" s="36">
        <v>0</v>
      </c>
      <c r="BT133" s="36">
        <v>0</v>
      </c>
      <c r="BU133" s="36">
        <v>0</v>
      </c>
      <c r="BV133" s="36">
        <v>0</v>
      </c>
      <c r="BW133" s="36">
        <v>0</v>
      </c>
      <c r="BX133" s="36">
        <v>0</v>
      </c>
      <c r="BY133" s="36">
        <v>0</v>
      </c>
      <c r="BZ133" s="36">
        <v>0</v>
      </c>
      <c r="CA133" s="36">
        <v>0</v>
      </c>
      <c r="CB133" s="36">
        <v>0</v>
      </c>
      <c r="CC133" s="36">
        <v>0</v>
      </c>
      <c r="CD133" s="36">
        <v>0</v>
      </c>
      <c r="CE133" s="36">
        <v>0</v>
      </c>
      <c r="CF133" s="36">
        <v>0</v>
      </c>
      <c r="CG133" s="36">
        <v>0</v>
      </c>
      <c r="CH133" s="36">
        <v>0</v>
      </c>
      <c r="CI133" s="36">
        <v>0</v>
      </c>
      <c r="CJ133" s="36">
        <v>0</v>
      </c>
      <c r="CK133" s="36">
        <v>0</v>
      </c>
      <c r="CL133" s="36">
        <v>0</v>
      </c>
      <c r="CM133" s="36">
        <v>0</v>
      </c>
      <c r="CN133" s="36">
        <v>0</v>
      </c>
      <c r="CO133" s="36">
        <v>0</v>
      </c>
      <c r="CP133" s="36">
        <v>0</v>
      </c>
      <c r="CQ133" s="36">
        <v>0</v>
      </c>
      <c r="CR133" s="36">
        <v>0</v>
      </c>
      <c r="CS133" s="36">
        <v>0</v>
      </c>
      <c r="CT133" s="36">
        <v>0</v>
      </c>
      <c r="CU133" s="36">
        <v>0</v>
      </c>
      <c r="CV133" s="36">
        <v>0</v>
      </c>
      <c r="CW133" s="36">
        <v>0</v>
      </c>
      <c r="CX133" s="36">
        <v>0</v>
      </c>
      <c r="CY133" s="36">
        <v>0</v>
      </c>
      <c r="CZ133" s="36">
        <v>0</v>
      </c>
      <c r="DA133" s="36">
        <v>0</v>
      </c>
      <c r="DB133" s="36">
        <v>0</v>
      </c>
      <c r="DC133" s="36">
        <v>0</v>
      </c>
      <c r="DD133" s="36">
        <v>0</v>
      </c>
      <c r="DE133" s="36">
        <v>0</v>
      </c>
      <c r="DF133" s="36">
        <v>0</v>
      </c>
      <c r="DG133" s="36">
        <v>0</v>
      </c>
      <c r="DH133" s="36">
        <v>0</v>
      </c>
      <c r="DI133" s="36">
        <v>0</v>
      </c>
      <c r="DJ133" s="36">
        <v>0</v>
      </c>
      <c r="DK133" s="36">
        <v>0</v>
      </c>
      <c r="DL133" s="36">
        <v>0</v>
      </c>
      <c r="DM133" s="36">
        <v>0</v>
      </c>
      <c r="DN133" s="36">
        <v>0</v>
      </c>
      <c r="DO133" s="36">
        <v>0</v>
      </c>
      <c r="DP133" s="36">
        <v>0</v>
      </c>
      <c r="DQ133" s="36">
        <v>0</v>
      </c>
      <c r="DR133" s="36">
        <v>0</v>
      </c>
      <c r="DS133" s="36">
        <v>0</v>
      </c>
      <c r="DT133" s="36">
        <v>0</v>
      </c>
      <c r="DU133" s="36">
        <v>0</v>
      </c>
      <c r="DV133" s="36">
        <v>0</v>
      </c>
      <c r="DW133" s="36">
        <v>0</v>
      </c>
      <c r="DX133" s="36">
        <v>0</v>
      </c>
      <c r="DY133" s="36">
        <v>0</v>
      </c>
      <c r="DZ133" s="36">
        <v>0</v>
      </c>
      <c r="EA133" s="36">
        <v>0</v>
      </c>
      <c r="EB133" s="36">
        <v>0</v>
      </c>
      <c r="EC133" s="36">
        <v>0</v>
      </c>
      <c r="ED133" s="36">
        <v>0</v>
      </c>
      <c r="EE133" s="36">
        <v>0</v>
      </c>
      <c r="EF133" s="36">
        <v>0</v>
      </c>
      <c r="EG133" s="36">
        <v>0</v>
      </c>
      <c r="EH133" s="36">
        <v>0</v>
      </c>
      <c r="EI133" s="36">
        <v>0</v>
      </c>
      <c r="EJ133" s="36">
        <v>0</v>
      </c>
      <c r="EK133" s="36">
        <v>0</v>
      </c>
      <c r="EL133" s="36">
        <v>0</v>
      </c>
      <c r="EM133" s="36">
        <v>0</v>
      </c>
      <c r="EN133" s="36">
        <v>0</v>
      </c>
      <c r="EO133" s="36">
        <v>0</v>
      </c>
      <c r="EP133" s="36">
        <v>0</v>
      </c>
      <c r="EQ133" s="36">
        <v>0</v>
      </c>
      <c r="ER133" s="36">
        <v>0</v>
      </c>
      <c r="ES133" s="36">
        <v>0</v>
      </c>
      <c r="ET133" s="36">
        <v>0</v>
      </c>
      <c r="EU133" s="36">
        <v>0</v>
      </c>
      <c r="EV133" s="36">
        <v>0</v>
      </c>
      <c r="EW133" s="36">
        <v>0</v>
      </c>
      <c r="EX133" s="36">
        <v>0</v>
      </c>
      <c r="EY133" s="36">
        <v>0</v>
      </c>
      <c r="EZ133" s="36">
        <v>0</v>
      </c>
      <c r="FA133" s="36">
        <v>0</v>
      </c>
      <c r="FB133" s="36">
        <v>0</v>
      </c>
      <c r="FC133" s="36">
        <v>0</v>
      </c>
      <c r="FD133" s="36">
        <v>0</v>
      </c>
      <c r="FE133" s="36">
        <v>0</v>
      </c>
      <c r="FF133" s="36">
        <v>0</v>
      </c>
      <c r="FG133" s="36">
        <v>0</v>
      </c>
      <c r="FH133" s="36">
        <v>0</v>
      </c>
      <c r="FI133" s="36">
        <v>0</v>
      </c>
      <c r="FJ133" s="36">
        <v>0</v>
      </c>
      <c r="FK133" s="36">
        <v>0</v>
      </c>
      <c r="FL133" s="36">
        <v>0</v>
      </c>
      <c r="FM133" s="36">
        <v>0</v>
      </c>
      <c r="FN133" s="36">
        <v>0</v>
      </c>
      <c r="FO133" s="36">
        <v>0</v>
      </c>
      <c r="FP133" s="36">
        <v>0</v>
      </c>
      <c r="FQ133" s="36">
        <v>0</v>
      </c>
      <c r="FR133" s="36">
        <v>0</v>
      </c>
      <c r="FS133" s="36">
        <v>0</v>
      </c>
      <c r="FT133" s="36">
        <v>0</v>
      </c>
      <c r="FU133" s="36">
        <v>0</v>
      </c>
      <c r="FV133" s="36">
        <v>0</v>
      </c>
      <c r="FW133" s="36">
        <v>0</v>
      </c>
      <c r="FX133" s="36">
        <v>0</v>
      </c>
      <c r="FY133" s="36">
        <v>0</v>
      </c>
      <c r="FZ133" s="36">
        <v>0</v>
      </c>
      <c r="GA133" s="36">
        <v>0</v>
      </c>
      <c r="GB133" s="36">
        <v>0</v>
      </c>
      <c r="GC133" s="36">
        <v>0</v>
      </c>
      <c r="GD133" s="36">
        <v>0</v>
      </c>
      <c r="GE133" s="36">
        <v>0</v>
      </c>
      <c r="GF133" s="36">
        <v>0</v>
      </c>
      <c r="GG133" s="42">
        <v>58.268896135576682</v>
      </c>
      <c r="GH133" s="42">
        <v>112.46134442500255</v>
      </c>
      <c r="GI133" s="42">
        <v>217.76477324420267</v>
      </c>
      <c r="GJ133" s="42">
        <v>232.07294777101094</v>
      </c>
      <c r="GK133" s="42">
        <v>406.70282759220487</v>
      </c>
      <c r="GL133" s="42">
        <v>936.06604231349331</v>
      </c>
      <c r="GM133" s="42">
        <v>905.5431116559306</v>
      </c>
      <c r="GN133" s="42">
        <v>1851.6073758317436</v>
      </c>
      <c r="GO133" s="42">
        <v>2346.6048272953749</v>
      </c>
      <c r="GP133" s="42">
        <v>750.76211453774715</v>
      </c>
      <c r="GQ133" s="42">
        <v>700.81173261518359</v>
      </c>
      <c r="GR133" s="42">
        <v>1134.4572383426535</v>
      </c>
      <c r="GS133" s="42">
        <v>1736.8914890381081</v>
      </c>
      <c r="GT133" s="42">
        <v>1893.5782170711841</v>
      </c>
      <c r="GU133" s="36">
        <v>0</v>
      </c>
      <c r="GV133" s="36">
        <v>0</v>
      </c>
      <c r="GW133" s="36">
        <v>0</v>
      </c>
      <c r="GX133" s="36">
        <v>0</v>
      </c>
      <c r="GY133" s="36">
        <v>0</v>
      </c>
      <c r="GZ133" s="36">
        <v>24411.694572867713</v>
      </c>
      <c r="HA133" s="38">
        <v>234.42287861113437</v>
      </c>
      <c r="HB133" s="36">
        <v>3043.2579761127004</v>
      </c>
      <c r="HC133" s="36">
        <f t="shared" ref="HC133:HC196" si="2">SUM(B133:HB133)</f>
        <v>92464.875672154885</v>
      </c>
      <c r="HD133" s="36">
        <f>SUM(DZ$5:DZ$213)</f>
        <v>92464.875672154885</v>
      </c>
      <c r="HE133" s="41">
        <v>0</v>
      </c>
      <c r="HG133" s="43"/>
      <c r="HH133" s="43"/>
      <c r="HI133" s="43"/>
      <c r="HJ133" s="43"/>
      <c r="HK133" s="43"/>
      <c r="HL133" s="43"/>
      <c r="HM133" s="43"/>
      <c r="HN133" s="43"/>
      <c r="HO133" s="43"/>
      <c r="HP133" s="43"/>
      <c r="HQ133" s="43"/>
      <c r="HR133" s="43"/>
      <c r="HS133" s="43"/>
      <c r="HT133" s="43"/>
    </row>
    <row r="134" spans="1:228" hidden="1" outlineLevel="1" x14ac:dyDescent="0.2">
      <c r="A134" s="9" t="s">
        <v>1050</v>
      </c>
      <c r="B134" s="36">
        <v>0</v>
      </c>
      <c r="C134" s="36">
        <v>0</v>
      </c>
      <c r="D134" s="36">
        <v>0</v>
      </c>
      <c r="E134" s="36">
        <v>1393.8133529727502</v>
      </c>
      <c r="F134" s="36">
        <v>1057.2582723820917</v>
      </c>
      <c r="G134" s="36">
        <v>10066.836870861978</v>
      </c>
      <c r="H134" s="36">
        <v>499.57300362926435</v>
      </c>
      <c r="I134" s="36">
        <v>0</v>
      </c>
      <c r="J134" s="36">
        <v>0</v>
      </c>
      <c r="K134" s="36">
        <v>7.0669953812369064</v>
      </c>
      <c r="L134" s="36">
        <v>0</v>
      </c>
      <c r="M134" s="36">
        <v>0</v>
      </c>
      <c r="N134" s="36">
        <v>0</v>
      </c>
      <c r="O134" s="36">
        <v>0</v>
      </c>
      <c r="P134" s="36">
        <v>0</v>
      </c>
      <c r="Q134" s="36">
        <v>0</v>
      </c>
      <c r="R134" s="36">
        <v>0</v>
      </c>
      <c r="S134" s="36">
        <v>11.539681688320666</v>
      </c>
      <c r="T134" s="36">
        <v>2.1615842204672586</v>
      </c>
      <c r="U134" s="36">
        <v>0</v>
      </c>
      <c r="V134" s="36">
        <v>65.033200130551762</v>
      </c>
      <c r="W134" s="36">
        <v>57.308347633559613</v>
      </c>
      <c r="X134" s="36">
        <v>9.9753498228975221</v>
      </c>
      <c r="Y134" s="36">
        <v>14.626038479120989</v>
      </c>
      <c r="Z134" s="36">
        <v>8.3068975847315798</v>
      </c>
      <c r="AA134" s="36">
        <v>2398.2837673790636</v>
      </c>
      <c r="AB134" s="36">
        <v>16879.693817148265</v>
      </c>
      <c r="AC134" s="36">
        <v>1977.2697634526339</v>
      </c>
      <c r="AD134" s="36">
        <v>365.68488092213744</v>
      </c>
      <c r="AE134" s="36">
        <v>2942.3378186365399</v>
      </c>
      <c r="AF134" s="36">
        <v>289.88878798631839</v>
      </c>
      <c r="AG134" s="36">
        <v>27.430838585616652</v>
      </c>
      <c r="AH134" s="36">
        <v>72.836561485063143</v>
      </c>
      <c r="AI134" s="36">
        <v>9.5909890589757438</v>
      </c>
      <c r="AJ134" s="36">
        <v>11.173801670905837</v>
      </c>
      <c r="AK134" s="36">
        <v>41455.41289919323</v>
      </c>
      <c r="AL134" s="36">
        <v>0</v>
      </c>
      <c r="AM134" s="36">
        <v>0</v>
      </c>
      <c r="AN134" s="36">
        <v>0</v>
      </c>
      <c r="AO134" s="36">
        <v>75.931764403835757</v>
      </c>
      <c r="AP134" s="36">
        <v>0</v>
      </c>
      <c r="AQ134" s="36">
        <v>0</v>
      </c>
      <c r="AR134" s="36">
        <v>0</v>
      </c>
      <c r="AS134" s="36">
        <v>0</v>
      </c>
      <c r="AT134" s="36">
        <v>0</v>
      </c>
      <c r="AU134" s="36">
        <v>0</v>
      </c>
      <c r="AV134" s="36">
        <v>0</v>
      </c>
      <c r="AW134" s="36">
        <v>0</v>
      </c>
      <c r="AX134" s="36">
        <v>529.40921045179175</v>
      </c>
      <c r="AY134" s="36">
        <v>0</v>
      </c>
      <c r="AZ134" s="36">
        <v>0</v>
      </c>
      <c r="BA134" s="36">
        <v>0</v>
      </c>
      <c r="BB134" s="36">
        <v>0</v>
      </c>
      <c r="BC134" s="36">
        <v>264.5311983026877</v>
      </c>
      <c r="BD134" s="36">
        <v>16.380941075053602</v>
      </c>
      <c r="BE134" s="36">
        <v>32.798325724207523</v>
      </c>
      <c r="BF134" s="36">
        <v>0</v>
      </c>
      <c r="BG134" s="36">
        <v>0</v>
      </c>
      <c r="BH134" s="36">
        <v>527.21178136385993</v>
      </c>
      <c r="BI134" s="36">
        <v>0</v>
      </c>
      <c r="BJ134" s="36">
        <v>967.90310083051531</v>
      </c>
      <c r="BK134" s="36">
        <v>0</v>
      </c>
      <c r="BL134" s="36">
        <v>0</v>
      </c>
      <c r="BM134" s="36">
        <v>0</v>
      </c>
      <c r="BN134" s="36">
        <v>0</v>
      </c>
      <c r="BO134" s="36">
        <v>0</v>
      </c>
      <c r="BP134" s="36">
        <v>0</v>
      </c>
      <c r="BQ134" s="36">
        <v>0</v>
      </c>
      <c r="BR134" s="36">
        <v>0</v>
      </c>
      <c r="BS134" s="36">
        <v>0</v>
      </c>
      <c r="BT134" s="36">
        <v>0</v>
      </c>
      <c r="BU134" s="36">
        <v>0</v>
      </c>
      <c r="BV134" s="36">
        <v>0</v>
      </c>
      <c r="BW134" s="36">
        <v>0</v>
      </c>
      <c r="BX134" s="36">
        <v>0</v>
      </c>
      <c r="BY134" s="36">
        <v>0</v>
      </c>
      <c r="BZ134" s="36">
        <v>0</v>
      </c>
      <c r="CA134" s="36">
        <v>0</v>
      </c>
      <c r="CB134" s="36">
        <v>0</v>
      </c>
      <c r="CC134" s="36">
        <v>0</v>
      </c>
      <c r="CD134" s="36">
        <v>0</v>
      </c>
      <c r="CE134" s="36">
        <v>0</v>
      </c>
      <c r="CF134" s="36">
        <v>0</v>
      </c>
      <c r="CG134" s="36">
        <v>0</v>
      </c>
      <c r="CH134" s="36">
        <v>0</v>
      </c>
      <c r="CI134" s="36">
        <v>0</v>
      </c>
      <c r="CJ134" s="36">
        <v>0</v>
      </c>
      <c r="CK134" s="36">
        <v>0</v>
      </c>
      <c r="CL134" s="36">
        <v>0</v>
      </c>
      <c r="CM134" s="36">
        <v>0</v>
      </c>
      <c r="CN134" s="36">
        <v>0</v>
      </c>
      <c r="CO134" s="36">
        <v>0</v>
      </c>
      <c r="CP134" s="36">
        <v>0</v>
      </c>
      <c r="CQ134" s="36">
        <v>0</v>
      </c>
      <c r="CR134" s="36">
        <v>0</v>
      </c>
      <c r="CS134" s="36">
        <v>0</v>
      </c>
      <c r="CT134" s="36">
        <v>0</v>
      </c>
      <c r="CU134" s="36">
        <v>0</v>
      </c>
      <c r="CV134" s="36">
        <v>0</v>
      </c>
      <c r="CW134" s="36">
        <v>0</v>
      </c>
      <c r="CX134" s="36">
        <v>0</v>
      </c>
      <c r="CY134" s="36">
        <v>0</v>
      </c>
      <c r="CZ134" s="36">
        <v>0</v>
      </c>
      <c r="DA134" s="36">
        <v>0</v>
      </c>
      <c r="DB134" s="36">
        <v>0</v>
      </c>
      <c r="DC134" s="36">
        <v>0</v>
      </c>
      <c r="DD134" s="36">
        <v>0</v>
      </c>
      <c r="DE134" s="36">
        <v>0</v>
      </c>
      <c r="DF134" s="36">
        <v>0</v>
      </c>
      <c r="DG134" s="36">
        <v>0</v>
      </c>
      <c r="DH134" s="36">
        <v>0</v>
      </c>
      <c r="DI134" s="36">
        <v>0</v>
      </c>
      <c r="DJ134" s="36">
        <v>0</v>
      </c>
      <c r="DK134" s="36">
        <v>0</v>
      </c>
      <c r="DL134" s="36">
        <v>0</v>
      </c>
      <c r="DM134" s="36">
        <v>0</v>
      </c>
      <c r="DN134" s="36">
        <v>0</v>
      </c>
      <c r="DO134" s="36">
        <v>0</v>
      </c>
      <c r="DP134" s="36">
        <v>0</v>
      </c>
      <c r="DQ134" s="36">
        <v>0</v>
      </c>
      <c r="DR134" s="36">
        <v>0</v>
      </c>
      <c r="DS134" s="36">
        <v>0</v>
      </c>
      <c r="DT134" s="36">
        <v>0</v>
      </c>
      <c r="DU134" s="36">
        <v>0</v>
      </c>
      <c r="DV134" s="36">
        <v>0</v>
      </c>
      <c r="DW134" s="36">
        <v>0</v>
      </c>
      <c r="DX134" s="36">
        <v>0</v>
      </c>
      <c r="DY134" s="36">
        <v>0</v>
      </c>
      <c r="DZ134" s="36">
        <v>0</v>
      </c>
      <c r="EA134" s="36">
        <v>0</v>
      </c>
      <c r="EB134" s="36">
        <v>0</v>
      </c>
      <c r="EC134" s="36">
        <v>0</v>
      </c>
      <c r="ED134" s="36">
        <v>0</v>
      </c>
      <c r="EE134" s="36">
        <v>0</v>
      </c>
      <c r="EF134" s="36">
        <v>0</v>
      </c>
      <c r="EG134" s="36">
        <v>0</v>
      </c>
      <c r="EH134" s="36">
        <v>0</v>
      </c>
      <c r="EI134" s="36">
        <v>0</v>
      </c>
      <c r="EJ134" s="36">
        <v>0</v>
      </c>
      <c r="EK134" s="36">
        <v>0</v>
      </c>
      <c r="EL134" s="36">
        <v>0</v>
      </c>
      <c r="EM134" s="36">
        <v>0</v>
      </c>
      <c r="EN134" s="36">
        <v>0</v>
      </c>
      <c r="EO134" s="36">
        <v>0</v>
      </c>
      <c r="EP134" s="36">
        <v>0</v>
      </c>
      <c r="EQ134" s="36">
        <v>0</v>
      </c>
      <c r="ER134" s="36">
        <v>0</v>
      </c>
      <c r="ES134" s="36">
        <v>0</v>
      </c>
      <c r="ET134" s="36">
        <v>0</v>
      </c>
      <c r="EU134" s="36">
        <v>0</v>
      </c>
      <c r="EV134" s="36">
        <v>0</v>
      </c>
      <c r="EW134" s="36">
        <v>0</v>
      </c>
      <c r="EX134" s="36">
        <v>0</v>
      </c>
      <c r="EY134" s="36">
        <v>0</v>
      </c>
      <c r="EZ134" s="36">
        <v>0</v>
      </c>
      <c r="FA134" s="36">
        <v>0</v>
      </c>
      <c r="FB134" s="36">
        <v>0</v>
      </c>
      <c r="FC134" s="36">
        <v>0</v>
      </c>
      <c r="FD134" s="36">
        <v>0</v>
      </c>
      <c r="FE134" s="36">
        <v>0</v>
      </c>
      <c r="FF134" s="36">
        <v>0</v>
      </c>
      <c r="FG134" s="36">
        <v>0</v>
      </c>
      <c r="FH134" s="36">
        <v>0</v>
      </c>
      <c r="FI134" s="36">
        <v>0</v>
      </c>
      <c r="FJ134" s="36">
        <v>0</v>
      </c>
      <c r="FK134" s="36">
        <v>0</v>
      </c>
      <c r="FL134" s="36">
        <v>0</v>
      </c>
      <c r="FM134" s="36">
        <v>0</v>
      </c>
      <c r="FN134" s="36">
        <v>0</v>
      </c>
      <c r="FO134" s="36">
        <v>0</v>
      </c>
      <c r="FP134" s="36">
        <v>0</v>
      </c>
      <c r="FQ134" s="36">
        <v>0</v>
      </c>
      <c r="FR134" s="36">
        <v>0</v>
      </c>
      <c r="FS134" s="36">
        <v>0</v>
      </c>
      <c r="FT134" s="36">
        <v>0</v>
      </c>
      <c r="FU134" s="36">
        <v>0</v>
      </c>
      <c r="FV134" s="36">
        <v>0</v>
      </c>
      <c r="FW134" s="36">
        <v>0</v>
      </c>
      <c r="FX134" s="36">
        <v>0</v>
      </c>
      <c r="FY134" s="36">
        <v>0</v>
      </c>
      <c r="FZ134" s="36">
        <v>0</v>
      </c>
      <c r="GA134" s="36">
        <v>0</v>
      </c>
      <c r="GB134" s="36">
        <v>0</v>
      </c>
      <c r="GC134" s="36">
        <v>0</v>
      </c>
      <c r="GD134" s="36">
        <v>0</v>
      </c>
      <c r="GE134" s="36">
        <v>0</v>
      </c>
      <c r="GF134" s="36">
        <v>0</v>
      </c>
      <c r="GG134" s="42">
        <v>84.726394036399199</v>
      </c>
      <c r="GH134" s="42">
        <v>130.19516276168014</v>
      </c>
      <c r="GI134" s="42">
        <v>279.19280036503307</v>
      </c>
      <c r="GJ134" s="42">
        <v>327.55547697817281</v>
      </c>
      <c r="GK134" s="42">
        <v>362.16319773274967</v>
      </c>
      <c r="GL134" s="42">
        <v>1400.3700848902886</v>
      </c>
      <c r="GM134" s="42">
        <v>1057.2278031014484</v>
      </c>
      <c r="GN134" s="42">
        <v>1251.3742665969598</v>
      </c>
      <c r="GO134" s="42">
        <v>3361.6422320140755</v>
      </c>
      <c r="GP134" s="42">
        <v>441.96590655927474</v>
      </c>
      <c r="GQ134" s="42">
        <v>416.72413203525747</v>
      </c>
      <c r="GR134" s="42">
        <v>836.00492642272525</v>
      </c>
      <c r="GS134" s="42">
        <v>2077.3392227541085</v>
      </c>
      <c r="GT134" s="42">
        <v>1061.8286140170226</v>
      </c>
      <c r="GU134" s="36">
        <v>0</v>
      </c>
      <c r="GV134" s="36">
        <v>0</v>
      </c>
      <c r="GW134" s="36">
        <v>0</v>
      </c>
      <c r="GX134" s="36">
        <v>0</v>
      </c>
      <c r="GY134" s="36">
        <v>0</v>
      </c>
      <c r="GZ134" s="36">
        <v>3911.8493796488001</v>
      </c>
      <c r="HA134" s="38">
        <v>1182.7053570727876</v>
      </c>
      <c r="HB134" s="36">
        <v>15369.645221267165</v>
      </c>
      <c r="HC134" s="36">
        <f t="shared" si="2"/>
        <v>115589.78002071165</v>
      </c>
      <c r="HD134" s="36">
        <f>SUM(EA$5:EA$213)</f>
        <v>115589.78002071165</v>
      </c>
      <c r="HE134" s="41">
        <v>0</v>
      </c>
      <c r="HG134" s="43"/>
      <c r="HH134" s="43"/>
      <c r="HI134" s="43"/>
      <c r="HJ134" s="43"/>
      <c r="HK134" s="43"/>
      <c r="HL134" s="43"/>
      <c r="HM134" s="43"/>
      <c r="HN134" s="43"/>
      <c r="HO134" s="43"/>
      <c r="HP134" s="43"/>
      <c r="HQ134" s="43"/>
      <c r="HR134" s="43"/>
      <c r="HS134" s="43"/>
      <c r="HT134" s="43"/>
    </row>
    <row r="135" spans="1:228" hidden="1" outlineLevel="1" x14ac:dyDescent="0.2">
      <c r="A135" s="9" t="s">
        <v>1055</v>
      </c>
      <c r="B135" s="36">
        <v>0</v>
      </c>
      <c r="C135" s="36">
        <v>0</v>
      </c>
      <c r="D135" s="36">
        <v>0</v>
      </c>
      <c r="E135" s="36">
        <v>0</v>
      </c>
      <c r="F135" s="36">
        <v>0</v>
      </c>
      <c r="G135" s="36">
        <v>0</v>
      </c>
      <c r="H135" s="36">
        <v>0</v>
      </c>
      <c r="I135" s="36">
        <v>0</v>
      </c>
      <c r="J135" s="36">
        <v>0</v>
      </c>
      <c r="K135" s="36">
        <v>0</v>
      </c>
      <c r="L135" s="36">
        <v>0</v>
      </c>
      <c r="M135" s="36">
        <v>0</v>
      </c>
      <c r="N135" s="36">
        <v>0</v>
      </c>
      <c r="O135" s="36">
        <v>0</v>
      </c>
      <c r="P135" s="36">
        <v>8.0638264122720044E-2</v>
      </c>
      <c r="Q135" s="36">
        <v>0.15871326059540064</v>
      </c>
      <c r="R135" s="36">
        <v>0</v>
      </c>
      <c r="S135" s="36">
        <v>0</v>
      </c>
      <c r="T135" s="36">
        <v>0</v>
      </c>
      <c r="U135" s="36">
        <v>0</v>
      </c>
      <c r="V135" s="36">
        <v>8.3843857707635649</v>
      </c>
      <c r="W135" s="36">
        <v>0</v>
      </c>
      <c r="X135" s="36">
        <v>0</v>
      </c>
      <c r="Y135" s="36">
        <v>0</v>
      </c>
      <c r="Z135" s="36">
        <v>0</v>
      </c>
      <c r="AA135" s="36">
        <v>213.31713940839978</v>
      </c>
      <c r="AB135" s="36">
        <v>1149.1291858985599</v>
      </c>
      <c r="AC135" s="36">
        <v>7844.5669826989615</v>
      </c>
      <c r="AD135" s="36">
        <v>1074.4994604047452</v>
      </c>
      <c r="AE135" s="36">
        <v>45.495859841662757</v>
      </c>
      <c r="AF135" s="36">
        <v>30.992999992434257</v>
      </c>
      <c r="AG135" s="36">
        <v>0</v>
      </c>
      <c r="AH135" s="36">
        <v>47.837799487434168</v>
      </c>
      <c r="AI135" s="36">
        <v>2.254958112452853</v>
      </c>
      <c r="AJ135" s="36">
        <v>3.2544297496007295</v>
      </c>
      <c r="AK135" s="36">
        <v>0</v>
      </c>
      <c r="AL135" s="36">
        <v>0</v>
      </c>
      <c r="AM135" s="36">
        <v>0</v>
      </c>
      <c r="AN135" s="36">
        <v>0</v>
      </c>
      <c r="AO135" s="36">
        <v>0</v>
      </c>
      <c r="AP135" s="36">
        <v>0</v>
      </c>
      <c r="AQ135" s="36">
        <v>0</v>
      </c>
      <c r="AR135" s="36">
        <v>352.81456400925987</v>
      </c>
      <c r="AS135" s="36">
        <v>0</v>
      </c>
      <c r="AT135" s="36">
        <v>62139.441112521796</v>
      </c>
      <c r="AU135" s="36">
        <v>0</v>
      </c>
      <c r="AV135" s="36">
        <v>0</v>
      </c>
      <c r="AW135" s="36">
        <v>0</v>
      </c>
      <c r="AX135" s="36">
        <v>0</v>
      </c>
      <c r="AY135" s="36">
        <v>0</v>
      </c>
      <c r="AZ135" s="36">
        <v>1061.1959872423934</v>
      </c>
      <c r="BA135" s="36">
        <v>0</v>
      </c>
      <c r="BB135" s="36">
        <v>0</v>
      </c>
      <c r="BC135" s="36">
        <v>126.62270326377386</v>
      </c>
      <c r="BD135" s="36">
        <v>9.0966831540578283</v>
      </c>
      <c r="BE135" s="36">
        <v>48.794118366780509</v>
      </c>
      <c r="BF135" s="36">
        <v>0</v>
      </c>
      <c r="BG135" s="36">
        <v>83.653674821540804</v>
      </c>
      <c r="BH135" s="36">
        <v>30.834997528844049</v>
      </c>
      <c r="BI135" s="36">
        <v>0</v>
      </c>
      <c r="BJ135" s="36">
        <v>84.57614594789554</v>
      </c>
      <c r="BK135" s="36">
        <v>0</v>
      </c>
      <c r="BL135" s="36">
        <v>0</v>
      </c>
      <c r="BM135" s="36">
        <v>0</v>
      </c>
      <c r="BN135" s="36">
        <v>0</v>
      </c>
      <c r="BO135" s="36">
        <v>0</v>
      </c>
      <c r="BP135" s="36">
        <v>0</v>
      </c>
      <c r="BQ135" s="36">
        <v>0</v>
      </c>
      <c r="BR135" s="36">
        <v>0</v>
      </c>
      <c r="BS135" s="36">
        <v>0</v>
      </c>
      <c r="BT135" s="36">
        <v>0</v>
      </c>
      <c r="BU135" s="36">
        <v>0</v>
      </c>
      <c r="BV135" s="36">
        <v>0</v>
      </c>
      <c r="BW135" s="36">
        <v>0</v>
      </c>
      <c r="BX135" s="36">
        <v>0</v>
      </c>
      <c r="BY135" s="36">
        <v>0</v>
      </c>
      <c r="BZ135" s="36">
        <v>0</v>
      </c>
      <c r="CA135" s="36">
        <v>0</v>
      </c>
      <c r="CB135" s="36">
        <v>0</v>
      </c>
      <c r="CC135" s="36">
        <v>0</v>
      </c>
      <c r="CD135" s="36">
        <v>0</v>
      </c>
      <c r="CE135" s="36">
        <v>0</v>
      </c>
      <c r="CF135" s="36">
        <v>0</v>
      </c>
      <c r="CG135" s="36">
        <v>0</v>
      </c>
      <c r="CH135" s="36">
        <v>0</v>
      </c>
      <c r="CI135" s="36">
        <v>0</v>
      </c>
      <c r="CJ135" s="36">
        <v>0</v>
      </c>
      <c r="CK135" s="36">
        <v>0</v>
      </c>
      <c r="CL135" s="36">
        <v>0</v>
      </c>
      <c r="CM135" s="36">
        <v>0</v>
      </c>
      <c r="CN135" s="36">
        <v>0</v>
      </c>
      <c r="CO135" s="36">
        <v>0</v>
      </c>
      <c r="CP135" s="36">
        <v>0</v>
      </c>
      <c r="CQ135" s="36">
        <v>0</v>
      </c>
      <c r="CR135" s="36">
        <v>0</v>
      </c>
      <c r="CS135" s="36">
        <v>0</v>
      </c>
      <c r="CT135" s="36">
        <v>0</v>
      </c>
      <c r="CU135" s="36">
        <v>0</v>
      </c>
      <c r="CV135" s="36">
        <v>0</v>
      </c>
      <c r="CW135" s="36">
        <v>0</v>
      </c>
      <c r="CX135" s="36">
        <v>0</v>
      </c>
      <c r="CY135" s="36">
        <v>0</v>
      </c>
      <c r="CZ135" s="36">
        <v>0</v>
      </c>
      <c r="DA135" s="36">
        <v>0</v>
      </c>
      <c r="DB135" s="36">
        <v>0</v>
      </c>
      <c r="DC135" s="36">
        <v>0</v>
      </c>
      <c r="DD135" s="36">
        <v>0</v>
      </c>
      <c r="DE135" s="36">
        <v>0</v>
      </c>
      <c r="DF135" s="36">
        <v>0</v>
      </c>
      <c r="DG135" s="36">
        <v>0</v>
      </c>
      <c r="DH135" s="36">
        <v>0</v>
      </c>
      <c r="DI135" s="36">
        <v>0</v>
      </c>
      <c r="DJ135" s="36">
        <v>0</v>
      </c>
      <c r="DK135" s="36">
        <v>0</v>
      </c>
      <c r="DL135" s="36">
        <v>0</v>
      </c>
      <c r="DM135" s="36">
        <v>0</v>
      </c>
      <c r="DN135" s="36">
        <v>0</v>
      </c>
      <c r="DO135" s="36">
        <v>0</v>
      </c>
      <c r="DP135" s="36">
        <v>0</v>
      </c>
      <c r="DQ135" s="36">
        <v>0</v>
      </c>
      <c r="DR135" s="36">
        <v>0</v>
      </c>
      <c r="DS135" s="36">
        <v>0</v>
      </c>
      <c r="DT135" s="36">
        <v>0</v>
      </c>
      <c r="DU135" s="36">
        <v>0</v>
      </c>
      <c r="DV135" s="36">
        <v>0</v>
      </c>
      <c r="DW135" s="36">
        <v>0</v>
      </c>
      <c r="DX135" s="36">
        <v>0</v>
      </c>
      <c r="DY135" s="36">
        <v>0</v>
      </c>
      <c r="DZ135" s="36">
        <v>0</v>
      </c>
      <c r="EA135" s="36">
        <v>0</v>
      </c>
      <c r="EB135" s="36">
        <v>0</v>
      </c>
      <c r="EC135" s="36">
        <v>0</v>
      </c>
      <c r="ED135" s="36">
        <v>0</v>
      </c>
      <c r="EE135" s="36">
        <v>0</v>
      </c>
      <c r="EF135" s="36">
        <v>0</v>
      </c>
      <c r="EG135" s="36">
        <v>0</v>
      </c>
      <c r="EH135" s="36">
        <v>0</v>
      </c>
      <c r="EI135" s="36">
        <v>0</v>
      </c>
      <c r="EJ135" s="36">
        <v>0</v>
      </c>
      <c r="EK135" s="36">
        <v>0</v>
      </c>
      <c r="EL135" s="36">
        <v>0</v>
      </c>
      <c r="EM135" s="36">
        <v>0</v>
      </c>
      <c r="EN135" s="36">
        <v>0</v>
      </c>
      <c r="EO135" s="36">
        <v>0</v>
      </c>
      <c r="EP135" s="36">
        <v>0</v>
      </c>
      <c r="EQ135" s="36">
        <v>0</v>
      </c>
      <c r="ER135" s="36">
        <v>0</v>
      </c>
      <c r="ES135" s="36">
        <v>0</v>
      </c>
      <c r="ET135" s="36">
        <v>0</v>
      </c>
      <c r="EU135" s="36">
        <v>0</v>
      </c>
      <c r="EV135" s="36">
        <v>0</v>
      </c>
      <c r="EW135" s="36">
        <v>0</v>
      </c>
      <c r="EX135" s="36">
        <v>0</v>
      </c>
      <c r="EY135" s="36">
        <v>0</v>
      </c>
      <c r="EZ135" s="36">
        <v>0</v>
      </c>
      <c r="FA135" s="36">
        <v>0</v>
      </c>
      <c r="FB135" s="36">
        <v>0</v>
      </c>
      <c r="FC135" s="36">
        <v>0</v>
      </c>
      <c r="FD135" s="36">
        <v>0</v>
      </c>
      <c r="FE135" s="36">
        <v>0</v>
      </c>
      <c r="FF135" s="36">
        <v>0</v>
      </c>
      <c r="FG135" s="36">
        <v>0</v>
      </c>
      <c r="FH135" s="36">
        <v>0</v>
      </c>
      <c r="FI135" s="36">
        <v>0</v>
      </c>
      <c r="FJ135" s="36">
        <v>0</v>
      </c>
      <c r="FK135" s="36">
        <v>0</v>
      </c>
      <c r="FL135" s="36">
        <v>0</v>
      </c>
      <c r="FM135" s="36">
        <v>0</v>
      </c>
      <c r="FN135" s="36">
        <v>0</v>
      </c>
      <c r="FO135" s="36">
        <v>0</v>
      </c>
      <c r="FP135" s="36">
        <v>0</v>
      </c>
      <c r="FQ135" s="36">
        <v>0</v>
      </c>
      <c r="FR135" s="36">
        <v>0</v>
      </c>
      <c r="FS135" s="36">
        <v>0</v>
      </c>
      <c r="FT135" s="36">
        <v>0</v>
      </c>
      <c r="FU135" s="36">
        <v>0</v>
      </c>
      <c r="FV135" s="36">
        <v>0</v>
      </c>
      <c r="FW135" s="36">
        <v>0</v>
      </c>
      <c r="FX135" s="36">
        <v>0</v>
      </c>
      <c r="FY135" s="36">
        <v>0</v>
      </c>
      <c r="FZ135" s="36">
        <v>0</v>
      </c>
      <c r="GA135" s="36">
        <v>0</v>
      </c>
      <c r="GB135" s="36">
        <v>0</v>
      </c>
      <c r="GC135" s="36">
        <v>0</v>
      </c>
      <c r="GD135" s="36">
        <v>0</v>
      </c>
      <c r="GE135" s="36">
        <v>0</v>
      </c>
      <c r="GF135" s="36">
        <v>0</v>
      </c>
      <c r="GG135" s="42">
        <v>1482.3878740758682</v>
      </c>
      <c r="GH135" s="42">
        <v>2076.0453464135462</v>
      </c>
      <c r="GI135" s="42">
        <v>2599.5465324670899</v>
      </c>
      <c r="GJ135" s="42">
        <v>3254.2392387965642</v>
      </c>
      <c r="GK135" s="42">
        <v>3574.0816032650309</v>
      </c>
      <c r="GL135" s="42">
        <v>4451.3455791398637</v>
      </c>
      <c r="GM135" s="42">
        <v>5786.3307205884894</v>
      </c>
      <c r="GN135" s="42">
        <v>7921.4878924941586</v>
      </c>
      <c r="GO135" s="42">
        <v>9368.3363378124723</v>
      </c>
      <c r="GP135" s="42">
        <v>2515.8835482274026</v>
      </c>
      <c r="GQ135" s="42">
        <v>2346.6698082458938</v>
      </c>
      <c r="GR135" s="42">
        <v>3358.1193449547141</v>
      </c>
      <c r="GS135" s="42">
        <v>4698.782646947112</v>
      </c>
      <c r="GT135" s="42">
        <v>3751.0549425724785</v>
      </c>
      <c r="GU135" s="36">
        <v>0</v>
      </c>
      <c r="GV135" s="36">
        <v>0</v>
      </c>
      <c r="GW135" s="36">
        <v>0</v>
      </c>
      <c r="GX135" s="36">
        <v>0</v>
      </c>
      <c r="GY135" s="36">
        <v>0</v>
      </c>
      <c r="GZ135" s="36">
        <v>125297.86945078861</v>
      </c>
      <c r="HA135" s="38">
        <v>-14242.858954519324</v>
      </c>
      <c r="HB135" s="36">
        <v>8437.0472075688631</v>
      </c>
      <c r="HC135" s="36">
        <f t="shared" si="2"/>
        <v>251033.3716595849</v>
      </c>
      <c r="HD135" s="36">
        <f>SUM(EB$5:EB$213)</f>
        <v>251033.37165958493</v>
      </c>
      <c r="HE135" s="41">
        <v>0</v>
      </c>
      <c r="HG135" s="43"/>
      <c r="HH135" s="43"/>
      <c r="HI135" s="43"/>
      <c r="HJ135" s="43"/>
      <c r="HK135" s="43"/>
      <c r="HL135" s="43"/>
      <c r="HM135" s="43"/>
      <c r="HN135" s="43"/>
      <c r="HO135" s="43"/>
      <c r="HP135" s="43"/>
      <c r="HQ135" s="43"/>
      <c r="HR135" s="43"/>
      <c r="HS135" s="43"/>
      <c r="HT135" s="43"/>
    </row>
    <row r="136" spans="1:228" hidden="1" outlineLevel="1" x14ac:dyDescent="0.2">
      <c r="A136" s="9" t="s">
        <v>1060</v>
      </c>
      <c r="B136" s="36">
        <v>0</v>
      </c>
      <c r="C136" s="36">
        <v>0</v>
      </c>
      <c r="D136" s="36">
        <v>0</v>
      </c>
      <c r="E136" s="36">
        <v>0</v>
      </c>
      <c r="F136" s="36">
        <v>0</v>
      </c>
      <c r="G136" s="36">
        <v>0</v>
      </c>
      <c r="H136" s="36">
        <v>0</v>
      </c>
      <c r="I136" s="36">
        <v>0</v>
      </c>
      <c r="J136" s="36">
        <v>0</v>
      </c>
      <c r="K136" s="36">
        <v>0</v>
      </c>
      <c r="L136" s="36">
        <v>0</v>
      </c>
      <c r="M136" s="36">
        <v>0</v>
      </c>
      <c r="N136" s="36">
        <v>0</v>
      </c>
      <c r="O136" s="36">
        <v>0</v>
      </c>
      <c r="P136" s="36">
        <v>0</v>
      </c>
      <c r="Q136" s="36">
        <v>0</v>
      </c>
      <c r="R136" s="36">
        <v>0</v>
      </c>
      <c r="S136" s="36">
        <v>0</v>
      </c>
      <c r="T136" s="36">
        <v>2.878174091551422</v>
      </c>
      <c r="U136" s="36">
        <v>0</v>
      </c>
      <c r="V136" s="36">
        <v>0</v>
      </c>
      <c r="W136" s="36">
        <v>0</v>
      </c>
      <c r="X136" s="36">
        <v>0</v>
      </c>
      <c r="Y136" s="36">
        <v>0</v>
      </c>
      <c r="Z136" s="36">
        <v>0</v>
      </c>
      <c r="AA136" s="36">
        <v>0</v>
      </c>
      <c r="AB136" s="36">
        <v>0.55622911984020573</v>
      </c>
      <c r="AC136" s="36">
        <v>0</v>
      </c>
      <c r="AD136" s="36">
        <v>859.39107333501238</v>
      </c>
      <c r="AE136" s="36">
        <v>89.989390477168683</v>
      </c>
      <c r="AF136" s="36">
        <v>2.5496048353850256</v>
      </c>
      <c r="AG136" s="36">
        <v>0</v>
      </c>
      <c r="AH136" s="36">
        <v>1.6095014385496116</v>
      </c>
      <c r="AI136" s="36">
        <v>2.9347911607523161</v>
      </c>
      <c r="AJ136" s="36">
        <v>3.3680806201074791</v>
      </c>
      <c r="AK136" s="36">
        <v>0</v>
      </c>
      <c r="AL136" s="36">
        <v>0</v>
      </c>
      <c r="AM136" s="36">
        <v>0</v>
      </c>
      <c r="AN136" s="36">
        <v>0</v>
      </c>
      <c r="AO136" s="36">
        <v>0</v>
      </c>
      <c r="AP136" s="36">
        <v>0</v>
      </c>
      <c r="AQ136" s="36">
        <v>0</v>
      </c>
      <c r="AR136" s="36">
        <v>0</v>
      </c>
      <c r="AS136" s="36">
        <v>0</v>
      </c>
      <c r="AT136" s="36">
        <v>0</v>
      </c>
      <c r="AU136" s="36">
        <v>0</v>
      </c>
      <c r="AV136" s="36">
        <v>0</v>
      </c>
      <c r="AW136" s="36">
        <v>0</v>
      </c>
      <c r="AX136" s="36">
        <v>0</v>
      </c>
      <c r="AY136" s="36">
        <v>0</v>
      </c>
      <c r="AZ136" s="36">
        <v>0</v>
      </c>
      <c r="BA136" s="36">
        <v>0</v>
      </c>
      <c r="BB136" s="36">
        <v>0</v>
      </c>
      <c r="BC136" s="36">
        <v>221.90091203566342</v>
      </c>
      <c r="BD136" s="36">
        <v>35.517567778095589</v>
      </c>
      <c r="BE136" s="36">
        <v>19713.49676063826</v>
      </c>
      <c r="BF136" s="36">
        <v>0</v>
      </c>
      <c r="BG136" s="36">
        <v>0</v>
      </c>
      <c r="BH136" s="36">
        <v>0</v>
      </c>
      <c r="BI136" s="36">
        <v>0</v>
      </c>
      <c r="BJ136" s="36">
        <v>0</v>
      </c>
      <c r="BK136" s="36">
        <v>0</v>
      </c>
      <c r="BL136" s="36">
        <v>0</v>
      </c>
      <c r="BM136" s="36">
        <v>0</v>
      </c>
      <c r="BN136" s="36">
        <v>0</v>
      </c>
      <c r="BO136" s="36">
        <v>0</v>
      </c>
      <c r="BP136" s="36">
        <v>0</v>
      </c>
      <c r="BQ136" s="36">
        <v>0</v>
      </c>
      <c r="BR136" s="36">
        <v>0</v>
      </c>
      <c r="BS136" s="36">
        <v>0</v>
      </c>
      <c r="BT136" s="36">
        <v>0</v>
      </c>
      <c r="BU136" s="36">
        <v>0</v>
      </c>
      <c r="BV136" s="36">
        <v>0</v>
      </c>
      <c r="BW136" s="36">
        <v>0</v>
      </c>
      <c r="BX136" s="36">
        <v>0</v>
      </c>
      <c r="BY136" s="36">
        <v>0</v>
      </c>
      <c r="BZ136" s="36">
        <v>0</v>
      </c>
      <c r="CA136" s="36">
        <v>0</v>
      </c>
      <c r="CB136" s="36">
        <v>0</v>
      </c>
      <c r="CC136" s="36">
        <v>0</v>
      </c>
      <c r="CD136" s="36">
        <v>0</v>
      </c>
      <c r="CE136" s="36">
        <v>0</v>
      </c>
      <c r="CF136" s="36">
        <v>0</v>
      </c>
      <c r="CG136" s="36">
        <v>0</v>
      </c>
      <c r="CH136" s="36">
        <v>0</v>
      </c>
      <c r="CI136" s="36">
        <v>0</v>
      </c>
      <c r="CJ136" s="36">
        <v>0</v>
      </c>
      <c r="CK136" s="36">
        <v>0</v>
      </c>
      <c r="CL136" s="36">
        <v>0</v>
      </c>
      <c r="CM136" s="36">
        <v>0</v>
      </c>
      <c r="CN136" s="36">
        <v>0</v>
      </c>
      <c r="CO136" s="36">
        <v>0</v>
      </c>
      <c r="CP136" s="36">
        <v>0</v>
      </c>
      <c r="CQ136" s="36">
        <v>0</v>
      </c>
      <c r="CR136" s="36">
        <v>0</v>
      </c>
      <c r="CS136" s="36">
        <v>0</v>
      </c>
      <c r="CT136" s="36">
        <v>0</v>
      </c>
      <c r="CU136" s="36">
        <v>0</v>
      </c>
      <c r="CV136" s="36">
        <v>0</v>
      </c>
      <c r="CW136" s="36">
        <v>0</v>
      </c>
      <c r="CX136" s="36">
        <v>0</v>
      </c>
      <c r="CY136" s="36">
        <v>0</v>
      </c>
      <c r="CZ136" s="36">
        <v>0</v>
      </c>
      <c r="DA136" s="36">
        <v>0</v>
      </c>
      <c r="DB136" s="36">
        <v>0</v>
      </c>
      <c r="DC136" s="36">
        <v>0</v>
      </c>
      <c r="DD136" s="36">
        <v>0</v>
      </c>
      <c r="DE136" s="36">
        <v>0</v>
      </c>
      <c r="DF136" s="36">
        <v>0</v>
      </c>
      <c r="DG136" s="36">
        <v>0</v>
      </c>
      <c r="DH136" s="36">
        <v>0</v>
      </c>
      <c r="DI136" s="36">
        <v>0</v>
      </c>
      <c r="DJ136" s="36">
        <v>0</v>
      </c>
      <c r="DK136" s="36">
        <v>0</v>
      </c>
      <c r="DL136" s="36">
        <v>0</v>
      </c>
      <c r="DM136" s="36">
        <v>0</v>
      </c>
      <c r="DN136" s="36">
        <v>0</v>
      </c>
      <c r="DO136" s="36">
        <v>0</v>
      </c>
      <c r="DP136" s="36">
        <v>0</v>
      </c>
      <c r="DQ136" s="36">
        <v>0</v>
      </c>
      <c r="DR136" s="36">
        <v>0</v>
      </c>
      <c r="DS136" s="36">
        <v>0</v>
      </c>
      <c r="DT136" s="36">
        <v>0</v>
      </c>
      <c r="DU136" s="36">
        <v>0</v>
      </c>
      <c r="DV136" s="36">
        <v>0</v>
      </c>
      <c r="DW136" s="36">
        <v>0</v>
      </c>
      <c r="DX136" s="36">
        <v>0</v>
      </c>
      <c r="DY136" s="36">
        <v>0</v>
      </c>
      <c r="DZ136" s="36">
        <v>0</v>
      </c>
      <c r="EA136" s="36">
        <v>0</v>
      </c>
      <c r="EB136" s="36">
        <v>0</v>
      </c>
      <c r="EC136" s="36">
        <v>0</v>
      </c>
      <c r="ED136" s="36">
        <v>0</v>
      </c>
      <c r="EE136" s="36">
        <v>0</v>
      </c>
      <c r="EF136" s="36">
        <v>0</v>
      </c>
      <c r="EG136" s="36">
        <v>0</v>
      </c>
      <c r="EH136" s="36">
        <v>0</v>
      </c>
      <c r="EI136" s="36">
        <v>0</v>
      </c>
      <c r="EJ136" s="36">
        <v>0</v>
      </c>
      <c r="EK136" s="36">
        <v>0</v>
      </c>
      <c r="EL136" s="36">
        <v>0</v>
      </c>
      <c r="EM136" s="36">
        <v>0</v>
      </c>
      <c r="EN136" s="36">
        <v>0</v>
      </c>
      <c r="EO136" s="36">
        <v>0</v>
      </c>
      <c r="EP136" s="36">
        <v>0</v>
      </c>
      <c r="EQ136" s="36">
        <v>0</v>
      </c>
      <c r="ER136" s="36">
        <v>0</v>
      </c>
      <c r="ES136" s="36">
        <v>0</v>
      </c>
      <c r="ET136" s="36">
        <v>0</v>
      </c>
      <c r="EU136" s="36">
        <v>0</v>
      </c>
      <c r="EV136" s="36">
        <v>0</v>
      </c>
      <c r="EW136" s="36">
        <v>0</v>
      </c>
      <c r="EX136" s="36">
        <v>0</v>
      </c>
      <c r="EY136" s="36">
        <v>0</v>
      </c>
      <c r="EZ136" s="36">
        <v>0</v>
      </c>
      <c r="FA136" s="36">
        <v>0</v>
      </c>
      <c r="FB136" s="36">
        <v>0</v>
      </c>
      <c r="FC136" s="36">
        <v>0</v>
      </c>
      <c r="FD136" s="36">
        <v>0</v>
      </c>
      <c r="FE136" s="36">
        <v>0</v>
      </c>
      <c r="FF136" s="36">
        <v>0</v>
      </c>
      <c r="FG136" s="36">
        <v>0</v>
      </c>
      <c r="FH136" s="36">
        <v>0</v>
      </c>
      <c r="FI136" s="36">
        <v>0</v>
      </c>
      <c r="FJ136" s="36">
        <v>0</v>
      </c>
      <c r="FK136" s="36">
        <v>0</v>
      </c>
      <c r="FL136" s="36">
        <v>0</v>
      </c>
      <c r="FM136" s="36">
        <v>0</v>
      </c>
      <c r="FN136" s="36">
        <v>0</v>
      </c>
      <c r="FO136" s="36">
        <v>0</v>
      </c>
      <c r="FP136" s="36">
        <v>0</v>
      </c>
      <c r="FQ136" s="36">
        <v>0</v>
      </c>
      <c r="FR136" s="36">
        <v>0</v>
      </c>
      <c r="FS136" s="36">
        <v>0</v>
      </c>
      <c r="FT136" s="36">
        <v>0</v>
      </c>
      <c r="FU136" s="36">
        <v>0</v>
      </c>
      <c r="FV136" s="36">
        <v>0</v>
      </c>
      <c r="FW136" s="36">
        <v>0</v>
      </c>
      <c r="FX136" s="36">
        <v>0</v>
      </c>
      <c r="FY136" s="36">
        <v>0</v>
      </c>
      <c r="FZ136" s="36">
        <v>0</v>
      </c>
      <c r="GA136" s="36">
        <v>0</v>
      </c>
      <c r="GB136" s="36">
        <v>0</v>
      </c>
      <c r="GC136" s="36">
        <v>0</v>
      </c>
      <c r="GD136" s="36">
        <v>0</v>
      </c>
      <c r="GE136" s="36">
        <v>0</v>
      </c>
      <c r="GF136" s="36">
        <v>0</v>
      </c>
      <c r="GG136" s="42">
        <v>65.109314506831254</v>
      </c>
      <c r="GH136" s="42">
        <v>126.7588980994261</v>
      </c>
      <c r="GI136" s="42">
        <v>145.51169141481722</v>
      </c>
      <c r="GJ136" s="42">
        <v>231.34950840772404</v>
      </c>
      <c r="GK136" s="42">
        <v>447.9050418512694</v>
      </c>
      <c r="GL136" s="42">
        <v>568.74201605456926</v>
      </c>
      <c r="GM136" s="42">
        <v>961.39678770944454</v>
      </c>
      <c r="GN136" s="42">
        <v>1586.0430725611534</v>
      </c>
      <c r="GO136" s="42">
        <v>3324.3947300833429</v>
      </c>
      <c r="GP136" s="42">
        <v>1020.4093020389165</v>
      </c>
      <c r="GQ136" s="42">
        <v>456.25047775904278</v>
      </c>
      <c r="GR136" s="42">
        <v>651.06810952105172</v>
      </c>
      <c r="GS136" s="42">
        <v>1741.847974935253</v>
      </c>
      <c r="GT136" s="42">
        <v>4411.5171894690857</v>
      </c>
      <c r="GU136" s="36">
        <v>0</v>
      </c>
      <c r="GV136" s="36">
        <v>0</v>
      </c>
      <c r="GW136" s="36">
        <v>0</v>
      </c>
      <c r="GX136" s="36">
        <v>0</v>
      </c>
      <c r="GY136" s="36">
        <v>0</v>
      </c>
      <c r="GZ136" s="36">
        <v>22276.06413071647</v>
      </c>
      <c r="HA136" s="38">
        <v>-440.75710579562292</v>
      </c>
      <c r="HB136" s="36">
        <v>8928.8770897240101</v>
      </c>
      <c r="HC136" s="36">
        <f t="shared" si="2"/>
        <v>67436.680314587167</v>
      </c>
      <c r="HD136" s="36">
        <f>SUM(EC$5:EC$213)</f>
        <v>67436.680314587182</v>
      </c>
      <c r="HE136" s="41">
        <v>0</v>
      </c>
      <c r="HG136" s="43"/>
      <c r="HH136" s="43"/>
      <c r="HI136" s="43"/>
      <c r="HJ136" s="43"/>
      <c r="HK136" s="43"/>
      <c r="HL136" s="43"/>
      <c r="HM136" s="43"/>
      <c r="HN136" s="43"/>
      <c r="HO136" s="43"/>
      <c r="HP136" s="43"/>
      <c r="HQ136" s="43"/>
      <c r="HR136" s="43"/>
      <c r="HS136" s="43"/>
      <c r="HT136" s="43"/>
    </row>
    <row r="137" spans="1:228" hidden="1" outlineLevel="1" x14ac:dyDescent="0.2">
      <c r="A137" s="9" t="s">
        <v>1066</v>
      </c>
      <c r="B137" s="36">
        <v>0</v>
      </c>
      <c r="C137" s="36">
        <v>22.541396671857477</v>
      </c>
      <c r="D137" s="36">
        <v>2.5377557196321048</v>
      </c>
      <c r="E137" s="36">
        <v>0</v>
      </c>
      <c r="F137" s="36">
        <v>0</v>
      </c>
      <c r="G137" s="36">
        <v>0</v>
      </c>
      <c r="H137" s="36">
        <v>0</v>
      </c>
      <c r="I137" s="36">
        <v>0</v>
      </c>
      <c r="J137" s="36">
        <v>0</v>
      </c>
      <c r="K137" s="36">
        <v>0</v>
      </c>
      <c r="L137" s="36">
        <v>0</v>
      </c>
      <c r="M137" s="36">
        <v>0</v>
      </c>
      <c r="N137" s="36">
        <v>0</v>
      </c>
      <c r="O137" s="36">
        <v>0</v>
      </c>
      <c r="P137" s="36">
        <v>0</v>
      </c>
      <c r="Q137" s="36">
        <v>0</v>
      </c>
      <c r="R137" s="36">
        <v>0</v>
      </c>
      <c r="S137" s="36">
        <v>0</v>
      </c>
      <c r="T137" s="36">
        <v>0</v>
      </c>
      <c r="U137" s="36">
        <v>0</v>
      </c>
      <c r="V137" s="36">
        <v>0</v>
      </c>
      <c r="W137" s="36">
        <v>0</v>
      </c>
      <c r="X137" s="36">
        <v>0</v>
      </c>
      <c r="Y137" s="36">
        <v>0</v>
      </c>
      <c r="Z137" s="36">
        <v>0</v>
      </c>
      <c r="AA137" s="36">
        <v>1348.1086629590013</v>
      </c>
      <c r="AB137" s="36">
        <v>900.78945491541867</v>
      </c>
      <c r="AC137" s="36">
        <v>0</v>
      </c>
      <c r="AD137" s="36">
        <v>0</v>
      </c>
      <c r="AE137" s="36">
        <v>113106.48290820258</v>
      </c>
      <c r="AF137" s="36">
        <v>2171.6225925692911</v>
      </c>
      <c r="AG137" s="36">
        <v>0</v>
      </c>
      <c r="AH137" s="36">
        <v>0</v>
      </c>
      <c r="AI137" s="36">
        <v>101.72143466479079</v>
      </c>
      <c r="AJ137" s="36">
        <v>117.56926112905585</v>
      </c>
      <c r="AK137" s="36">
        <v>0</v>
      </c>
      <c r="AL137" s="36">
        <v>0</v>
      </c>
      <c r="AM137" s="36">
        <v>0</v>
      </c>
      <c r="AN137" s="36">
        <v>0</v>
      </c>
      <c r="AO137" s="36">
        <v>0</v>
      </c>
      <c r="AP137" s="36">
        <v>6940.2432690852938</v>
      </c>
      <c r="AQ137" s="36">
        <v>0</v>
      </c>
      <c r="AR137" s="36">
        <v>0</v>
      </c>
      <c r="AS137" s="36">
        <v>0</v>
      </c>
      <c r="AT137" s="36">
        <v>1050.8363246583294</v>
      </c>
      <c r="AU137" s="36">
        <v>0</v>
      </c>
      <c r="AV137" s="36">
        <v>0</v>
      </c>
      <c r="AW137" s="36">
        <v>0</v>
      </c>
      <c r="AX137" s="36">
        <v>0</v>
      </c>
      <c r="AY137" s="36">
        <v>0</v>
      </c>
      <c r="AZ137" s="36">
        <v>0</v>
      </c>
      <c r="BA137" s="36">
        <v>0</v>
      </c>
      <c r="BB137" s="36">
        <v>0</v>
      </c>
      <c r="BC137" s="36">
        <v>959.11381382224067</v>
      </c>
      <c r="BD137" s="36">
        <v>0</v>
      </c>
      <c r="BE137" s="36">
        <v>41.794906792419326</v>
      </c>
      <c r="BF137" s="36">
        <v>23.248012940167946</v>
      </c>
      <c r="BG137" s="36">
        <v>0</v>
      </c>
      <c r="BH137" s="36">
        <v>5.7759400900823223</v>
      </c>
      <c r="BI137" s="36">
        <v>0</v>
      </c>
      <c r="BJ137" s="36">
        <v>8477.3327820093909</v>
      </c>
      <c r="BK137" s="36">
        <v>0</v>
      </c>
      <c r="BL137" s="36">
        <v>0</v>
      </c>
      <c r="BM137" s="36">
        <v>0</v>
      </c>
      <c r="BN137" s="36">
        <v>0</v>
      </c>
      <c r="BO137" s="36">
        <v>0</v>
      </c>
      <c r="BP137" s="36">
        <v>0</v>
      </c>
      <c r="BQ137" s="36">
        <v>0</v>
      </c>
      <c r="BR137" s="36">
        <v>0</v>
      </c>
      <c r="BS137" s="36">
        <v>0</v>
      </c>
      <c r="BT137" s="36">
        <v>0</v>
      </c>
      <c r="BU137" s="36">
        <v>0</v>
      </c>
      <c r="BV137" s="36">
        <v>0</v>
      </c>
      <c r="BW137" s="36">
        <v>0</v>
      </c>
      <c r="BX137" s="36">
        <v>0</v>
      </c>
      <c r="BY137" s="36">
        <v>0</v>
      </c>
      <c r="BZ137" s="36">
        <v>0</v>
      </c>
      <c r="CA137" s="36">
        <v>0</v>
      </c>
      <c r="CB137" s="36">
        <v>0</v>
      </c>
      <c r="CC137" s="36">
        <v>0</v>
      </c>
      <c r="CD137" s="36">
        <v>0</v>
      </c>
      <c r="CE137" s="36">
        <v>0</v>
      </c>
      <c r="CF137" s="36">
        <v>0</v>
      </c>
      <c r="CG137" s="36">
        <v>0</v>
      </c>
      <c r="CH137" s="36">
        <v>0</v>
      </c>
      <c r="CI137" s="36">
        <v>0</v>
      </c>
      <c r="CJ137" s="36">
        <v>0</v>
      </c>
      <c r="CK137" s="36">
        <v>0</v>
      </c>
      <c r="CL137" s="36">
        <v>0</v>
      </c>
      <c r="CM137" s="36">
        <v>0</v>
      </c>
      <c r="CN137" s="36">
        <v>0</v>
      </c>
      <c r="CO137" s="36">
        <v>0</v>
      </c>
      <c r="CP137" s="36">
        <v>0</v>
      </c>
      <c r="CQ137" s="36">
        <v>0</v>
      </c>
      <c r="CR137" s="36">
        <v>0</v>
      </c>
      <c r="CS137" s="36">
        <v>0</v>
      </c>
      <c r="CT137" s="36">
        <v>0</v>
      </c>
      <c r="CU137" s="36">
        <v>0</v>
      </c>
      <c r="CV137" s="36">
        <v>0</v>
      </c>
      <c r="CW137" s="36">
        <v>0</v>
      </c>
      <c r="CX137" s="36">
        <v>0</v>
      </c>
      <c r="CY137" s="36">
        <v>0</v>
      </c>
      <c r="CZ137" s="36">
        <v>0</v>
      </c>
      <c r="DA137" s="36">
        <v>0</v>
      </c>
      <c r="DB137" s="36">
        <v>0</v>
      </c>
      <c r="DC137" s="36">
        <v>0</v>
      </c>
      <c r="DD137" s="36">
        <v>0</v>
      </c>
      <c r="DE137" s="36">
        <v>0</v>
      </c>
      <c r="DF137" s="36">
        <v>0</v>
      </c>
      <c r="DG137" s="36">
        <v>0</v>
      </c>
      <c r="DH137" s="36">
        <v>0</v>
      </c>
      <c r="DI137" s="36">
        <v>0</v>
      </c>
      <c r="DJ137" s="36">
        <v>0</v>
      </c>
      <c r="DK137" s="36">
        <v>0</v>
      </c>
      <c r="DL137" s="36">
        <v>0</v>
      </c>
      <c r="DM137" s="36">
        <v>0</v>
      </c>
      <c r="DN137" s="36">
        <v>0</v>
      </c>
      <c r="DO137" s="36">
        <v>0</v>
      </c>
      <c r="DP137" s="36">
        <v>0</v>
      </c>
      <c r="DQ137" s="36">
        <v>0</v>
      </c>
      <c r="DR137" s="36">
        <v>0</v>
      </c>
      <c r="DS137" s="36">
        <v>0</v>
      </c>
      <c r="DT137" s="36">
        <v>0</v>
      </c>
      <c r="DU137" s="36">
        <v>0</v>
      </c>
      <c r="DV137" s="36">
        <v>0</v>
      </c>
      <c r="DW137" s="36">
        <v>0</v>
      </c>
      <c r="DX137" s="36">
        <v>0</v>
      </c>
      <c r="DY137" s="36">
        <v>0</v>
      </c>
      <c r="DZ137" s="36">
        <v>0</v>
      </c>
      <c r="EA137" s="36">
        <v>0</v>
      </c>
      <c r="EB137" s="36">
        <v>0</v>
      </c>
      <c r="EC137" s="36">
        <v>0</v>
      </c>
      <c r="ED137" s="36">
        <v>0</v>
      </c>
      <c r="EE137" s="36">
        <v>0</v>
      </c>
      <c r="EF137" s="36">
        <v>0</v>
      </c>
      <c r="EG137" s="36">
        <v>0</v>
      </c>
      <c r="EH137" s="36">
        <v>0</v>
      </c>
      <c r="EI137" s="36">
        <v>0</v>
      </c>
      <c r="EJ137" s="36">
        <v>0</v>
      </c>
      <c r="EK137" s="36">
        <v>0</v>
      </c>
      <c r="EL137" s="36">
        <v>0</v>
      </c>
      <c r="EM137" s="36">
        <v>0</v>
      </c>
      <c r="EN137" s="36">
        <v>0</v>
      </c>
      <c r="EO137" s="36">
        <v>0</v>
      </c>
      <c r="EP137" s="36">
        <v>0</v>
      </c>
      <c r="EQ137" s="36">
        <v>0</v>
      </c>
      <c r="ER137" s="36">
        <v>0</v>
      </c>
      <c r="ES137" s="36">
        <v>0</v>
      </c>
      <c r="ET137" s="36">
        <v>0</v>
      </c>
      <c r="EU137" s="36">
        <v>0</v>
      </c>
      <c r="EV137" s="36">
        <v>0</v>
      </c>
      <c r="EW137" s="36">
        <v>0</v>
      </c>
      <c r="EX137" s="36">
        <v>0</v>
      </c>
      <c r="EY137" s="36">
        <v>0</v>
      </c>
      <c r="EZ137" s="36">
        <v>0</v>
      </c>
      <c r="FA137" s="36">
        <v>0</v>
      </c>
      <c r="FB137" s="36">
        <v>0</v>
      </c>
      <c r="FC137" s="36">
        <v>0</v>
      </c>
      <c r="FD137" s="36">
        <v>0</v>
      </c>
      <c r="FE137" s="36">
        <v>0</v>
      </c>
      <c r="FF137" s="36">
        <v>0</v>
      </c>
      <c r="FG137" s="36">
        <v>0</v>
      </c>
      <c r="FH137" s="36">
        <v>0</v>
      </c>
      <c r="FI137" s="36">
        <v>0</v>
      </c>
      <c r="FJ137" s="36">
        <v>0</v>
      </c>
      <c r="FK137" s="36">
        <v>0</v>
      </c>
      <c r="FL137" s="36">
        <v>0</v>
      </c>
      <c r="FM137" s="36">
        <v>0</v>
      </c>
      <c r="FN137" s="36">
        <v>0</v>
      </c>
      <c r="FO137" s="36">
        <v>0</v>
      </c>
      <c r="FP137" s="36">
        <v>0</v>
      </c>
      <c r="FQ137" s="36">
        <v>0</v>
      </c>
      <c r="FR137" s="36">
        <v>0</v>
      </c>
      <c r="FS137" s="36">
        <v>0</v>
      </c>
      <c r="FT137" s="36">
        <v>0</v>
      </c>
      <c r="FU137" s="36">
        <v>0</v>
      </c>
      <c r="FV137" s="36">
        <v>0</v>
      </c>
      <c r="FW137" s="36">
        <v>0</v>
      </c>
      <c r="FX137" s="36">
        <v>0</v>
      </c>
      <c r="FY137" s="36">
        <v>0</v>
      </c>
      <c r="FZ137" s="36">
        <v>0</v>
      </c>
      <c r="GA137" s="36">
        <v>0</v>
      </c>
      <c r="GB137" s="36">
        <v>0</v>
      </c>
      <c r="GC137" s="36">
        <v>0</v>
      </c>
      <c r="GD137" s="36">
        <v>0</v>
      </c>
      <c r="GE137" s="36">
        <v>0</v>
      </c>
      <c r="GF137" s="36">
        <v>0</v>
      </c>
      <c r="GG137" s="42">
        <v>15.407592831640674</v>
      </c>
      <c r="GH137" s="42">
        <v>77.385216046328679</v>
      </c>
      <c r="GI137" s="42">
        <v>293.89215514271564</v>
      </c>
      <c r="GJ137" s="42">
        <v>502.60651661990926</v>
      </c>
      <c r="GK137" s="42">
        <v>683.33854981691354</v>
      </c>
      <c r="GL137" s="42">
        <v>2310.0209718156807</v>
      </c>
      <c r="GM137" s="42">
        <v>4900.6732765502875</v>
      </c>
      <c r="GN137" s="42">
        <v>10308.393796351973</v>
      </c>
      <c r="GO137" s="42">
        <v>29002.421459727695</v>
      </c>
      <c r="GP137" s="42">
        <v>11770.079315166457</v>
      </c>
      <c r="GQ137" s="42">
        <v>13747.097457928559</v>
      </c>
      <c r="GR137" s="42">
        <v>17169.10955055261</v>
      </c>
      <c r="GS137" s="42">
        <v>16004.851552670052</v>
      </c>
      <c r="GT137" s="42">
        <v>29137.787348944039</v>
      </c>
      <c r="GU137" s="36">
        <v>0</v>
      </c>
      <c r="GV137" s="36">
        <v>0</v>
      </c>
      <c r="GW137" s="36">
        <v>0</v>
      </c>
      <c r="GX137" s="36">
        <v>0</v>
      </c>
      <c r="GY137" s="36">
        <v>0</v>
      </c>
      <c r="GZ137" s="36">
        <v>85393.919378307488</v>
      </c>
      <c r="HA137" s="38">
        <v>17154.613669777056</v>
      </c>
      <c r="HB137" s="36">
        <v>152823.01677016355</v>
      </c>
      <c r="HC137" s="36">
        <f t="shared" si="2"/>
        <v>526564.3330946425</v>
      </c>
      <c r="HD137" s="36">
        <f>SUM(ED$5:ED$213)</f>
        <v>526564.3330946425</v>
      </c>
      <c r="HE137" s="41">
        <v>0</v>
      </c>
      <c r="HG137" s="43"/>
      <c r="HH137" s="43"/>
      <c r="HI137" s="43"/>
      <c r="HJ137" s="43"/>
      <c r="HK137" s="43"/>
      <c r="HL137" s="43"/>
      <c r="HM137" s="43"/>
      <c r="HN137" s="43"/>
      <c r="HO137" s="43"/>
      <c r="HP137" s="43"/>
      <c r="HQ137" s="43"/>
      <c r="HR137" s="43"/>
      <c r="HS137" s="43"/>
      <c r="HT137" s="43"/>
    </row>
    <row r="138" spans="1:228" hidden="1" outlineLevel="1" x14ac:dyDescent="0.2">
      <c r="A138" s="9" t="s">
        <v>1508</v>
      </c>
      <c r="B138" s="36">
        <v>0</v>
      </c>
      <c r="C138" s="36">
        <v>0.58294535411487314</v>
      </c>
      <c r="D138" s="36">
        <v>69.251978400746765</v>
      </c>
      <c r="E138" s="36">
        <v>6.7321682801112004E-2</v>
      </c>
      <c r="F138" s="36">
        <v>0</v>
      </c>
      <c r="G138" s="36">
        <v>84.481405242004243</v>
      </c>
      <c r="H138" s="36">
        <v>197.63991627587009</v>
      </c>
      <c r="I138" s="36">
        <v>180.70695768040952</v>
      </c>
      <c r="J138" s="36">
        <v>47.725095351456716</v>
      </c>
      <c r="K138" s="36">
        <v>2.6419790498527997</v>
      </c>
      <c r="L138" s="36">
        <v>1.2143399957630849</v>
      </c>
      <c r="M138" s="36">
        <v>0.60747162055470905</v>
      </c>
      <c r="N138" s="36">
        <v>0.65574976083069014</v>
      </c>
      <c r="O138" s="36">
        <v>4.4834514553435438</v>
      </c>
      <c r="P138" s="36">
        <v>18.220027411573295</v>
      </c>
      <c r="Q138" s="36">
        <v>3.7518203647409445</v>
      </c>
      <c r="R138" s="36">
        <v>2.4513912604724339</v>
      </c>
      <c r="S138" s="36">
        <v>7.4477427583367906</v>
      </c>
      <c r="T138" s="36">
        <v>62.5335683281006</v>
      </c>
      <c r="U138" s="36">
        <v>0.607816816511346</v>
      </c>
      <c r="V138" s="36">
        <v>104.54728891627937</v>
      </c>
      <c r="W138" s="36">
        <v>9.7327093027193232</v>
      </c>
      <c r="X138" s="36">
        <v>4.0041511828452272</v>
      </c>
      <c r="Y138" s="36">
        <v>4.2580069647528775</v>
      </c>
      <c r="Z138" s="36">
        <v>3.1118329140220813</v>
      </c>
      <c r="AA138" s="36">
        <v>3.1939749014837671</v>
      </c>
      <c r="AB138" s="36">
        <v>1.5338285151007658</v>
      </c>
      <c r="AC138" s="36">
        <v>0.2471520430882122</v>
      </c>
      <c r="AD138" s="36">
        <v>0.26772630079266557</v>
      </c>
      <c r="AE138" s="36">
        <v>32542.339917807178</v>
      </c>
      <c r="AF138" s="36">
        <v>66.614890830572705</v>
      </c>
      <c r="AG138" s="36">
        <v>0.15561302401414501</v>
      </c>
      <c r="AH138" s="36">
        <v>2.2229109323005667</v>
      </c>
      <c r="AI138" s="36">
        <v>5.6712273262051324E-3</v>
      </c>
      <c r="AJ138" s="36">
        <v>0.58187979866408202</v>
      </c>
      <c r="AK138" s="36">
        <v>2.0931256510057077</v>
      </c>
      <c r="AL138" s="36">
        <v>33.431541349649258</v>
      </c>
      <c r="AM138" s="36">
        <v>74.069382572831103</v>
      </c>
      <c r="AN138" s="36">
        <v>6.8822686304977418</v>
      </c>
      <c r="AO138" s="36">
        <v>7.4902315775673367</v>
      </c>
      <c r="AP138" s="36">
        <v>822.94945328343806</v>
      </c>
      <c r="AQ138" s="36">
        <v>2.9720400040069272E-2</v>
      </c>
      <c r="AR138" s="36">
        <v>0</v>
      </c>
      <c r="AS138" s="36">
        <v>7.919710807845501</v>
      </c>
      <c r="AT138" s="36">
        <v>3.1285182284699946</v>
      </c>
      <c r="AU138" s="36">
        <v>0</v>
      </c>
      <c r="AV138" s="36">
        <v>0</v>
      </c>
      <c r="AW138" s="36">
        <v>0</v>
      </c>
      <c r="AX138" s="36">
        <v>27.303233813770962</v>
      </c>
      <c r="AY138" s="36">
        <v>0.13927917853072494</v>
      </c>
      <c r="AZ138" s="36">
        <v>4.4389449000237837</v>
      </c>
      <c r="BA138" s="36">
        <v>7.5191798921056624E-2</v>
      </c>
      <c r="BB138" s="36">
        <v>0.36669534499969686</v>
      </c>
      <c r="BC138" s="36">
        <v>5.25238853041037E-2</v>
      </c>
      <c r="BD138" s="36">
        <v>0</v>
      </c>
      <c r="BE138" s="36">
        <v>1.2855549895923086</v>
      </c>
      <c r="BF138" s="36">
        <v>1.7452959650920529E-3</v>
      </c>
      <c r="BG138" s="36">
        <v>2.5254331892023068E-2</v>
      </c>
      <c r="BH138" s="36">
        <v>0.23326637917441009</v>
      </c>
      <c r="BI138" s="36">
        <v>0.22581212716330351</v>
      </c>
      <c r="BJ138" s="36">
        <v>0.37826659367655485</v>
      </c>
      <c r="BK138" s="36">
        <v>0</v>
      </c>
      <c r="BL138" s="36">
        <v>0</v>
      </c>
      <c r="BM138" s="36">
        <v>0</v>
      </c>
      <c r="BN138" s="36">
        <v>0</v>
      </c>
      <c r="BO138" s="36">
        <v>0</v>
      </c>
      <c r="BP138" s="36">
        <v>0</v>
      </c>
      <c r="BQ138" s="36">
        <v>0</v>
      </c>
      <c r="BR138" s="36">
        <v>0</v>
      </c>
      <c r="BS138" s="36">
        <v>0</v>
      </c>
      <c r="BT138" s="36">
        <v>0</v>
      </c>
      <c r="BU138" s="36">
        <v>0</v>
      </c>
      <c r="BV138" s="36">
        <v>0</v>
      </c>
      <c r="BW138" s="36">
        <v>0</v>
      </c>
      <c r="BX138" s="36">
        <v>0</v>
      </c>
      <c r="BY138" s="36">
        <v>0</v>
      </c>
      <c r="BZ138" s="36">
        <v>0</v>
      </c>
      <c r="CA138" s="36">
        <v>0</v>
      </c>
      <c r="CB138" s="36">
        <v>0</v>
      </c>
      <c r="CC138" s="36">
        <v>0</v>
      </c>
      <c r="CD138" s="36">
        <v>0</v>
      </c>
      <c r="CE138" s="36">
        <v>0</v>
      </c>
      <c r="CF138" s="36">
        <v>0</v>
      </c>
      <c r="CG138" s="36">
        <v>0</v>
      </c>
      <c r="CH138" s="36">
        <v>0</v>
      </c>
      <c r="CI138" s="36">
        <v>0</v>
      </c>
      <c r="CJ138" s="36">
        <v>0</v>
      </c>
      <c r="CK138" s="36">
        <v>0</v>
      </c>
      <c r="CL138" s="36">
        <v>0</v>
      </c>
      <c r="CM138" s="36">
        <v>0</v>
      </c>
      <c r="CN138" s="36">
        <v>0</v>
      </c>
      <c r="CO138" s="36">
        <v>0</v>
      </c>
      <c r="CP138" s="36">
        <v>0</v>
      </c>
      <c r="CQ138" s="36">
        <v>0</v>
      </c>
      <c r="CR138" s="36">
        <v>0</v>
      </c>
      <c r="CS138" s="36">
        <v>0</v>
      </c>
      <c r="CT138" s="36">
        <v>0</v>
      </c>
      <c r="CU138" s="36">
        <v>0</v>
      </c>
      <c r="CV138" s="36">
        <v>0</v>
      </c>
      <c r="CW138" s="36">
        <v>0</v>
      </c>
      <c r="CX138" s="36">
        <v>0</v>
      </c>
      <c r="CY138" s="36">
        <v>0</v>
      </c>
      <c r="CZ138" s="36">
        <v>0</v>
      </c>
      <c r="DA138" s="36">
        <v>0</v>
      </c>
      <c r="DB138" s="36">
        <v>0</v>
      </c>
      <c r="DC138" s="36">
        <v>0</v>
      </c>
      <c r="DD138" s="36">
        <v>0</v>
      </c>
      <c r="DE138" s="36">
        <v>0</v>
      </c>
      <c r="DF138" s="36">
        <v>0</v>
      </c>
      <c r="DG138" s="36">
        <v>0</v>
      </c>
      <c r="DH138" s="36">
        <v>0</v>
      </c>
      <c r="DI138" s="36">
        <v>0</v>
      </c>
      <c r="DJ138" s="36">
        <v>0</v>
      </c>
      <c r="DK138" s="36">
        <v>0</v>
      </c>
      <c r="DL138" s="36">
        <v>0</v>
      </c>
      <c r="DM138" s="36">
        <v>0</v>
      </c>
      <c r="DN138" s="36">
        <v>0</v>
      </c>
      <c r="DO138" s="36">
        <v>0</v>
      </c>
      <c r="DP138" s="36">
        <v>0</v>
      </c>
      <c r="DQ138" s="36">
        <v>0</v>
      </c>
      <c r="DR138" s="36">
        <v>0</v>
      </c>
      <c r="DS138" s="36">
        <v>0</v>
      </c>
      <c r="DT138" s="36">
        <v>0</v>
      </c>
      <c r="DU138" s="36">
        <v>0</v>
      </c>
      <c r="DV138" s="36">
        <v>0</v>
      </c>
      <c r="DW138" s="36">
        <v>0</v>
      </c>
      <c r="DX138" s="36">
        <v>0</v>
      </c>
      <c r="DY138" s="36">
        <v>0</v>
      </c>
      <c r="DZ138" s="36">
        <v>0</v>
      </c>
      <c r="EA138" s="36">
        <v>0</v>
      </c>
      <c r="EB138" s="36">
        <v>0</v>
      </c>
      <c r="EC138" s="36">
        <v>0</v>
      </c>
      <c r="ED138" s="36">
        <v>0</v>
      </c>
      <c r="EE138" s="36">
        <v>0</v>
      </c>
      <c r="EF138" s="36">
        <v>0</v>
      </c>
      <c r="EG138" s="36">
        <v>0</v>
      </c>
      <c r="EH138" s="36">
        <v>0</v>
      </c>
      <c r="EI138" s="36">
        <v>0</v>
      </c>
      <c r="EJ138" s="36">
        <v>0</v>
      </c>
      <c r="EK138" s="36">
        <v>0</v>
      </c>
      <c r="EL138" s="36">
        <v>0</v>
      </c>
      <c r="EM138" s="36">
        <v>0</v>
      </c>
      <c r="EN138" s="36">
        <v>0</v>
      </c>
      <c r="EO138" s="36">
        <v>0</v>
      </c>
      <c r="EP138" s="36">
        <v>0</v>
      </c>
      <c r="EQ138" s="36">
        <v>0</v>
      </c>
      <c r="ER138" s="36">
        <v>0</v>
      </c>
      <c r="ES138" s="36">
        <v>0</v>
      </c>
      <c r="ET138" s="36">
        <v>0</v>
      </c>
      <c r="EU138" s="36">
        <v>0</v>
      </c>
      <c r="EV138" s="36">
        <v>0</v>
      </c>
      <c r="EW138" s="36">
        <v>0</v>
      </c>
      <c r="EX138" s="36">
        <v>0</v>
      </c>
      <c r="EY138" s="36">
        <v>0</v>
      </c>
      <c r="EZ138" s="36">
        <v>0</v>
      </c>
      <c r="FA138" s="36">
        <v>0</v>
      </c>
      <c r="FB138" s="36">
        <v>0</v>
      </c>
      <c r="FC138" s="36">
        <v>0</v>
      </c>
      <c r="FD138" s="36">
        <v>0</v>
      </c>
      <c r="FE138" s="36">
        <v>0</v>
      </c>
      <c r="FF138" s="36">
        <v>0</v>
      </c>
      <c r="FG138" s="36">
        <v>0</v>
      </c>
      <c r="FH138" s="36">
        <v>0</v>
      </c>
      <c r="FI138" s="36">
        <v>0</v>
      </c>
      <c r="FJ138" s="36">
        <v>0</v>
      </c>
      <c r="FK138" s="36">
        <v>0</v>
      </c>
      <c r="FL138" s="36">
        <v>0</v>
      </c>
      <c r="FM138" s="36">
        <v>0</v>
      </c>
      <c r="FN138" s="36">
        <v>0</v>
      </c>
      <c r="FO138" s="36">
        <v>0</v>
      </c>
      <c r="FP138" s="36">
        <v>0</v>
      </c>
      <c r="FQ138" s="36">
        <v>0</v>
      </c>
      <c r="FR138" s="36">
        <v>0</v>
      </c>
      <c r="FS138" s="36">
        <v>0</v>
      </c>
      <c r="FT138" s="36">
        <v>0</v>
      </c>
      <c r="FU138" s="36">
        <v>0</v>
      </c>
      <c r="FV138" s="36">
        <v>0</v>
      </c>
      <c r="FW138" s="36">
        <v>0</v>
      </c>
      <c r="FX138" s="36">
        <v>0</v>
      </c>
      <c r="FY138" s="36">
        <v>0</v>
      </c>
      <c r="FZ138" s="36">
        <v>0</v>
      </c>
      <c r="GA138" s="36">
        <v>0</v>
      </c>
      <c r="GB138" s="36">
        <v>0</v>
      </c>
      <c r="GC138" s="36">
        <v>0</v>
      </c>
      <c r="GD138" s="36">
        <v>0</v>
      </c>
      <c r="GE138" s="36">
        <v>0</v>
      </c>
      <c r="GF138" s="36">
        <v>0</v>
      </c>
      <c r="GG138" s="42">
        <v>0.28059104907837856</v>
      </c>
      <c r="GH138" s="42">
        <v>1.4092791256143398</v>
      </c>
      <c r="GI138" s="42">
        <v>5.3521344332292475</v>
      </c>
      <c r="GJ138" s="42">
        <v>9.1530774023571233</v>
      </c>
      <c r="GK138" s="42">
        <v>12.444428059850823</v>
      </c>
      <c r="GL138" s="42">
        <v>42.068298075981609</v>
      </c>
      <c r="GM138" s="42">
        <v>89.247234846041451</v>
      </c>
      <c r="GN138" s="42">
        <v>187.72841814015203</v>
      </c>
      <c r="GO138" s="42">
        <v>528.16945204358171</v>
      </c>
      <c r="GP138" s="42">
        <v>214.34749339924016</v>
      </c>
      <c r="GQ138" s="42">
        <v>250.35140398970034</v>
      </c>
      <c r="GR138" s="42">
        <v>312.67041601969538</v>
      </c>
      <c r="GS138" s="42">
        <v>291.46785851487238</v>
      </c>
      <c r="GT138" s="42">
        <v>530.63462991268023</v>
      </c>
      <c r="GU138" s="36">
        <v>0</v>
      </c>
      <c r="GV138" s="36">
        <v>0</v>
      </c>
      <c r="GW138" s="36">
        <v>0</v>
      </c>
      <c r="GX138" s="36">
        <v>0</v>
      </c>
      <c r="GY138" s="36">
        <v>0</v>
      </c>
      <c r="GZ138" s="36">
        <v>0</v>
      </c>
      <c r="HA138" s="38">
        <v>1783.304087918732</v>
      </c>
      <c r="HB138" s="36">
        <v>5327.0065139094659</v>
      </c>
      <c r="HC138" s="36">
        <f t="shared" si="2"/>
        <v>44006.04357145125</v>
      </c>
      <c r="HD138" s="36">
        <f>SUM(EE$5:EE$213)</f>
        <v>44006.04357145125</v>
      </c>
      <c r="HE138" s="41">
        <v>0</v>
      </c>
      <c r="HG138" s="43"/>
      <c r="HH138" s="43"/>
      <c r="HI138" s="43"/>
      <c r="HJ138" s="43"/>
      <c r="HK138" s="43"/>
      <c r="HL138" s="43"/>
      <c r="HM138" s="43"/>
      <c r="HN138" s="43"/>
      <c r="HO138" s="43"/>
      <c r="HP138" s="43"/>
      <c r="HQ138" s="43"/>
      <c r="HR138" s="43"/>
      <c r="HS138" s="43"/>
      <c r="HT138" s="43"/>
    </row>
    <row r="139" spans="1:228" hidden="1" outlineLevel="1" x14ac:dyDescent="0.2">
      <c r="A139" s="9" t="s">
        <v>1071</v>
      </c>
      <c r="B139" s="36">
        <v>0</v>
      </c>
      <c r="C139" s="36">
        <v>0</v>
      </c>
      <c r="D139" s="36">
        <v>167.02739939491471</v>
      </c>
      <c r="E139" s="36">
        <v>0</v>
      </c>
      <c r="F139" s="36">
        <v>0</v>
      </c>
      <c r="G139" s="36">
        <v>0</v>
      </c>
      <c r="H139" s="36">
        <v>0</v>
      </c>
      <c r="I139" s="36">
        <v>0</v>
      </c>
      <c r="J139" s="36">
        <v>0</v>
      </c>
      <c r="K139" s="36">
        <v>0</v>
      </c>
      <c r="L139" s="36">
        <v>0</v>
      </c>
      <c r="M139" s="36">
        <v>0</v>
      </c>
      <c r="N139" s="36">
        <v>0</v>
      </c>
      <c r="O139" s="36">
        <v>0</v>
      </c>
      <c r="P139" s="36">
        <v>0</v>
      </c>
      <c r="Q139" s="36">
        <v>0</v>
      </c>
      <c r="R139" s="36">
        <v>0</v>
      </c>
      <c r="S139" s="36">
        <v>0</v>
      </c>
      <c r="T139" s="36">
        <v>0</v>
      </c>
      <c r="U139" s="36">
        <v>0</v>
      </c>
      <c r="V139" s="36">
        <v>0</v>
      </c>
      <c r="W139" s="36">
        <v>0</v>
      </c>
      <c r="X139" s="36">
        <v>0</v>
      </c>
      <c r="Y139" s="36">
        <v>0</v>
      </c>
      <c r="Z139" s="36">
        <v>0</v>
      </c>
      <c r="AA139" s="36">
        <v>0</v>
      </c>
      <c r="AB139" s="36">
        <v>0</v>
      </c>
      <c r="AC139" s="36">
        <v>0</v>
      </c>
      <c r="AD139" s="36">
        <v>0</v>
      </c>
      <c r="AE139" s="36">
        <v>0</v>
      </c>
      <c r="AF139" s="36">
        <v>0</v>
      </c>
      <c r="AG139" s="36">
        <v>0</v>
      </c>
      <c r="AH139" s="36">
        <v>0</v>
      </c>
      <c r="AI139" s="36">
        <v>0</v>
      </c>
      <c r="AJ139" s="36">
        <v>0</v>
      </c>
      <c r="AK139" s="36">
        <v>0</v>
      </c>
      <c r="AL139" s="36">
        <v>0</v>
      </c>
      <c r="AM139" s="36">
        <v>0</v>
      </c>
      <c r="AN139" s="36">
        <v>0</v>
      </c>
      <c r="AO139" s="36">
        <v>0</v>
      </c>
      <c r="AP139" s="36">
        <v>0</v>
      </c>
      <c r="AQ139" s="36">
        <v>366.60167206345596</v>
      </c>
      <c r="AR139" s="36">
        <v>0</v>
      </c>
      <c r="AS139" s="36">
        <v>0</v>
      </c>
      <c r="AT139" s="36">
        <v>0</v>
      </c>
      <c r="AU139" s="36">
        <v>0</v>
      </c>
      <c r="AV139" s="36">
        <v>0</v>
      </c>
      <c r="AW139" s="36">
        <v>0</v>
      </c>
      <c r="AX139" s="36">
        <v>0</v>
      </c>
      <c r="AY139" s="36">
        <v>0</v>
      </c>
      <c r="AZ139" s="36">
        <v>0</v>
      </c>
      <c r="BA139" s="36">
        <v>0</v>
      </c>
      <c r="BB139" s="36">
        <v>0</v>
      </c>
      <c r="BC139" s="36">
        <v>0.13851361423417527</v>
      </c>
      <c r="BD139" s="36">
        <v>0</v>
      </c>
      <c r="BE139" s="36">
        <v>0</v>
      </c>
      <c r="BF139" s="36">
        <v>0</v>
      </c>
      <c r="BG139" s="36">
        <v>0</v>
      </c>
      <c r="BH139" s="36">
        <v>0</v>
      </c>
      <c r="BI139" s="36">
        <v>0</v>
      </c>
      <c r="BJ139" s="36">
        <v>0</v>
      </c>
      <c r="BK139" s="36">
        <v>0</v>
      </c>
      <c r="BL139" s="36">
        <v>0</v>
      </c>
      <c r="BM139" s="36">
        <v>0</v>
      </c>
      <c r="BN139" s="36">
        <v>0</v>
      </c>
      <c r="BO139" s="36">
        <v>0</v>
      </c>
      <c r="BP139" s="36">
        <v>0</v>
      </c>
      <c r="BQ139" s="36">
        <v>0</v>
      </c>
      <c r="BR139" s="36">
        <v>0</v>
      </c>
      <c r="BS139" s="36">
        <v>0</v>
      </c>
      <c r="BT139" s="36">
        <v>0</v>
      </c>
      <c r="BU139" s="36">
        <v>0</v>
      </c>
      <c r="BV139" s="36">
        <v>0</v>
      </c>
      <c r="BW139" s="36">
        <v>0</v>
      </c>
      <c r="BX139" s="36">
        <v>0</v>
      </c>
      <c r="BY139" s="36">
        <v>0</v>
      </c>
      <c r="BZ139" s="36">
        <v>0</v>
      </c>
      <c r="CA139" s="36">
        <v>0</v>
      </c>
      <c r="CB139" s="36">
        <v>0</v>
      </c>
      <c r="CC139" s="36">
        <v>0</v>
      </c>
      <c r="CD139" s="36">
        <v>0</v>
      </c>
      <c r="CE139" s="36">
        <v>0</v>
      </c>
      <c r="CF139" s="36">
        <v>0</v>
      </c>
      <c r="CG139" s="36">
        <v>0</v>
      </c>
      <c r="CH139" s="36">
        <v>0</v>
      </c>
      <c r="CI139" s="36">
        <v>0</v>
      </c>
      <c r="CJ139" s="36">
        <v>0</v>
      </c>
      <c r="CK139" s="36">
        <v>0</v>
      </c>
      <c r="CL139" s="36">
        <v>0</v>
      </c>
      <c r="CM139" s="36">
        <v>0</v>
      </c>
      <c r="CN139" s="36">
        <v>0</v>
      </c>
      <c r="CO139" s="36">
        <v>0</v>
      </c>
      <c r="CP139" s="36">
        <v>0</v>
      </c>
      <c r="CQ139" s="36">
        <v>0</v>
      </c>
      <c r="CR139" s="36">
        <v>0</v>
      </c>
      <c r="CS139" s="36">
        <v>0</v>
      </c>
      <c r="CT139" s="36">
        <v>0</v>
      </c>
      <c r="CU139" s="36">
        <v>0</v>
      </c>
      <c r="CV139" s="36">
        <v>0</v>
      </c>
      <c r="CW139" s="36">
        <v>0</v>
      </c>
      <c r="CX139" s="36">
        <v>0</v>
      </c>
      <c r="CY139" s="36">
        <v>0</v>
      </c>
      <c r="CZ139" s="36">
        <v>0</v>
      </c>
      <c r="DA139" s="36">
        <v>0</v>
      </c>
      <c r="DB139" s="36">
        <v>0</v>
      </c>
      <c r="DC139" s="36">
        <v>0</v>
      </c>
      <c r="DD139" s="36">
        <v>0</v>
      </c>
      <c r="DE139" s="36">
        <v>0</v>
      </c>
      <c r="DF139" s="36">
        <v>0</v>
      </c>
      <c r="DG139" s="36">
        <v>0</v>
      </c>
      <c r="DH139" s="36">
        <v>0</v>
      </c>
      <c r="DI139" s="36">
        <v>0</v>
      </c>
      <c r="DJ139" s="36">
        <v>0</v>
      </c>
      <c r="DK139" s="36">
        <v>0</v>
      </c>
      <c r="DL139" s="36">
        <v>0</v>
      </c>
      <c r="DM139" s="36">
        <v>0</v>
      </c>
      <c r="DN139" s="36">
        <v>0</v>
      </c>
      <c r="DO139" s="36">
        <v>0</v>
      </c>
      <c r="DP139" s="36">
        <v>0</v>
      </c>
      <c r="DQ139" s="36">
        <v>0</v>
      </c>
      <c r="DR139" s="36">
        <v>0</v>
      </c>
      <c r="DS139" s="36">
        <v>0</v>
      </c>
      <c r="DT139" s="36">
        <v>0</v>
      </c>
      <c r="DU139" s="36">
        <v>0</v>
      </c>
      <c r="DV139" s="36">
        <v>0</v>
      </c>
      <c r="DW139" s="36">
        <v>0</v>
      </c>
      <c r="DX139" s="36">
        <v>0</v>
      </c>
      <c r="DY139" s="36">
        <v>0</v>
      </c>
      <c r="DZ139" s="36">
        <v>0</v>
      </c>
      <c r="EA139" s="36">
        <v>0</v>
      </c>
      <c r="EB139" s="36">
        <v>0</v>
      </c>
      <c r="EC139" s="36">
        <v>0</v>
      </c>
      <c r="ED139" s="36">
        <v>0</v>
      </c>
      <c r="EE139" s="36">
        <v>0</v>
      </c>
      <c r="EF139" s="36">
        <v>0</v>
      </c>
      <c r="EG139" s="36">
        <v>0</v>
      </c>
      <c r="EH139" s="36">
        <v>0</v>
      </c>
      <c r="EI139" s="36">
        <v>0</v>
      </c>
      <c r="EJ139" s="36">
        <v>0</v>
      </c>
      <c r="EK139" s="36">
        <v>0</v>
      </c>
      <c r="EL139" s="36">
        <v>0</v>
      </c>
      <c r="EM139" s="36">
        <v>0</v>
      </c>
      <c r="EN139" s="36">
        <v>0</v>
      </c>
      <c r="EO139" s="36">
        <v>0</v>
      </c>
      <c r="EP139" s="36">
        <v>0</v>
      </c>
      <c r="EQ139" s="36">
        <v>0</v>
      </c>
      <c r="ER139" s="36">
        <v>0</v>
      </c>
      <c r="ES139" s="36">
        <v>0</v>
      </c>
      <c r="ET139" s="36">
        <v>0</v>
      </c>
      <c r="EU139" s="36">
        <v>0</v>
      </c>
      <c r="EV139" s="36">
        <v>0</v>
      </c>
      <c r="EW139" s="36">
        <v>0</v>
      </c>
      <c r="EX139" s="36">
        <v>0</v>
      </c>
      <c r="EY139" s="36">
        <v>0</v>
      </c>
      <c r="EZ139" s="36">
        <v>0</v>
      </c>
      <c r="FA139" s="36">
        <v>0</v>
      </c>
      <c r="FB139" s="36">
        <v>0</v>
      </c>
      <c r="FC139" s="36">
        <v>0</v>
      </c>
      <c r="FD139" s="36">
        <v>0</v>
      </c>
      <c r="FE139" s="36">
        <v>0</v>
      </c>
      <c r="FF139" s="36">
        <v>0</v>
      </c>
      <c r="FG139" s="36">
        <v>0</v>
      </c>
      <c r="FH139" s="36">
        <v>0</v>
      </c>
      <c r="FI139" s="36">
        <v>0</v>
      </c>
      <c r="FJ139" s="36">
        <v>0</v>
      </c>
      <c r="FK139" s="36">
        <v>0</v>
      </c>
      <c r="FL139" s="36">
        <v>0</v>
      </c>
      <c r="FM139" s="36">
        <v>0</v>
      </c>
      <c r="FN139" s="36">
        <v>0</v>
      </c>
      <c r="FO139" s="36">
        <v>0</v>
      </c>
      <c r="FP139" s="36">
        <v>0</v>
      </c>
      <c r="FQ139" s="36">
        <v>0</v>
      </c>
      <c r="FR139" s="36">
        <v>0</v>
      </c>
      <c r="FS139" s="36">
        <v>0</v>
      </c>
      <c r="FT139" s="36">
        <v>0</v>
      </c>
      <c r="FU139" s="36">
        <v>0</v>
      </c>
      <c r="FV139" s="36">
        <v>0</v>
      </c>
      <c r="FW139" s="36">
        <v>0</v>
      </c>
      <c r="FX139" s="36">
        <v>0</v>
      </c>
      <c r="FY139" s="36">
        <v>0</v>
      </c>
      <c r="FZ139" s="36">
        <v>0</v>
      </c>
      <c r="GA139" s="36">
        <v>0</v>
      </c>
      <c r="GB139" s="36">
        <v>0</v>
      </c>
      <c r="GC139" s="36">
        <v>0</v>
      </c>
      <c r="GD139" s="36">
        <v>0</v>
      </c>
      <c r="GE139" s="36">
        <v>0</v>
      </c>
      <c r="GF139" s="36">
        <v>0</v>
      </c>
      <c r="GG139" s="42">
        <v>2.7640118700749676</v>
      </c>
      <c r="GH139" s="42">
        <v>4.9850184282721433</v>
      </c>
      <c r="GI139" s="42">
        <v>5.9397586014086965</v>
      </c>
      <c r="GJ139" s="42">
        <v>4.3927430854905012</v>
      </c>
      <c r="GK139" s="42">
        <v>5.4695173695814816</v>
      </c>
      <c r="GL139" s="42">
        <v>18.562253951975819</v>
      </c>
      <c r="GM139" s="42">
        <v>21.020895080851059</v>
      </c>
      <c r="GN139" s="42">
        <v>28.899573438173924</v>
      </c>
      <c r="GO139" s="42">
        <v>178.06551331151212</v>
      </c>
      <c r="GP139" s="42">
        <v>22.905219572185565</v>
      </c>
      <c r="GQ139" s="42">
        <v>81.584773541854275</v>
      </c>
      <c r="GR139" s="42">
        <v>10.368262057505868</v>
      </c>
      <c r="GS139" s="42">
        <v>16.232281689247653</v>
      </c>
      <c r="GT139" s="42">
        <v>776.20272209151426</v>
      </c>
      <c r="GU139" s="36">
        <v>0</v>
      </c>
      <c r="GV139" s="36">
        <v>0</v>
      </c>
      <c r="GW139" s="36">
        <v>0</v>
      </c>
      <c r="GX139" s="36">
        <v>0</v>
      </c>
      <c r="GY139" s="36">
        <v>0</v>
      </c>
      <c r="GZ139" s="36">
        <v>881.636783009738</v>
      </c>
      <c r="HA139" s="38">
        <v>-325.7053999433665</v>
      </c>
      <c r="HB139" s="36">
        <v>2887.2564816951303</v>
      </c>
      <c r="HC139" s="36">
        <f t="shared" si="2"/>
        <v>5154.347993923755</v>
      </c>
      <c r="HD139" s="36">
        <f>SUM(EF$5:EF$213)</f>
        <v>5154.347993923755</v>
      </c>
      <c r="HE139" s="41">
        <v>0</v>
      </c>
      <c r="HG139" s="43"/>
      <c r="HH139" s="43"/>
      <c r="HI139" s="43"/>
      <c r="HJ139" s="43"/>
      <c r="HK139" s="43"/>
      <c r="HL139" s="43"/>
      <c r="HM139" s="43"/>
      <c r="HN139" s="43"/>
      <c r="HO139" s="43"/>
      <c r="HP139" s="43"/>
      <c r="HQ139" s="43"/>
      <c r="HR139" s="43"/>
      <c r="HS139" s="43"/>
      <c r="HT139" s="43"/>
    </row>
    <row r="140" spans="1:228" hidden="1" outlineLevel="1" x14ac:dyDescent="0.2">
      <c r="A140" s="9" t="s">
        <v>1076</v>
      </c>
      <c r="B140" s="36">
        <v>0</v>
      </c>
      <c r="C140" s="36">
        <v>0</v>
      </c>
      <c r="D140" s="36">
        <v>0</v>
      </c>
      <c r="E140" s="36">
        <v>0</v>
      </c>
      <c r="F140" s="36">
        <v>0</v>
      </c>
      <c r="G140" s="36">
        <v>0</v>
      </c>
      <c r="H140" s="36">
        <v>0</v>
      </c>
      <c r="I140" s="36">
        <v>0</v>
      </c>
      <c r="J140" s="36">
        <v>0</v>
      </c>
      <c r="K140" s="36">
        <v>0</v>
      </c>
      <c r="L140" s="36">
        <v>0</v>
      </c>
      <c r="M140" s="36">
        <v>0</v>
      </c>
      <c r="N140" s="36">
        <v>0</v>
      </c>
      <c r="O140" s="36">
        <v>0</v>
      </c>
      <c r="P140" s="36">
        <v>0</v>
      </c>
      <c r="Q140" s="36">
        <v>0</v>
      </c>
      <c r="R140" s="36">
        <v>0</v>
      </c>
      <c r="S140" s="36">
        <v>0</v>
      </c>
      <c r="T140" s="36">
        <v>0</v>
      </c>
      <c r="U140" s="36">
        <v>0</v>
      </c>
      <c r="V140" s="36">
        <v>0</v>
      </c>
      <c r="W140" s="36">
        <v>0</v>
      </c>
      <c r="X140" s="36">
        <v>0</v>
      </c>
      <c r="Y140" s="36">
        <v>0</v>
      </c>
      <c r="Z140" s="36">
        <v>0</v>
      </c>
      <c r="AA140" s="36">
        <v>0</v>
      </c>
      <c r="AB140" s="36">
        <v>0</v>
      </c>
      <c r="AC140" s="36">
        <v>0</v>
      </c>
      <c r="AD140" s="36">
        <v>0</v>
      </c>
      <c r="AE140" s="36">
        <v>0</v>
      </c>
      <c r="AF140" s="36">
        <v>2297.4328846572639</v>
      </c>
      <c r="AG140" s="36">
        <v>0</v>
      </c>
      <c r="AH140" s="36">
        <v>0</v>
      </c>
      <c r="AI140" s="36">
        <v>0</v>
      </c>
      <c r="AJ140" s="36">
        <v>0</v>
      </c>
      <c r="AK140" s="36">
        <v>0</v>
      </c>
      <c r="AL140" s="36">
        <v>0</v>
      </c>
      <c r="AM140" s="36">
        <v>0</v>
      </c>
      <c r="AN140" s="36">
        <v>0</v>
      </c>
      <c r="AO140" s="36">
        <v>0</v>
      </c>
      <c r="AP140" s="36">
        <v>5935.4842068864755</v>
      </c>
      <c r="AQ140" s="36">
        <v>0</v>
      </c>
      <c r="AR140" s="36">
        <v>0</v>
      </c>
      <c r="AS140" s="36">
        <v>0</v>
      </c>
      <c r="AT140" s="36">
        <v>0</v>
      </c>
      <c r="AU140" s="36">
        <v>0</v>
      </c>
      <c r="AV140" s="36">
        <v>0</v>
      </c>
      <c r="AW140" s="36">
        <v>0</v>
      </c>
      <c r="AX140" s="36">
        <v>0</v>
      </c>
      <c r="AY140" s="36">
        <v>0</v>
      </c>
      <c r="AZ140" s="36">
        <v>0</v>
      </c>
      <c r="BA140" s="36">
        <v>0</v>
      </c>
      <c r="BB140" s="36">
        <v>0</v>
      </c>
      <c r="BC140" s="36">
        <v>0</v>
      </c>
      <c r="BD140" s="36">
        <v>0</v>
      </c>
      <c r="BE140" s="36">
        <v>0</v>
      </c>
      <c r="BF140" s="36">
        <v>0</v>
      </c>
      <c r="BG140" s="36">
        <v>0</v>
      </c>
      <c r="BH140" s="36">
        <v>0</v>
      </c>
      <c r="BI140" s="36">
        <v>0</v>
      </c>
      <c r="BJ140" s="36">
        <v>0</v>
      </c>
      <c r="BK140" s="36">
        <v>0</v>
      </c>
      <c r="BL140" s="36">
        <v>0</v>
      </c>
      <c r="BM140" s="36">
        <v>0</v>
      </c>
      <c r="BN140" s="36">
        <v>0</v>
      </c>
      <c r="BO140" s="36">
        <v>0</v>
      </c>
      <c r="BP140" s="36">
        <v>0</v>
      </c>
      <c r="BQ140" s="36">
        <v>0</v>
      </c>
      <c r="BR140" s="36">
        <v>0</v>
      </c>
      <c r="BS140" s="36">
        <v>0</v>
      </c>
      <c r="BT140" s="36">
        <v>0</v>
      </c>
      <c r="BU140" s="36">
        <v>0</v>
      </c>
      <c r="BV140" s="36">
        <v>0</v>
      </c>
      <c r="BW140" s="36">
        <v>0</v>
      </c>
      <c r="BX140" s="36">
        <v>0</v>
      </c>
      <c r="BY140" s="36">
        <v>0</v>
      </c>
      <c r="BZ140" s="36">
        <v>0</v>
      </c>
      <c r="CA140" s="36">
        <v>0</v>
      </c>
      <c r="CB140" s="36">
        <v>0</v>
      </c>
      <c r="CC140" s="36">
        <v>0</v>
      </c>
      <c r="CD140" s="36">
        <v>0</v>
      </c>
      <c r="CE140" s="36">
        <v>0</v>
      </c>
      <c r="CF140" s="36">
        <v>0</v>
      </c>
      <c r="CG140" s="36">
        <v>0</v>
      </c>
      <c r="CH140" s="36">
        <v>0</v>
      </c>
      <c r="CI140" s="36">
        <v>0</v>
      </c>
      <c r="CJ140" s="36">
        <v>0</v>
      </c>
      <c r="CK140" s="36">
        <v>0</v>
      </c>
      <c r="CL140" s="36">
        <v>0</v>
      </c>
      <c r="CM140" s="36">
        <v>0</v>
      </c>
      <c r="CN140" s="36">
        <v>0</v>
      </c>
      <c r="CO140" s="36">
        <v>0</v>
      </c>
      <c r="CP140" s="36">
        <v>0</v>
      </c>
      <c r="CQ140" s="36">
        <v>0</v>
      </c>
      <c r="CR140" s="36">
        <v>0</v>
      </c>
      <c r="CS140" s="36">
        <v>0</v>
      </c>
      <c r="CT140" s="36">
        <v>0</v>
      </c>
      <c r="CU140" s="36">
        <v>0</v>
      </c>
      <c r="CV140" s="36">
        <v>0</v>
      </c>
      <c r="CW140" s="36">
        <v>0</v>
      </c>
      <c r="CX140" s="36">
        <v>0</v>
      </c>
      <c r="CY140" s="36">
        <v>0</v>
      </c>
      <c r="CZ140" s="36">
        <v>0</v>
      </c>
      <c r="DA140" s="36">
        <v>0</v>
      </c>
      <c r="DB140" s="36">
        <v>0</v>
      </c>
      <c r="DC140" s="36">
        <v>0</v>
      </c>
      <c r="DD140" s="36">
        <v>0</v>
      </c>
      <c r="DE140" s="36">
        <v>0</v>
      </c>
      <c r="DF140" s="36">
        <v>0</v>
      </c>
      <c r="DG140" s="36">
        <v>0</v>
      </c>
      <c r="DH140" s="36">
        <v>0</v>
      </c>
      <c r="DI140" s="36">
        <v>0</v>
      </c>
      <c r="DJ140" s="36">
        <v>0</v>
      </c>
      <c r="DK140" s="36">
        <v>0</v>
      </c>
      <c r="DL140" s="36">
        <v>0</v>
      </c>
      <c r="DM140" s="36">
        <v>0</v>
      </c>
      <c r="DN140" s="36">
        <v>0</v>
      </c>
      <c r="DO140" s="36">
        <v>0</v>
      </c>
      <c r="DP140" s="36">
        <v>0</v>
      </c>
      <c r="DQ140" s="36">
        <v>0</v>
      </c>
      <c r="DR140" s="36">
        <v>0</v>
      </c>
      <c r="DS140" s="36">
        <v>0</v>
      </c>
      <c r="DT140" s="36">
        <v>0</v>
      </c>
      <c r="DU140" s="36">
        <v>0</v>
      </c>
      <c r="DV140" s="36">
        <v>0</v>
      </c>
      <c r="DW140" s="36">
        <v>0</v>
      </c>
      <c r="DX140" s="36">
        <v>0</v>
      </c>
      <c r="DY140" s="36">
        <v>0</v>
      </c>
      <c r="DZ140" s="36">
        <v>0</v>
      </c>
      <c r="EA140" s="36">
        <v>0</v>
      </c>
      <c r="EB140" s="36">
        <v>0</v>
      </c>
      <c r="EC140" s="36">
        <v>0</v>
      </c>
      <c r="ED140" s="36">
        <v>0</v>
      </c>
      <c r="EE140" s="36">
        <v>0</v>
      </c>
      <c r="EF140" s="36">
        <v>0</v>
      </c>
      <c r="EG140" s="36">
        <v>0</v>
      </c>
      <c r="EH140" s="36">
        <v>0</v>
      </c>
      <c r="EI140" s="36">
        <v>0</v>
      </c>
      <c r="EJ140" s="36">
        <v>0</v>
      </c>
      <c r="EK140" s="36">
        <v>0</v>
      </c>
      <c r="EL140" s="36">
        <v>0</v>
      </c>
      <c r="EM140" s="36">
        <v>0</v>
      </c>
      <c r="EN140" s="36">
        <v>0</v>
      </c>
      <c r="EO140" s="36">
        <v>0</v>
      </c>
      <c r="EP140" s="36">
        <v>0</v>
      </c>
      <c r="EQ140" s="36">
        <v>0</v>
      </c>
      <c r="ER140" s="36">
        <v>0</v>
      </c>
      <c r="ES140" s="36">
        <v>0</v>
      </c>
      <c r="ET140" s="36">
        <v>0</v>
      </c>
      <c r="EU140" s="36">
        <v>0</v>
      </c>
      <c r="EV140" s="36">
        <v>0</v>
      </c>
      <c r="EW140" s="36">
        <v>0</v>
      </c>
      <c r="EX140" s="36">
        <v>0</v>
      </c>
      <c r="EY140" s="36">
        <v>0</v>
      </c>
      <c r="EZ140" s="36">
        <v>0</v>
      </c>
      <c r="FA140" s="36">
        <v>0</v>
      </c>
      <c r="FB140" s="36">
        <v>0</v>
      </c>
      <c r="FC140" s="36">
        <v>0</v>
      </c>
      <c r="FD140" s="36">
        <v>0</v>
      </c>
      <c r="FE140" s="36">
        <v>0</v>
      </c>
      <c r="FF140" s="36">
        <v>0</v>
      </c>
      <c r="FG140" s="36">
        <v>0</v>
      </c>
      <c r="FH140" s="36">
        <v>0</v>
      </c>
      <c r="FI140" s="36">
        <v>0</v>
      </c>
      <c r="FJ140" s="36">
        <v>0</v>
      </c>
      <c r="FK140" s="36">
        <v>0</v>
      </c>
      <c r="FL140" s="36">
        <v>0</v>
      </c>
      <c r="FM140" s="36">
        <v>0</v>
      </c>
      <c r="FN140" s="36">
        <v>0</v>
      </c>
      <c r="FO140" s="36">
        <v>0</v>
      </c>
      <c r="FP140" s="36">
        <v>0</v>
      </c>
      <c r="FQ140" s="36">
        <v>0</v>
      </c>
      <c r="FR140" s="36">
        <v>0</v>
      </c>
      <c r="FS140" s="36">
        <v>0</v>
      </c>
      <c r="FT140" s="36">
        <v>0</v>
      </c>
      <c r="FU140" s="36">
        <v>0</v>
      </c>
      <c r="FV140" s="36">
        <v>0</v>
      </c>
      <c r="FW140" s="36">
        <v>0</v>
      </c>
      <c r="FX140" s="36">
        <v>0</v>
      </c>
      <c r="FY140" s="36">
        <v>0</v>
      </c>
      <c r="FZ140" s="36">
        <v>0</v>
      </c>
      <c r="GA140" s="36">
        <v>0</v>
      </c>
      <c r="GB140" s="36">
        <v>0</v>
      </c>
      <c r="GC140" s="36">
        <v>0</v>
      </c>
      <c r="GD140" s="36">
        <v>0</v>
      </c>
      <c r="GE140" s="36">
        <v>0</v>
      </c>
      <c r="GF140" s="36">
        <v>0</v>
      </c>
      <c r="GG140" s="42">
        <v>0</v>
      </c>
      <c r="GH140" s="42">
        <v>0</v>
      </c>
      <c r="GI140" s="42">
        <v>0</v>
      </c>
      <c r="GJ140" s="42">
        <v>0</v>
      </c>
      <c r="GK140" s="42">
        <v>0</v>
      </c>
      <c r="GL140" s="42">
        <v>0</v>
      </c>
      <c r="GM140" s="42">
        <v>0</v>
      </c>
      <c r="GN140" s="42">
        <v>0</v>
      </c>
      <c r="GO140" s="42">
        <v>0</v>
      </c>
      <c r="GP140" s="42">
        <v>0</v>
      </c>
      <c r="GQ140" s="42">
        <v>0</v>
      </c>
      <c r="GR140" s="42">
        <v>0</v>
      </c>
      <c r="GS140" s="42">
        <v>0</v>
      </c>
      <c r="GT140" s="42">
        <v>0</v>
      </c>
      <c r="GU140" s="36">
        <v>0</v>
      </c>
      <c r="GV140" s="36">
        <v>0</v>
      </c>
      <c r="GW140" s="36">
        <v>0</v>
      </c>
      <c r="GX140" s="36">
        <v>0</v>
      </c>
      <c r="GY140" s="36">
        <v>0</v>
      </c>
      <c r="GZ140" s="36">
        <v>815.49451145652461</v>
      </c>
      <c r="HA140" s="38">
        <v>1196.4762388333475</v>
      </c>
      <c r="HB140" s="36">
        <v>824.79878565389549</v>
      </c>
      <c r="HC140" s="36">
        <f t="shared" si="2"/>
        <v>11069.686627487506</v>
      </c>
      <c r="HD140" s="36">
        <f>SUM(EG$5:EG$213)</f>
        <v>11069.686627487506</v>
      </c>
      <c r="HE140" s="41">
        <v>0</v>
      </c>
      <c r="HG140" s="43"/>
      <c r="HH140" s="43"/>
      <c r="HI140" s="43"/>
      <c r="HJ140" s="43"/>
      <c r="HK140" s="43"/>
      <c r="HL140" s="43"/>
      <c r="HM140" s="43"/>
      <c r="HN140" s="43"/>
      <c r="HO140" s="43"/>
      <c r="HP140" s="43"/>
      <c r="HQ140" s="43"/>
      <c r="HR140" s="43"/>
      <c r="HS140" s="43"/>
      <c r="HT140" s="43"/>
    </row>
    <row r="141" spans="1:228" hidden="1" outlineLevel="1" x14ac:dyDescent="0.2">
      <c r="A141" s="9" t="s">
        <v>1081</v>
      </c>
      <c r="B141" s="36">
        <v>0</v>
      </c>
      <c r="C141" s="36">
        <v>0</v>
      </c>
      <c r="D141" s="36">
        <v>0</v>
      </c>
      <c r="E141" s="36">
        <v>0</v>
      </c>
      <c r="F141" s="36">
        <v>0</v>
      </c>
      <c r="G141" s="36">
        <v>0</v>
      </c>
      <c r="H141" s="36">
        <v>0</v>
      </c>
      <c r="I141" s="36">
        <v>0</v>
      </c>
      <c r="J141" s="36">
        <v>0</v>
      </c>
      <c r="K141" s="36">
        <v>0</v>
      </c>
      <c r="L141" s="36">
        <v>0</v>
      </c>
      <c r="M141" s="36">
        <v>0</v>
      </c>
      <c r="N141" s="36">
        <v>0</v>
      </c>
      <c r="O141" s="36">
        <v>0</v>
      </c>
      <c r="P141" s="36">
        <v>0</v>
      </c>
      <c r="Q141" s="36">
        <v>0</v>
      </c>
      <c r="R141" s="36">
        <v>0</v>
      </c>
      <c r="S141" s="36">
        <v>0</v>
      </c>
      <c r="T141" s="36">
        <v>0</v>
      </c>
      <c r="U141" s="36">
        <v>0</v>
      </c>
      <c r="V141" s="36">
        <v>0</v>
      </c>
      <c r="W141" s="36">
        <v>0</v>
      </c>
      <c r="X141" s="36">
        <v>0</v>
      </c>
      <c r="Y141" s="36">
        <v>0</v>
      </c>
      <c r="Z141" s="36">
        <v>0</v>
      </c>
      <c r="AA141" s="36">
        <v>0</v>
      </c>
      <c r="AB141" s="36">
        <v>0</v>
      </c>
      <c r="AC141" s="36">
        <v>0</v>
      </c>
      <c r="AD141" s="36">
        <v>0</v>
      </c>
      <c r="AE141" s="36">
        <v>0</v>
      </c>
      <c r="AF141" s="36">
        <v>1694.2799480968874</v>
      </c>
      <c r="AG141" s="36">
        <v>0</v>
      </c>
      <c r="AH141" s="36">
        <v>0</v>
      </c>
      <c r="AI141" s="36">
        <v>0</v>
      </c>
      <c r="AJ141" s="36">
        <v>0</v>
      </c>
      <c r="AK141" s="36">
        <v>0</v>
      </c>
      <c r="AL141" s="36">
        <v>0</v>
      </c>
      <c r="AM141" s="36">
        <v>0</v>
      </c>
      <c r="AN141" s="36">
        <v>0</v>
      </c>
      <c r="AO141" s="36">
        <v>0</v>
      </c>
      <c r="AP141" s="36">
        <v>0</v>
      </c>
      <c r="AQ141" s="36">
        <v>0</v>
      </c>
      <c r="AR141" s="36">
        <v>58.256395037385396</v>
      </c>
      <c r="AS141" s="36">
        <v>0</v>
      </c>
      <c r="AT141" s="36">
        <v>0</v>
      </c>
      <c r="AU141" s="36">
        <v>0</v>
      </c>
      <c r="AV141" s="36">
        <v>0</v>
      </c>
      <c r="AW141" s="36">
        <v>0</v>
      </c>
      <c r="AX141" s="36">
        <v>0</v>
      </c>
      <c r="AY141" s="36">
        <v>0</v>
      </c>
      <c r="AZ141" s="36">
        <v>0</v>
      </c>
      <c r="BA141" s="36">
        <v>0</v>
      </c>
      <c r="BB141" s="36">
        <v>0</v>
      </c>
      <c r="BC141" s="36">
        <v>41.452266906918616</v>
      </c>
      <c r="BD141" s="36">
        <v>0</v>
      </c>
      <c r="BE141" s="36">
        <v>0</v>
      </c>
      <c r="BF141" s="36">
        <v>0</v>
      </c>
      <c r="BG141" s="36">
        <v>0</v>
      </c>
      <c r="BH141" s="36">
        <v>0</v>
      </c>
      <c r="BI141" s="36">
        <v>0</v>
      </c>
      <c r="BJ141" s="36">
        <v>0</v>
      </c>
      <c r="BK141" s="36">
        <v>0</v>
      </c>
      <c r="BL141" s="36">
        <v>0</v>
      </c>
      <c r="BM141" s="36">
        <v>0</v>
      </c>
      <c r="BN141" s="36">
        <v>0</v>
      </c>
      <c r="BO141" s="36">
        <v>0</v>
      </c>
      <c r="BP141" s="36">
        <v>0</v>
      </c>
      <c r="BQ141" s="36">
        <v>0</v>
      </c>
      <c r="BR141" s="36">
        <v>0</v>
      </c>
      <c r="BS141" s="36">
        <v>0</v>
      </c>
      <c r="BT141" s="36">
        <v>0</v>
      </c>
      <c r="BU141" s="36">
        <v>0</v>
      </c>
      <c r="BV141" s="36">
        <v>0</v>
      </c>
      <c r="BW141" s="36">
        <v>0</v>
      </c>
      <c r="BX141" s="36">
        <v>0</v>
      </c>
      <c r="BY141" s="36">
        <v>0</v>
      </c>
      <c r="BZ141" s="36">
        <v>0</v>
      </c>
      <c r="CA141" s="36">
        <v>0</v>
      </c>
      <c r="CB141" s="36">
        <v>0</v>
      </c>
      <c r="CC141" s="36">
        <v>0</v>
      </c>
      <c r="CD141" s="36">
        <v>0</v>
      </c>
      <c r="CE141" s="36">
        <v>0</v>
      </c>
      <c r="CF141" s="36">
        <v>0</v>
      </c>
      <c r="CG141" s="36">
        <v>0</v>
      </c>
      <c r="CH141" s="36">
        <v>0</v>
      </c>
      <c r="CI141" s="36">
        <v>0</v>
      </c>
      <c r="CJ141" s="36">
        <v>0</v>
      </c>
      <c r="CK141" s="36">
        <v>0</v>
      </c>
      <c r="CL141" s="36">
        <v>0</v>
      </c>
      <c r="CM141" s="36">
        <v>0</v>
      </c>
      <c r="CN141" s="36">
        <v>0</v>
      </c>
      <c r="CO141" s="36">
        <v>0</v>
      </c>
      <c r="CP141" s="36">
        <v>0</v>
      </c>
      <c r="CQ141" s="36">
        <v>0</v>
      </c>
      <c r="CR141" s="36">
        <v>0</v>
      </c>
      <c r="CS141" s="36">
        <v>0</v>
      </c>
      <c r="CT141" s="36">
        <v>0</v>
      </c>
      <c r="CU141" s="36">
        <v>0</v>
      </c>
      <c r="CV141" s="36">
        <v>0</v>
      </c>
      <c r="CW141" s="36">
        <v>0</v>
      </c>
      <c r="CX141" s="36">
        <v>0</v>
      </c>
      <c r="CY141" s="36">
        <v>0</v>
      </c>
      <c r="CZ141" s="36">
        <v>0</v>
      </c>
      <c r="DA141" s="36">
        <v>0</v>
      </c>
      <c r="DB141" s="36">
        <v>0</v>
      </c>
      <c r="DC141" s="36">
        <v>0</v>
      </c>
      <c r="DD141" s="36">
        <v>0</v>
      </c>
      <c r="DE141" s="36">
        <v>0</v>
      </c>
      <c r="DF141" s="36">
        <v>0</v>
      </c>
      <c r="DG141" s="36">
        <v>0</v>
      </c>
      <c r="DH141" s="36">
        <v>0</v>
      </c>
      <c r="DI141" s="36">
        <v>0</v>
      </c>
      <c r="DJ141" s="36">
        <v>0</v>
      </c>
      <c r="DK141" s="36">
        <v>0</v>
      </c>
      <c r="DL141" s="36">
        <v>0</v>
      </c>
      <c r="DM141" s="36">
        <v>0</v>
      </c>
      <c r="DN141" s="36">
        <v>0</v>
      </c>
      <c r="DO141" s="36">
        <v>0</v>
      </c>
      <c r="DP141" s="36">
        <v>0</v>
      </c>
      <c r="DQ141" s="36">
        <v>0</v>
      </c>
      <c r="DR141" s="36">
        <v>0</v>
      </c>
      <c r="DS141" s="36">
        <v>0</v>
      </c>
      <c r="DT141" s="36">
        <v>0</v>
      </c>
      <c r="DU141" s="36">
        <v>0</v>
      </c>
      <c r="DV141" s="36">
        <v>0</v>
      </c>
      <c r="DW141" s="36">
        <v>0</v>
      </c>
      <c r="DX141" s="36">
        <v>0</v>
      </c>
      <c r="DY141" s="36">
        <v>0</v>
      </c>
      <c r="DZ141" s="36">
        <v>0</v>
      </c>
      <c r="EA141" s="36">
        <v>0</v>
      </c>
      <c r="EB141" s="36">
        <v>0</v>
      </c>
      <c r="EC141" s="36">
        <v>0</v>
      </c>
      <c r="ED141" s="36">
        <v>0</v>
      </c>
      <c r="EE141" s="36">
        <v>0</v>
      </c>
      <c r="EF141" s="36">
        <v>0</v>
      </c>
      <c r="EG141" s="36">
        <v>0</v>
      </c>
      <c r="EH141" s="36">
        <v>0</v>
      </c>
      <c r="EI141" s="36">
        <v>0</v>
      </c>
      <c r="EJ141" s="36">
        <v>0</v>
      </c>
      <c r="EK141" s="36">
        <v>0</v>
      </c>
      <c r="EL141" s="36">
        <v>0</v>
      </c>
      <c r="EM141" s="36">
        <v>0</v>
      </c>
      <c r="EN141" s="36">
        <v>0</v>
      </c>
      <c r="EO141" s="36">
        <v>0</v>
      </c>
      <c r="EP141" s="36">
        <v>0</v>
      </c>
      <c r="EQ141" s="36">
        <v>0</v>
      </c>
      <c r="ER141" s="36">
        <v>0</v>
      </c>
      <c r="ES141" s="36">
        <v>0</v>
      </c>
      <c r="ET141" s="36">
        <v>0</v>
      </c>
      <c r="EU141" s="36">
        <v>0</v>
      </c>
      <c r="EV141" s="36">
        <v>0</v>
      </c>
      <c r="EW141" s="36">
        <v>0</v>
      </c>
      <c r="EX141" s="36">
        <v>0</v>
      </c>
      <c r="EY141" s="36">
        <v>0</v>
      </c>
      <c r="EZ141" s="36">
        <v>0</v>
      </c>
      <c r="FA141" s="36">
        <v>0</v>
      </c>
      <c r="FB141" s="36">
        <v>0</v>
      </c>
      <c r="FC141" s="36">
        <v>0</v>
      </c>
      <c r="FD141" s="36">
        <v>0</v>
      </c>
      <c r="FE141" s="36">
        <v>0</v>
      </c>
      <c r="FF141" s="36">
        <v>0</v>
      </c>
      <c r="FG141" s="36">
        <v>0</v>
      </c>
      <c r="FH141" s="36">
        <v>0</v>
      </c>
      <c r="FI141" s="36">
        <v>0</v>
      </c>
      <c r="FJ141" s="36">
        <v>0</v>
      </c>
      <c r="FK141" s="36">
        <v>0</v>
      </c>
      <c r="FL141" s="36">
        <v>0</v>
      </c>
      <c r="FM141" s="36">
        <v>0</v>
      </c>
      <c r="FN141" s="36">
        <v>0</v>
      </c>
      <c r="FO141" s="36">
        <v>0</v>
      </c>
      <c r="FP141" s="36">
        <v>0</v>
      </c>
      <c r="FQ141" s="36">
        <v>0</v>
      </c>
      <c r="FR141" s="36">
        <v>0</v>
      </c>
      <c r="FS141" s="36">
        <v>0</v>
      </c>
      <c r="FT141" s="36">
        <v>0</v>
      </c>
      <c r="FU141" s="36">
        <v>0</v>
      </c>
      <c r="FV141" s="36">
        <v>0</v>
      </c>
      <c r="FW141" s="36">
        <v>0</v>
      </c>
      <c r="FX141" s="36">
        <v>0</v>
      </c>
      <c r="FY141" s="36">
        <v>0</v>
      </c>
      <c r="FZ141" s="36">
        <v>0</v>
      </c>
      <c r="GA141" s="36">
        <v>0</v>
      </c>
      <c r="GB141" s="36">
        <v>0</v>
      </c>
      <c r="GC141" s="36">
        <v>0</v>
      </c>
      <c r="GD141" s="36">
        <v>0</v>
      </c>
      <c r="GE141" s="36">
        <v>0</v>
      </c>
      <c r="GF141" s="36">
        <v>0</v>
      </c>
      <c r="GG141" s="42">
        <v>2.9925980368924829</v>
      </c>
      <c r="GH141" s="42">
        <v>5.3972837540366436</v>
      </c>
      <c r="GI141" s="42">
        <v>6.4309817633702089</v>
      </c>
      <c r="GJ141" s="42">
        <v>4.7560267293118947</v>
      </c>
      <c r="GK141" s="42">
        <v>5.9218511758833117</v>
      </c>
      <c r="GL141" s="42">
        <v>20.097368371821037</v>
      </c>
      <c r="GM141" s="42">
        <v>22.759341243701503</v>
      </c>
      <c r="GN141" s="42">
        <v>31.289593099961511</v>
      </c>
      <c r="GO141" s="42">
        <v>192.79168492132064</v>
      </c>
      <c r="GP141" s="42">
        <v>24.799500996518745</v>
      </c>
      <c r="GQ141" s="42">
        <v>88.331904716114266</v>
      </c>
      <c r="GR141" s="42">
        <v>11.225726276796818</v>
      </c>
      <c r="GS141" s="42">
        <v>17.574705392350861</v>
      </c>
      <c r="GT141" s="42">
        <v>840.39535702090325</v>
      </c>
      <c r="GU141" s="36">
        <v>0</v>
      </c>
      <c r="GV141" s="36">
        <v>0</v>
      </c>
      <c r="GW141" s="36">
        <v>0</v>
      </c>
      <c r="GX141" s="36">
        <v>0</v>
      </c>
      <c r="GY141" s="36">
        <v>0</v>
      </c>
      <c r="GZ141" s="36">
        <v>11976.863385443809</v>
      </c>
      <c r="HA141" s="38">
        <v>-154.89331856314675</v>
      </c>
      <c r="HB141" s="36">
        <v>5589.4082237670182</v>
      </c>
      <c r="HC141" s="36">
        <f t="shared" si="2"/>
        <v>20480.130824187854</v>
      </c>
      <c r="HD141" s="36">
        <f>SUM(EH$5:EH$213)</f>
        <v>20480.130824187854</v>
      </c>
      <c r="HE141" s="41">
        <v>0</v>
      </c>
      <c r="HG141" s="43"/>
      <c r="HH141" s="43"/>
      <c r="HI141" s="43"/>
      <c r="HJ141" s="43"/>
      <c r="HK141" s="43"/>
      <c r="HL141" s="43"/>
      <c r="HM141" s="43"/>
      <c r="HN141" s="43"/>
      <c r="HO141" s="43"/>
      <c r="HP141" s="43"/>
      <c r="HQ141" s="43"/>
      <c r="HR141" s="43"/>
      <c r="HS141" s="43"/>
      <c r="HT141" s="43"/>
    </row>
    <row r="142" spans="1:228" hidden="1" outlineLevel="1" x14ac:dyDescent="0.2">
      <c r="A142" s="9" t="s">
        <v>1089</v>
      </c>
      <c r="B142" s="36">
        <v>0</v>
      </c>
      <c r="C142" s="36">
        <v>0</v>
      </c>
      <c r="D142" s="36">
        <v>0</v>
      </c>
      <c r="E142" s="36">
        <v>0</v>
      </c>
      <c r="F142" s="36">
        <v>0</v>
      </c>
      <c r="G142" s="36">
        <v>0</v>
      </c>
      <c r="H142" s="36">
        <v>0</v>
      </c>
      <c r="I142" s="36">
        <v>0</v>
      </c>
      <c r="J142" s="36">
        <v>0</v>
      </c>
      <c r="K142" s="36">
        <v>0</v>
      </c>
      <c r="L142" s="36">
        <v>0</v>
      </c>
      <c r="M142" s="36">
        <v>0</v>
      </c>
      <c r="N142" s="36">
        <v>0</v>
      </c>
      <c r="O142" s="36">
        <v>0</v>
      </c>
      <c r="P142" s="36">
        <v>0</v>
      </c>
      <c r="Q142" s="36">
        <v>0</v>
      </c>
      <c r="R142" s="36">
        <v>0</v>
      </c>
      <c r="S142" s="36">
        <v>0</v>
      </c>
      <c r="T142" s="36">
        <v>0</v>
      </c>
      <c r="U142" s="36">
        <v>0</v>
      </c>
      <c r="V142" s="36">
        <v>0</v>
      </c>
      <c r="W142" s="36">
        <v>0</v>
      </c>
      <c r="X142" s="36">
        <v>0</v>
      </c>
      <c r="Y142" s="36">
        <v>0</v>
      </c>
      <c r="Z142" s="36">
        <v>0</v>
      </c>
      <c r="AA142" s="36">
        <v>0</v>
      </c>
      <c r="AB142" s="36">
        <v>0</v>
      </c>
      <c r="AC142" s="36">
        <v>0</v>
      </c>
      <c r="AD142" s="36">
        <v>0</v>
      </c>
      <c r="AE142" s="36">
        <v>0</v>
      </c>
      <c r="AF142" s="36">
        <v>168.22231549519859</v>
      </c>
      <c r="AG142" s="36">
        <v>0</v>
      </c>
      <c r="AH142" s="36">
        <v>0</v>
      </c>
      <c r="AI142" s="36">
        <v>0</v>
      </c>
      <c r="AJ142" s="36">
        <v>0</v>
      </c>
      <c r="AK142" s="36">
        <v>0</v>
      </c>
      <c r="AL142" s="36">
        <v>0</v>
      </c>
      <c r="AM142" s="36">
        <v>0</v>
      </c>
      <c r="AN142" s="36">
        <v>0</v>
      </c>
      <c r="AO142" s="36">
        <v>0</v>
      </c>
      <c r="AP142" s="36">
        <v>0</v>
      </c>
      <c r="AQ142" s="36">
        <v>0</v>
      </c>
      <c r="AR142" s="36">
        <v>0</v>
      </c>
      <c r="AS142" s="36">
        <v>0</v>
      </c>
      <c r="AT142" s="36">
        <v>0</v>
      </c>
      <c r="AU142" s="36">
        <v>0</v>
      </c>
      <c r="AV142" s="36">
        <v>0</v>
      </c>
      <c r="AW142" s="36">
        <v>0</v>
      </c>
      <c r="AX142" s="36">
        <v>0</v>
      </c>
      <c r="AY142" s="36">
        <v>0</v>
      </c>
      <c r="AZ142" s="36">
        <v>0</v>
      </c>
      <c r="BA142" s="36">
        <v>0</v>
      </c>
      <c r="BB142" s="36">
        <v>0</v>
      </c>
      <c r="BC142" s="36">
        <v>6.5734361768004096E-2</v>
      </c>
      <c r="BD142" s="36">
        <v>0</v>
      </c>
      <c r="BE142" s="36">
        <v>263.35548210231383</v>
      </c>
      <c r="BF142" s="36">
        <v>120.71236299600469</v>
      </c>
      <c r="BG142" s="36">
        <v>0</v>
      </c>
      <c r="BH142" s="36">
        <v>10.318012236317848</v>
      </c>
      <c r="BI142" s="36">
        <v>0</v>
      </c>
      <c r="BJ142" s="36">
        <v>1674.5486516367446</v>
      </c>
      <c r="BK142" s="36">
        <v>0</v>
      </c>
      <c r="BL142" s="36">
        <v>0</v>
      </c>
      <c r="BM142" s="36">
        <v>0</v>
      </c>
      <c r="BN142" s="36">
        <v>0</v>
      </c>
      <c r="BO142" s="36">
        <v>0</v>
      </c>
      <c r="BP142" s="36">
        <v>0</v>
      </c>
      <c r="BQ142" s="36">
        <v>0</v>
      </c>
      <c r="BR142" s="36">
        <v>0</v>
      </c>
      <c r="BS142" s="36">
        <v>0</v>
      </c>
      <c r="BT142" s="36">
        <v>0</v>
      </c>
      <c r="BU142" s="36">
        <v>0</v>
      </c>
      <c r="BV142" s="36">
        <v>0</v>
      </c>
      <c r="BW142" s="36">
        <v>0</v>
      </c>
      <c r="BX142" s="36">
        <v>0</v>
      </c>
      <c r="BY142" s="36">
        <v>0</v>
      </c>
      <c r="BZ142" s="36">
        <v>0</v>
      </c>
      <c r="CA142" s="36">
        <v>0</v>
      </c>
      <c r="CB142" s="36">
        <v>0</v>
      </c>
      <c r="CC142" s="36">
        <v>0</v>
      </c>
      <c r="CD142" s="36">
        <v>0</v>
      </c>
      <c r="CE142" s="36">
        <v>0</v>
      </c>
      <c r="CF142" s="36">
        <v>0</v>
      </c>
      <c r="CG142" s="36">
        <v>0</v>
      </c>
      <c r="CH142" s="36">
        <v>0</v>
      </c>
      <c r="CI142" s="36">
        <v>0</v>
      </c>
      <c r="CJ142" s="36">
        <v>0</v>
      </c>
      <c r="CK142" s="36">
        <v>0</v>
      </c>
      <c r="CL142" s="36">
        <v>0</v>
      </c>
      <c r="CM142" s="36">
        <v>0</v>
      </c>
      <c r="CN142" s="36">
        <v>0</v>
      </c>
      <c r="CO142" s="36">
        <v>0</v>
      </c>
      <c r="CP142" s="36">
        <v>0</v>
      </c>
      <c r="CQ142" s="36">
        <v>0</v>
      </c>
      <c r="CR142" s="36">
        <v>0</v>
      </c>
      <c r="CS142" s="36">
        <v>0</v>
      </c>
      <c r="CT142" s="36">
        <v>0</v>
      </c>
      <c r="CU142" s="36">
        <v>0</v>
      </c>
      <c r="CV142" s="36">
        <v>0</v>
      </c>
      <c r="CW142" s="36">
        <v>0</v>
      </c>
      <c r="CX142" s="36">
        <v>0</v>
      </c>
      <c r="CY142" s="36">
        <v>0</v>
      </c>
      <c r="CZ142" s="36">
        <v>0</v>
      </c>
      <c r="DA142" s="36">
        <v>0</v>
      </c>
      <c r="DB142" s="36">
        <v>0</v>
      </c>
      <c r="DC142" s="36">
        <v>0</v>
      </c>
      <c r="DD142" s="36">
        <v>0</v>
      </c>
      <c r="DE142" s="36">
        <v>0</v>
      </c>
      <c r="DF142" s="36">
        <v>0</v>
      </c>
      <c r="DG142" s="36">
        <v>0</v>
      </c>
      <c r="DH142" s="36">
        <v>0</v>
      </c>
      <c r="DI142" s="36">
        <v>0</v>
      </c>
      <c r="DJ142" s="36">
        <v>0</v>
      </c>
      <c r="DK142" s="36">
        <v>0</v>
      </c>
      <c r="DL142" s="36">
        <v>0</v>
      </c>
      <c r="DM142" s="36">
        <v>0</v>
      </c>
      <c r="DN142" s="36">
        <v>0</v>
      </c>
      <c r="DO142" s="36">
        <v>0</v>
      </c>
      <c r="DP142" s="36">
        <v>0</v>
      </c>
      <c r="DQ142" s="36">
        <v>0</v>
      </c>
      <c r="DR142" s="36">
        <v>0</v>
      </c>
      <c r="DS142" s="36">
        <v>0</v>
      </c>
      <c r="DT142" s="36">
        <v>0</v>
      </c>
      <c r="DU142" s="36">
        <v>0</v>
      </c>
      <c r="DV142" s="36">
        <v>0</v>
      </c>
      <c r="DW142" s="36">
        <v>0</v>
      </c>
      <c r="DX142" s="36">
        <v>0</v>
      </c>
      <c r="DY142" s="36">
        <v>0</v>
      </c>
      <c r="DZ142" s="36">
        <v>0</v>
      </c>
      <c r="EA142" s="36">
        <v>0</v>
      </c>
      <c r="EB142" s="36">
        <v>0</v>
      </c>
      <c r="EC142" s="36">
        <v>0</v>
      </c>
      <c r="ED142" s="36">
        <v>0</v>
      </c>
      <c r="EE142" s="36">
        <v>0</v>
      </c>
      <c r="EF142" s="36">
        <v>0</v>
      </c>
      <c r="EG142" s="36">
        <v>0</v>
      </c>
      <c r="EH142" s="36">
        <v>0</v>
      </c>
      <c r="EI142" s="36">
        <v>0</v>
      </c>
      <c r="EJ142" s="36">
        <v>0</v>
      </c>
      <c r="EK142" s="36">
        <v>0</v>
      </c>
      <c r="EL142" s="36">
        <v>0</v>
      </c>
      <c r="EM142" s="36">
        <v>0</v>
      </c>
      <c r="EN142" s="36">
        <v>0</v>
      </c>
      <c r="EO142" s="36">
        <v>0</v>
      </c>
      <c r="EP142" s="36">
        <v>0</v>
      </c>
      <c r="EQ142" s="36">
        <v>0</v>
      </c>
      <c r="ER142" s="36">
        <v>0</v>
      </c>
      <c r="ES142" s="36">
        <v>0</v>
      </c>
      <c r="ET142" s="36">
        <v>0</v>
      </c>
      <c r="EU142" s="36">
        <v>0</v>
      </c>
      <c r="EV142" s="36">
        <v>0</v>
      </c>
      <c r="EW142" s="36">
        <v>0</v>
      </c>
      <c r="EX142" s="36">
        <v>0</v>
      </c>
      <c r="EY142" s="36">
        <v>0</v>
      </c>
      <c r="EZ142" s="36">
        <v>0</v>
      </c>
      <c r="FA142" s="36">
        <v>0</v>
      </c>
      <c r="FB142" s="36">
        <v>0</v>
      </c>
      <c r="FC142" s="36">
        <v>0</v>
      </c>
      <c r="FD142" s="36">
        <v>0</v>
      </c>
      <c r="FE142" s="36">
        <v>0</v>
      </c>
      <c r="FF142" s="36">
        <v>0</v>
      </c>
      <c r="FG142" s="36">
        <v>0</v>
      </c>
      <c r="FH142" s="36">
        <v>0</v>
      </c>
      <c r="FI142" s="36">
        <v>0</v>
      </c>
      <c r="FJ142" s="36">
        <v>0</v>
      </c>
      <c r="FK142" s="36">
        <v>0</v>
      </c>
      <c r="FL142" s="36">
        <v>0</v>
      </c>
      <c r="FM142" s="36">
        <v>0</v>
      </c>
      <c r="FN142" s="36">
        <v>0</v>
      </c>
      <c r="FO142" s="36">
        <v>0</v>
      </c>
      <c r="FP142" s="36">
        <v>0</v>
      </c>
      <c r="FQ142" s="36">
        <v>0</v>
      </c>
      <c r="FR142" s="36">
        <v>0</v>
      </c>
      <c r="FS142" s="36">
        <v>0</v>
      </c>
      <c r="FT142" s="36">
        <v>0</v>
      </c>
      <c r="FU142" s="36">
        <v>0</v>
      </c>
      <c r="FV142" s="36">
        <v>0</v>
      </c>
      <c r="FW142" s="36">
        <v>0</v>
      </c>
      <c r="FX142" s="36">
        <v>0</v>
      </c>
      <c r="FY142" s="36">
        <v>0</v>
      </c>
      <c r="FZ142" s="36">
        <v>0</v>
      </c>
      <c r="GA142" s="36">
        <v>0</v>
      </c>
      <c r="GB142" s="36">
        <v>0</v>
      </c>
      <c r="GC142" s="36">
        <v>0</v>
      </c>
      <c r="GD142" s="36">
        <v>0</v>
      </c>
      <c r="GE142" s="36">
        <v>0</v>
      </c>
      <c r="GF142" s="36">
        <v>0</v>
      </c>
      <c r="GG142" s="42">
        <v>18.38237287051313</v>
      </c>
      <c r="GH142" s="42">
        <v>33.153427634300435</v>
      </c>
      <c r="GI142" s="42">
        <v>39.503034901572541</v>
      </c>
      <c r="GJ142" s="42">
        <v>29.214433626750161</v>
      </c>
      <c r="GK142" s="42">
        <v>36.375642520908556</v>
      </c>
      <c r="GL142" s="42">
        <v>123.45036472405621</v>
      </c>
      <c r="GM142" s="42">
        <v>139.80183501804527</v>
      </c>
      <c r="GN142" s="42">
        <v>192.19987457032209</v>
      </c>
      <c r="GO142" s="42">
        <v>1184.2447916053106</v>
      </c>
      <c r="GP142" s="42">
        <v>152.33374770039254</v>
      </c>
      <c r="GQ142" s="42">
        <v>542.58874357224192</v>
      </c>
      <c r="GR142" s="42">
        <v>68.95529690872749</v>
      </c>
      <c r="GS142" s="42">
        <v>107.95462124511786</v>
      </c>
      <c r="GT142" s="42">
        <v>5162.2238005101235</v>
      </c>
      <c r="GU142" s="36">
        <v>0</v>
      </c>
      <c r="GV142" s="36">
        <v>0</v>
      </c>
      <c r="GW142" s="36">
        <v>0</v>
      </c>
      <c r="GX142" s="36">
        <v>0</v>
      </c>
      <c r="GY142" s="36">
        <v>0</v>
      </c>
      <c r="GZ142" s="36">
        <v>3568.744089206939</v>
      </c>
      <c r="HA142" s="38">
        <v>583.49612127905675</v>
      </c>
      <c r="HB142" s="36">
        <v>546.85185546469597</v>
      </c>
      <c r="HC142" s="36">
        <f t="shared" si="2"/>
        <v>14766.696612187421</v>
      </c>
      <c r="HD142" s="36">
        <f>SUM(EI$5:EI$213)</f>
        <v>14766.696612187421</v>
      </c>
      <c r="HE142" s="41">
        <v>0</v>
      </c>
      <c r="HG142" s="43"/>
      <c r="HH142" s="43"/>
      <c r="HI142" s="43"/>
      <c r="HJ142" s="43"/>
      <c r="HK142" s="43"/>
      <c r="HL142" s="43"/>
      <c r="HM142" s="43"/>
      <c r="HN142" s="43"/>
      <c r="HO142" s="43"/>
      <c r="HP142" s="43"/>
      <c r="HQ142" s="43"/>
      <c r="HR142" s="43"/>
      <c r="HS142" s="43"/>
      <c r="HT142" s="43"/>
    </row>
    <row r="143" spans="1:228" hidden="1" outlineLevel="1" x14ac:dyDescent="0.2">
      <c r="A143" s="9" t="s">
        <v>1095</v>
      </c>
      <c r="B143" s="36">
        <v>0</v>
      </c>
      <c r="C143" s="36">
        <v>0</v>
      </c>
      <c r="D143" s="36">
        <v>26.917843034524882</v>
      </c>
      <c r="E143" s="36">
        <v>2627.8529447253823</v>
      </c>
      <c r="F143" s="36">
        <v>2081.5709551881746</v>
      </c>
      <c r="G143" s="36">
        <v>11625.832340958614</v>
      </c>
      <c r="H143" s="36">
        <v>1299.6589871791564</v>
      </c>
      <c r="I143" s="36">
        <v>864.56389722301401</v>
      </c>
      <c r="J143" s="36">
        <v>250.87358200187282</v>
      </c>
      <c r="K143" s="36">
        <v>57.619536878849019</v>
      </c>
      <c r="L143" s="36">
        <v>66.586125035461464</v>
      </c>
      <c r="M143" s="36">
        <v>10.388860221213395</v>
      </c>
      <c r="N143" s="36">
        <v>24.685048269844181</v>
      </c>
      <c r="O143" s="36">
        <v>62.083436851551568</v>
      </c>
      <c r="P143" s="36">
        <v>482.45510371241886</v>
      </c>
      <c r="Q143" s="36">
        <v>248.96705847287342</v>
      </c>
      <c r="R143" s="36">
        <v>196.87018531534233</v>
      </c>
      <c r="S143" s="36">
        <v>212.61515530862803</v>
      </c>
      <c r="T143" s="36">
        <v>461.81860883601871</v>
      </c>
      <c r="U143" s="36">
        <v>62.695033333608357</v>
      </c>
      <c r="V143" s="36">
        <v>115.02196453009728</v>
      </c>
      <c r="W143" s="36">
        <v>13.07578428249921</v>
      </c>
      <c r="X143" s="36">
        <v>304.91891581302963</v>
      </c>
      <c r="Y143" s="36">
        <v>154.55928200229246</v>
      </c>
      <c r="Z143" s="36">
        <v>145.85675500486133</v>
      </c>
      <c r="AA143" s="36">
        <v>256.37762572409798</v>
      </c>
      <c r="AB143" s="36">
        <v>88.094696373795259</v>
      </c>
      <c r="AC143" s="36">
        <v>30.732035473180577</v>
      </c>
      <c r="AD143" s="36">
        <v>40.328119279286938</v>
      </c>
      <c r="AE143" s="36">
        <v>296.87719107897885</v>
      </c>
      <c r="AF143" s="36">
        <v>55.012893933048758</v>
      </c>
      <c r="AG143" s="36">
        <v>54.559222124088514</v>
      </c>
      <c r="AH143" s="36">
        <v>52.064577150074285</v>
      </c>
      <c r="AI143" s="36">
        <v>210.56815021629262</v>
      </c>
      <c r="AJ143" s="36">
        <v>64.802595036407297</v>
      </c>
      <c r="AK143" s="36">
        <v>1028.9345904310214</v>
      </c>
      <c r="AL143" s="36">
        <v>3980.377447457457</v>
      </c>
      <c r="AM143" s="36">
        <v>1770.569217168545</v>
      </c>
      <c r="AN143" s="36">
        <v>1577.8547504169348</v>
      </c>
      <c r="AO143" s="36">
        <v>1158.1077021206095</v>
      </c>
      <c r="AP143" s="36">
        <v>553.80121253420657</v>
      </c>
      <c r="AQ143" s="36">
        <v>19.815687823633485</v>
      </c>
      <c r="AR143" s="36">
        <v>488.91297959872071</v>
      </c>
      <c r="AS143" s="36">
        <v>578.48611372054665</v>
      </c>
      <c r="AT143" s="36">
        <v>3148.6291751098961</v>
      </c>
      <c r="AU143" s="36">
        <v>1195.3286334639802</v>
      </c>
      <c r="AV143" s="36">
        <v>1955.941152594781</v>
      </c>
      <c r="AW143" s="36">
        <v>2820.8617270878517</v>
      </c>
      <c r="AX143" s="36">
        <v>28157.069979767079</v>
      </c>
      <c r="AY143" s="36">
        <v>106.25581554782744</v>
      </c>
      <c r="AZ143" s="36">
        <v>386.77526655312647</v>
      </c>
      <c r="BA143" s="36">
        <v>154.27553639714122</v>
      </c>
      <c r="BB143" s="36">
        <v>1762.168061199623</v>
      </c>
      <c r="BC143" s="36">
        <v>20212.747778323086</v>
      </c>
      <c r="BD143" s="36">
        <v>7661.4058532326544</v>
      </c>
      <c r="BE143" s="36">
        <v>5180.9536561051609</v>
      </c>
      <c r="BF143" s="36">
        <v>342.75198441097177</v>
      </c>
      <c r="BG143" s="36">
        <v>167.8292328143711</v>
      </c>
      <c r="BH143" s="36">
        <v>800.44057185809595</v>
      </c>
      <c r="BI143" s="36">
        <v>22.864839834529594</v>
      </c>
      <c r="BJ143" s="36">
        <v>656.32425191553921</v>
      </c>
      <c r="BK143" s="36">
        <v>0</v>
      </c>
      <c r="BL143" s="36">
        <v>0</v>
      </c>
      <c r="BM143" s="36">
        <v>0</v>
      </c>
      <c r="BN143" s="36">
        <v>0</v>
      </c>
      <c r="BO143" s="36">
        <v>0</v>
      </c>
      <c r="BP143" s="36">
        <v>0</v>
      </c>
      <c r="BQ143" s="36">
        <v>0</v>
      </c>
      <c r="BR143" s="36">
        <v>0</v>
      </c>
      <c r="BS143" s="36">
        <v>0</v>
      </c>
      <c r="BT143" s="36">
        <v>0</v>
      </c>
      <c r="BU143" s="36">
        <v>0</v>
      </c>
      <c r="BV143" s="36">
        <v>0</v>
      </c>
      <c r="BW143" s="36">
        <v>0</v>
      </c>
      <c r="BX143" s="36">
        <v>0</v>
      </c>
      <c r="BY143" s="36">
        <v>0</v>
      </c>
      <c r="BZ143" s="36">
        <v>0</v>
      </c>
      <c r="CA143" s="36">
        <v>0</v>
      </c>
      <c r="CB143" s="36">
        <v>0</v>
      </c>
      <c r="CC143" s="36">
        <v>0</v>
      </c>
      <c r="CD143" s="36">
        <v>0</v>
      </c>
      <c r="CE143" s="36">
        <v>0</v>
      </c>
      <c r="CF143" s="36">
        <v>0</v>
      </c>
      <c r="CG143" s="36">
        <v>0</v>
      </c>
      <c r="CH143" s="36">
        <v>0</v>
      </c>
      <c r="CI143" s="36">
        <v>0</v>
      </c>
      <c r="CJ143" s="36">
        <v>0</v>
      </c>
      <c r="CK143" s="36">
        <v>0</v>
      </c>
      <c r="CL143" s="36">
        <v>0</v>
      </c>
      <c r="CM143" s="36">
        <v>0</v>
      </c>
      <c r="CN143" s="36">
        <v>0</v>
      </c>
      <c r="CO143" s="36">
        <v>0</v>
      </c>
      <c r="CP143" s="36">
        <v>0</v>
      </c>
      <c r="CQ143" s="36">
        <v>0</v>
      </c>
      <c r="CR143" s="36">
        <v>0</v>
      </c>
      <c r="CS143" s="36">
        <v>0</v>
      </c>
      <c r="CT143" s="36">
        <v>0</v>
      </c>
      <c r="CU143" s="36">
        <v>0</v>
      </c>
      <c r="CV143" s="36">
        <v>0</v>
      </c>
      <c r="CW143" s="36">
        <v>0</v>
      </c>
      <c r="CX143" s="36">
        <v>0</v>
      </c>
      <c r="CY143" s="36">
        <v>0</v>
      </c>
      <c r="CZ143" s="36">
        <v>0</v>
      </c>
      <c r="DA143" s="36">
        <v>0</v>
      </c>
      <c r="DB143" s="36">
        <v>0</v>
      </c>
      <c r="DC143" s="36">
        <v>0</v>
      </c>
      <c r="DD143" s="36">
        <v>0</v>
      </c>
      <c r="DE143" s="36">
        <v>0</v>
      </c>
      <c r="DF143" s="36">
        <v>0</v>
      </c>
      <c r="DG143" s="36">
        <v>0</v>
      </c>
      <c r="DH143" s="36">
        <v>0</v>
      </c>
      <c r="DI143" s="36">
        <v>0</v>
      </c>
      <c r="DJ143" s="36">
        <v>0</v>
      </c>
      <c r="DK143" s="36">
        <v>0</v>
      </c>
      <c r="DL143" s="36">
        <v>0</v>
      </c>
      <c r="DM143" s="36">
        <v>0</v>
      </c>
      <c r="DN143" s="36">
        <v>0</v>
      </c>
      <c r="DO143" s="36">
        <v>0</v>
      </c>
      <c r="DP143" s="36">
        <v>0</v>
      </c>
      <c r="DQ143" s="36">
        <v>0</v>
      </c>
      <c r="DR143" s="36">
        <v>0</v>
      </c>
      <c r="DS143" s="36">
        <v>0</v>
      </c>
      <c r="DT143" s="36">
        <v>0</v>
      </c>
      <c r="DU143" s="36">
        <v>0</v>
      </c>
      <c r="DV143" s="36">
        <v>0</v>
      </c>
      <c r="DW143" s="36">
        <v>0</v>
      </c>
      <c r="DX143" s="36">
        <v>0</v>
      </c>
      <c r="DY143" s="36">
        <v>0</v>
      </c>
      <c r="DZ143" s="36">
        <v>0</v>
      </c>
      <c r="EA143" s="36">
        <v>0</v>
      </c>
      <c r="EB143" s="36">
        <v>0</v>
      </c>
      <c r="EC143" s="36">
        <v>0</v>
      </c>
      <c r="ED143" s="36">
        <v>0</v>
      </c>
      <c r="EE143" s="36">
        <v>0</v>
      </c>
      <c r="EF143" s="36">
        <v>0</v>
      </c>
      <c r="EG143" s="36">
        <v>0</v>
      </c>
      <c r="EH143" s="36">
        <v>0</v>
      </c>
      <c r="EI143" s="36">
        <v>0</v>
      </c>
      <c r="EJ143" s="36">
        <v>0</v>
      </c>
      <c r="EK143" s="36">
        <v>0</v>
      </c>
      <c r="EL143" s="36">
        <v>0</v>
      </c>
      <c r="EM143" s="36">
        <v>0</v>
      </c>
      <c r="EN143" s="36">
        <v>0</v>
      </c>
      <c r="EO143" s="36">
        <v>0</v>
      </c>
      <c r="EP143" s="36">
        <v>0</v>
      </c>
      <c r="EQ143" s="36">
        <v>0</v>
      </c>
      <c r="ER143" s="36">
        <v>0</v>
      </c>
      <c r="ES143" s="36">
        <v>0</v>
      </c>
      <c r="ET143" s="36">
        <v>0</v>
      </c>
      <c r="EU143" s="36">
        <v>0</v>
      </c>
      <c r="EV143" s="36">
        <v>0</v>
      </c>
      <c r="EW143" s="36">
        <v>0</v>
      </c>
      <c r="EX143" s="36">
        <v>0</v>
      </c>
      <c r="EY143" s="36">
        <v>0</v>
      </c>
      <c r="EZ143" s="36">
        <v>0</v>
      </c>
      <c r="FA143" s="36">
        <v>0</v>
      </c>
      <c r="FB143" s="36">
        <v>0</v>
      </c>
      <c r="FC143" s="36">
        <v>0</v>
      </c>
      <c r="FD143" s="36">
        <v>0</v>
      </c>
      <c r="FE143" s="36">
        <v>0</v>
      </c>
      <c r="FF143" s="36">
        <v>0</v>
      </c>
      <c r="FG143" s="36">
        <v>0</v>
      </c>
      <c r="FH143" s="36">
        <v>0</v>
      </c>
      <c r="FI143" s="36">
        <v>0</v>
      </c>
      <c r="FJ143" s="36">
        <v>0</v>
      </c>
      <c r="FK143" s="36">
        <v>0</v>
      </c>
      <c r="FL143" s="36">
        <v>0</v>
      </c>
      <c r="FM143" s="36">
        <v>0</v>
      </c>
      <c r="FN143" s="36">
        <v>0</v>
      </c>
      <c r="FO143" s="36">
        <v>0</v>
      </c>
      <c r="FP143" s="36">
        <v>0</v>
      </c>
      <c r="FQ143" s="36">
        <v>0</v>
      </c>
      <c r="FR143" s="36">
        <v>0</v>
      </c>
      <c r="FS143" s="36">
        <v>0</v>
      </c>
      <c r="FT143" s="36">
        <v>0</v>
      </c>
      <c r="FU143" s="36">
        <v>0</v>
      </c>
      <c r="FV143" s="36">
        <v>0</v>
      </c>
      <c r="FW143" s="36">
        <v>0</v>
      </c>
      <c r="FX143" s="36">
        <v>0</v>
      </c>
      <c r="FY143" s="36">
        <v>0</v>
      </c>
      <c r="FZ143" s="36">
        <v>0</v>
      </c>
      <c r="GA143" s="36">
        <v>0</v>
      </c>
      <c r="GB143" s="36">
        <v>0</v>
      </c>
      <c r="GC143" s="36">
        <v>0</v>
      </c>
      <c r="GD143" s="36">
        <v>0</v>
      </c>
      <c r="GE143" s="36">
        <v>0</v>
      </c>
      <c r="GF143" s="36">
        <v>0</v>
      </c>
      <c r="GG143" s="42">
        <v>35.974315593360934</v>
      </c>
      <c r="GH143" s="42">
        <v>63.982043338165226</v>
      </c>
      <c r="GI143" s="42">
        <v>82.435622396270176</v>
      </c>
      <c r="GJ143" s="42">
        <v>94.301779816351754</v>
      </c>
      <c r="GK143" s="42">
        <v>149.56515184272936</v>
      </c>
      <c r="GL143" s="42">
        <v>181.03517010679283</v>
      </c>
      <c r="GM143" s="42">
        <v>352.87695459890614</v>
      </c>
      <c r="GN143" s="42">
        <v>484.77402275901312</v>
      </c>
      <c r="GO143" s="42">
        <v>1071.3703232217167</v>
      </c>
      <c r="GP143" s="42">
        <v>419.29516778197132</v>
      </c>
      <c r="GQ143" s="42">
        <v>354.38337687981334</v>
      </c>
      <c r="GR143" s="42">
        <v>186.2322546102977</v>
      </c>
      <c r="GS143" s="42">
        <v>528.38611199342233</v>
      </c>
      <c r="GT143" s="42">
        <v>645.08102197156654</v>
      </c>
      <c r="GU143" s="36">
        <v>0</v>
      </c>
      <c r="GV143" s="36">
        <v>0</v>
      </c>
      <c r="GW143" s="36">
        <v>0</v>
      </c>
      <c r="GX143" s="36">
        <v>0</v>
      </c>
      <c r="GY143" s="36">
        <v>0</v>
      </c>
      <c r="GZ143" s="36">
        <v>385007.76165369054</v>
      </c>
      <c r="HA143" s="38">
        <v>4.0745362639427185E-9</v>
      </c>
      <c r="HB143" s="36">
        <v>297.37817894545435</v>
      </c>
      <c r="HC143" s="36">
        <f t="shared" si="2"/>
        <v>498391.22087760642</v>
      </c>
      <c r="HD143" s="36">
        <f>SUM(EJ$5:EJ$213)</f>
        <v>498391.22087760642</v>
      </c>
      <c r="HE143" s="41">
        <v>0</v>
      </c>
      <c r="HG143" s="43"/>
      <c r="HH143" s="43"/>
      <c r="HI143" s="43"/>
      <c r="HJ143" s="43"/>
      <c r="HK143" s="43"/>
      <c r="HL143" s="43"/>
      <c r="HM143" s="43"/>
      <c r="HN143" s="43"/>
      <c r="HO143" s="43"/>
      <c r="HP143" s="43"/>
      <c r="HQ143" s="43"/>
      <c r="HR143" s="43"/>
      <c r="HS143" s="43"/>
      <c r="HT143" s="43"/>
    </row>
    <row r="144" spans="1:228" hidden="1" outlineLevel="1" x14ac:dyDescent="0.2">
      <c r="A144" s="9" t="s">
        <v>1509</v>
      </c>
      <c r="B144" s="36">
        <v>0</v>
      </c>
      <c r="C144" s="36">
        <v>0</v>
      </c>
      <c r="D144" s="36">
        <v>0</v>
      </c>
      <c r="E144" s="36">
        <v>0</v>
      </c>
      <c r="F144" s="36">
        <v>0</v>
      </c>
      <c r="G144" s="36">
        <v>0</v>
      </c>
      <c r="H144" s="36">
        <v>0</v>
      </c>
      <c r="I144" s="36">
        <v>0</v>
      </c>
      <c r="J144" s="36">
        <v>0</v>
      </c>
      <c r="K144" s="36">
        <v>0</v>
      </c>
      <c r="L144" s="36">
        <v>0</v>
      </c>
      <c r="M144" s="36">
        <v>0</v>
      </c>
      <c r="N144" s="36">
        <v>0</v>
      </c>
      <c r="O144" s="36">
        <v>0</v>
      </c>
      <c r="P144" s="36">
        <v>0</v>
      </c>
      <c r="Q144" s="36">
        <v>0</v>
      </c>
      <c r="R144" s="36">
        <v>0</v>
      </c>
      <c r="S144" s="36">
        <v>0</v>
      </c>
      <c r="T144" s="36">
        <v>0</v>
      </c>
      <c r="U144" s="36">
        <v>0</v>
      </c>
      <c r="V144" s="36">
        <v>0</v>
      </c>
      <c r="W144" s="36">
        <v>0</v>
      </c>
      <c r="X144" s="36">
        <v>0</v>
      </c>
      <c r="Y144" s="36">
        <v>0</v>
      </c>
      <c r="Z144" s="36">
        <v>0</v>
      </c>
      <c r="AA144" s="36">
        <v>0</v>
      </c>
      <c r="AB144" s="36">
        <v>0</v>
      </c>
      <c r="AC144" s="36">
        <v>0</v>
      </c>
      <c r="AD144" s="36">
        <v>0</v>
      </c>
      <c r="AE144" s="36">
        <v>0</v>
      </c>
      <c r="AF144" s="36">
        <v>0</v>
      </c>
      <c r="AG144" s="36">
        <v>0</v>
      </c>
      <c r="AH144" s="36">
        <v>0</v>
      </c>
      <c r="AI144" s="36">
        <v>0</v>
      </c>
      <c r="AJ144" s="36">
        <v>0</v>
      </c>
      <c r="AK144" s="36">
        <v>0</v>
      </c>
      <c r="AL144" s="36">
        <v>0</v>
      </c>
      <c r="AM144" s="36">
        <v>0</v>
      </c>
      <c r="AN144" s="36">
        <v>0</v>
      </c>
      <c r="AO144" s="36">
        <v>0</v>
      </c>
      <c r="AP144" s="36">
        <v>0</v>
      </c>
      <c r="AQ144" s="36">
        <v>0</v>
      </c>
      <c r="AR144" s="36">
        <v>0</v>
      </c>
      <c r="AS144" s="36">
        <v>0</v>
      </c>
      <c r="AT144" s="36">
        <v>0</v>
      </c>
      <c r="AU144" s="36">
        <v>0</v>
      </c>
      <c r="AV144" s="36">
        <v>0</v>
      </c>
      <c r="AW144" s="36">
        <v>0</v>
      </c>
      <c r="AX144" s="36">
        <v>0</v>
      </c>
      <c r="AY144" s="36">
        <v>0</v>
      </c>
      <c r="AZ144" s="36">
        <v>0</v>
      </c>
      <c r="BA144" s="36">
        <v>0</v>
      </c>
      <c r="BB144" s="36">
        <v>0</v>
      </c>
      <c r="BC144" s="36">
        <v>0</v>
      </c>
      <c r="BD144" s="36">
        <v>0</v>
      </c>
      <c r="BE144" s="36">
        <v>0</v>
      </c>
      <c r="BF144" s="36">
        <v>0</v>
      </c>
      <c r="BG144" s="36">
        <v>0</v>
      </c>
      <c r="BH144" s="36">
        <v>0</v>
      </c>
      <c r="BI144" s="36">
        <v>0</v>
      </c>
      <c r="BJ144" s="36">
        <v>0</v>
      </c>
      <c r="BK144" s="36">
        <v>0</v>
      </c>
      <c r="BL144" s="36">
        <v>0</v>
      </c>
      <c r="BM144" s="36">
        <v>0</v>
      </c>
      <c r="BN144" s="36">
        <v>0</v>
      </c>
      <c r="BO144" s="36">
        <v>0</v>
      </c>
      <c r="BP144" s="36">
        <v>0</v>
      </c>
      <c r="BQ144" s="36">
        <v>0</v>
      </c>
      <c r="BR144" s="36">
        <v>0</v>
      </c>
      <c r="BS144" s="36">
        <v>0</v>
      </c>
      <c r="BT144" s="36">
        <v>0</v>
      </c>
      <c r="BU144" s="36">
        <v>0</v>
      </c>
      <c r="BV144" s="36">
        <v>0</v>
      </c>
      <c r="BW144" s="36">
        <v>0</v>
      </c>
      <c r="BX144" s="36">
        <v>0</v>
      </c>
      <c r="BY144" s="36">
        <v>0</v>
      </c>
      <c r="BZ144" s="36">
        <v>0</v>
      </c>
      <c r="CA144" s="36">
        <v>0</v>
      </c>
      <c r="CB144" s="36">
        <v>0</v>
      </c>
      <c r="CC144" s="36">
        <v>0</v>
      </c>
      <c r="CD144" s="36">
        <v>0</v>
      </c>
      <c r="CE144" s="36">
        <v>0</v>
      </c>
      <c r="CF144" s="36">
        <v>0</v>
      </c>
      <c r="CG144" s="36">
        <v>0</v>
      </c>
      <c r="CH144" s="36">
        <v>0</v>
      </c>
      <c r="CI144" s="36">
        <v>0</v>
      </c>
      <c r="CJ144" s="36">
        <v>0</v>
      </c>
      <c r="CK144" s="36">
        <v>0</v>
      </c>
      <c r="CL144" s="36">
        <v>0</v>
      </c>
      <c r="CM144" s="36">
        <v>0</v>
      </c>
      <c r="CN144" s="36">
        <v>0</v>
      </c>
      <c r="CO144" s="36">
        <v>0</v>
      </c>
      <c r="CP144" s="36">
        <v>0</v>
      </c>
      <c r="CQ144" s="36">
        <v>0</v>
      </c>
      <c r="CR144" s="36">
        <v>0</v>
      </c>
      <c r="CS144" s="36">
        <v>0</v>
      </c>
      <c r="CT144" s="36">
        <v>0</v>
      </c>
      <c r="CU144" s="36">
        <v>0</v>
      </c>
      <c r="CV144" s="36">
        <v>0</v>
      </c>
      <c r="CW144" s="36">
        <v>0</v>
      </c>
      <c r="CX144" s="36">
        <v>0</v>
      </c>
      <c r="CY144" s="36">
        <v>0</v>
      </c>
      <c r="CZ144" s="36">
        <v>0</v>
      </c>
      <c r="DA144" s="36">
        <v>0</v>
      </c>
      <c r="DB144" s="36">
        <v>0</v>
      </c>
      <c r="DC144" s="36">
        <v>0</v>
      </c>
      <c r="DD144" s="36">
        <v>0</v>
      </c>
      <c r="DE144" s="36">
        <v>0</v>
      </c>
      <c r="DF144" s="36">
        <v>0</v>
      </c>
      <c r="DG144" s="36">
        <v>0</v>
      </c>
      <c r="DH144" s="36">
        <v>0</v>
      </c>
      <c r="DI144" s="36">
        <v>0</v>
      </c>
      <c r="DJ144" s="36">
        <v>0</v>
      </c>
      <c r="DK144" s="36">
        <v>0</v>
      </c>
      <c r="DL144" s="36">
        <v>0</v>
      </c>
      <c r="DM144" s="36">
        <v>0</v>
      </c>
      <c r="DN144" s="36">
        <v>0</v>
      </c>
      <c r="DO144" s="36">
        <v>0</v>
      </c>
      <c r="DP144" s="36">
        <v>0</v>
      </c>
      <c r="DQ144" s="36">
        <v>0</v>
      </c>
      <c r="DR144" s="36">
        <v>0</v>
      </c>
      <c r="DS144" s="36">
        <v>0</v>
      </c>
      <c r="DT144" s="36">
        <v>0</v>
      </c>
      <c r="DU144" s="36">
        <v>0</v>
      </c>
      <c r="DV144" s="36">
        <v>0</v>
      </c>
      <c r="DW144" s="36">
        <v>0</v>
      </c>
      <c r="DX144" s="36">
        <v>0</v>
      </c>
      <c r="DY144" s="36">
        <v>0</v>
      </c>
      <c r="DZ144" s="36">
        <v>0</v>
      </c>
      <c r="EA144" s="36">
        <v>0</v>
      </c>
      <c r="EB144" s="36">
        <v>0</v>
      </c>
      <c r="EC144" s="36">
        <v>0</v>
      </c>
      <c r="ED144" s="36">
        <v>0</v>
      </c>
      <c r="EE144" s="36">
        <v>0</v>
      </c>
      <c r="EF144" s="36">
        <v>0</v>
      </c>
      <c r="EG144" s="36">
        <v>0</v>
      </c>
      <c r="EH144" s="36">
        <v>0</v>
      </c>
      <c r="EI144" s="36">
        <v>0</v>
      </c>
      <c r="EJ144" s="36">
        <v>0</v>
      </c>
      <c r="EK144" s="36">
        <v>0</v>
      </c>
      <c r="EL144" s="36">
        <v>0</v>
      </c>
      <c r="EM144" s="36">
        <v>0</v>
      </c>
      <c r="EN144" s="36">
        <v>0</v>
      </c>
      <c r="EO144" s="36">
        <v>0</v>
      </c>
      <c r="EP144" s="36">
        <v>0</v>
      </c>
      <c r="EQ144" s="36">
        <v>0</v>
      </c>
      <c r="ER144" s="36">
        <v>0</v>
      </c>
      <c r="ES144" s="36">
        <v>0</v>
      </c>
      <c r="ET144" s="36">
        <v>0</v>
      </c>
      <c r="EU144" s="36">
        <v>0</v>
      </c>
      <c r="EV144" s="36">
        <v>0</v>
      </c>
      <c r="EW144" s="36">
        <v>0</v>
      </c>
      <c r="EX144" s="36">
        <v>0</v>
      </c>
      <c r="EY144" s="36">
        <v>0</v>
      </c>
      <c r="EZ144" s="36">
        <v>0</v>
      </c>
      <c r="FA144" s="36">
        <v>0</v>
      </c>
      <c r="FB144" s="36">
        <v>0</v>
      </c>
      <c r="FC144" s="36">
        <v>0</v>
      </c>
      <c r="FD144" s="36">
        <v>0</v>
      </c>
      <c r="FE144" s="36">
        <v>0</v>
      </c>
      <c r="FF144" s="36">
        <v>0</v>
      </c>
      <c r="FG144" s="36">
        <v>0</v>
      </c>
      <c r="FH144" s="36">
        <v>0</v>
      </c>
      <c r="FI144" s="36">
        <v>0</v>
      </c>
      <c r="FJ144" s="36">
        <v>0</v>
      </c>
      <c r="FK144" s="36">
        <v>0</v>
      </c>
      <c r="FL144" s="36">
        <v>0</v>
      </c>
      <c r="FM144" s="36">
        <v>0</v>
      </c>
      <c r="FN144" s="36">
        <v>0</v>
      </c>
      <c r="FO144" s="36">
        <v>395158.36594525469</v>
      </c>
      <c r="FP144" s="36">
        <v>0</v>
      </c>
      <c r="FQ144" s="36">
        <v>0</v>
      </c>
      <c r="FR144" s="36">
        <v>0</v>
      </c>
      <c r="FS144" s="36">
        <v>0</v>
      </c>
      <c r="FT144" s="36">
        <v>0</v>
      </c>
      <c r="FU144" s="36">
        <v>0</v>
      </c>
      <c r="FV144" s="36">
        <v>0</v>
      </c>
      <c r="FW144" s="36">
        <v>0</v>
      </c>
      <c r="FX144" s="36">
        <v>0</v>
      </c>
      <c r="FY144" s="36">
        <v>0</v>
      </c>
      <c r="FZ144" s="36">
        <v>0</v>
      </c>
      <c r="GA144" s="36">
        <v>0</v>
      </c>
      <c r="GB144" s="36">
        <v>0</v>
      </c>
      <c r="GC144" s="36">
        <v>0</v>
      </c>
      <c r="GD144" s="36">
        <v>0</v>
      </c>
      <c r="GE144" s="36">
        <v>0</v>
      </c>
      <c r="GF144" s="36">
        <v>0</v>
      </c>
      <c r="GG144" s="42">
        <v>0</v>
      </c>
      <c r="GH144" s="42">
        <v>0</v>
      </c>
      <c r="GI144" s="42">
        <v>0</v>
      </c>
      <c r="GJ144" s="42">
        <v>0</v>
      </c>
      <c r="GK144" s="42">
        <v>0</v>
      </c>
      <c r="GL144" s="42">
        <v>0</v>
      </c>
      <c r="GM144" s="42">
        <v>0</v>
      </c>
      <c r="GN144" s="42">
        <v>0</v>
      </c>
      <c r="GO144" s="42">
        <v>0</v>
      </c>
      <c r="GP144" s="42">
        <v>0</v>
      </c>
      <c r="GQ144" s="42">
        <v>0</v>
      </c>
      <c r="GR144" s="42">
        <v>0</v>
      </c>
      <c r="GS144" s="42">
        <v>0</v>
      </c>
      <c r="GT144" s="42">
        <v>0</v>
      </c>
      <c r="GU144" s="36">
        <v>0</v>
      </c>
      <c r="GV144" s="36">
        <v>0</v>
      </c>
      <c r="GW144" s="36">
        <v>0</v>
      </c>
      <c r="GX144" s="36">
        <v>0</v>
      </c>
      <c r="GY144" s="36">
        <v>0</v>
      </c>
      <c r="GZ144" s="36">
        <v>0</v>
      </c>
      <c r="HA144" s="38">
        <v>0</v>
      </c>
      <c r="HB144" s="36">
        <v>0</v>
      </c>
      <c r="HC144" s="36">
        <f t="shared" si="2"/>
        <v>395158.36594525469</v>
      </c>
      <c r="HD144" s="36">
        <f>SUM(EK$5:EK$213)</f>
        <v>395158.36594525463</v>
      </c>
      <c r="HE144" s="41">
        <v>0</v>
      </c>
      <c r="HG144" s="43"/>
      <c r="HH144" s="43"/>
      <c r="HI144" s="43"/>
      <c r="HJ144" s="43"/>
      <c r="HK144" s="43"/>
      <c r="HL144" s="43"/>
      <c r="HM144" s="43"/>
      <c r="HN144" s="43"/>
      <c r="HO144" s="43"/>
      <c r="HP144" s="43"/>
      <c r="HQ144" s="43"/>
      <c r="HR144" s="43"/>
      <c r="HS144" s="43"/>
      <c r="HT144" s="43"/>
    </row>
    <row r="145" spans="1:228" hidden="1" outlineLevel="1" x14ac:dyDescent="0.2">
      <c r="A145" s="9" t="s">
        <v>1510</v>
      </c>
      <c r="B145" s="36">
        <v>0</v>
      </c>
      <c r="C145" s="36">
        <v>0</v>
      </c>
      <c r="D145" s="36">
        <v>0</v>
      </c>
      <c r="E145" s="36">
        <v>0</v>
      </c>
      <c r="F145" s="36">
        <v>0</v>
      </c>
      <c r="G145" s="36">
        <v>0</v>
      </c>
      <c r="H145" s="36">
        <v>0</v>
      </c>
      <c r="I145" s="36">
        <v>0</v>
      </c>
      <c r="J145" s="36">
        <v>0</v>
      </c>
      <c r="K145" s="36">
        <v>0</v>
      </c>
      <c r="L145" s="36">
        <v>0</v>
      </c>
      <c r="M145" s="36">
        <v>0</v>
      </c>
      <c r="N145" s="36">
        <v>0</v>
      </c>
      <c r="O145" s="36">
        <v>0</v>
      </c>
      <c r="P145" s="36">
        <v>0</v>
      </c>
      <c r="Q145" s="36">
        <v>0</v>
      </c>
      <c r="R145" s="36">
        <v>0</v>
      </c>
      <c r="S145" s="36">
        <v>0</v>
      </c>
      <c r="T145" s="36">
        <v>0</v>
      </c>
      <c r="U145" s="36">
        <v>0</v>
      </c>
      <c r="V145" s="36">
        <v>0</v>
      </c>
      <c r="W145" s="36">
        <v>0</v>
      </c>
      <c r="X145" s="36">
        <v>0</v>
      </c>
      <c r="Y145" s="36">
        <v>0</v>
      </c>
      <c r="Z145" s="36">
        <v>0</v>
      </c>
      <c r="AA145" s="36">
        <v>0</v>
      </c>
      <c r="AB145" s="36">
        <v>0</v>
      </c>
      <c r="AC145" s="36">
        <v>0</v>
      </c>
      <c r="AD145" s="36">
        <v>0</v>
      </c>
      <c r="AE145" s="36">
        <v>0</v>
      </c>
      <c r="AF145" s="36">
        <v>0</v>
      </c>
      <c r="AG145" s="36">
        <v>0</v>
      </c>
      <c r="AH145" s="36">
        <v>0</v>
      </c>
      <c r="AI145" s="36">
        <v>0</v>
      </c>
      <c r="AJ145" s="36">
        <v>0</v>
      </c>
      <c r="AK145" s="36">
        <v>0</v>
      </c>
      <c r="AL145" s="36">
        <v>0</v>
      </c>
      <c r="AM145" s="36">
        <v>0</v>
      </c>
      <c r="AN145" s="36">
        <v>0</v>
      </c>
      <c r="AO145" s="36">
        <v>0</v>
      </c>
      <c r="AP145" s="36">
        <v>0</v>
      </c>
      <c r="AQ145" s="36">
        <v>0</v>
      </c>
      <c r="AR145" s="36">
        <v>0</v>
      </c>
      <c r="AS145" s="36">
        <v>0</v>
      </c>
      <c r="AT145" s="36">
        <v>0</v>
      </c>
      <c r="AU145" s="36">
        <v>0</v>
      </c>
      <c r="AV145" s="36">
        <v>0</v>
      </c>
      <c r="AW145" s="36">
        <v>0</v>
      </c>
      <c r="AX145" s="36">
        <v>0</v>
      </c>
      <c r="AY145" s="36">
        <v>0</v>
      </c>
      <c r="AZ145" s="36">
        <v>0</v>
      </c>
      <c r="BA145" s="36">
        <v>0</v>
      </c>
      <c r="BB145" s="36">
        <v>0</v>
      </c>
      <c r="BC145" s="36">
        <v>0</v>
      </c>
      <c r="BD145" s="36">
        <v>0</v>
      </c>
      <c r="BE145" s="36">
        <v>0</v>
      </c>
      <c r="BF145" s="36">
        <v>0</v>
      </c>
      <c r="BG145" s="36">
        <v>0</v>
      </c>
      <c r="BH145" s="36">
        <v>0</v>
      </c>
      <c r="BI145" s="36">
        <v>0</v>
      </c>
      <c r="BJ145" s="36">
        <v>0</v>
      </c>
      <c r="BK145" s="36">
        <v>0</v>
      </c>
      <c r="BL145" s="36">
        <v>0</v>
      </c>
      <c r="BM145" s="36">
        <v>0</v>
      </c>
      <c r="BN145" s="36">
        <v>0</v>
      </c>
      <c r="BO145" s="36">
        <v>0</v>
      </c>
      <c r="BP145" s="36">
        <v>0</v>
      </c>
      <c r="BQ145" s="36">
        <v>0</v>
      </c>
      <c r="BR145" s="36">
        <v>0</v>
      </c>
      <c r="BS145" s="36">
        <v>0</v>
      </c>
      <c r="BT145" s="36">
        <v>0</v>
      </c>
      <c r="BU145" s="36">
        <v>0</v>
      </c>
      <c r="BV145" s="36">
        <v>0</v>
      </c>
      <c r="BW145" s="36">
        <v>0</v>
      </c>
      <c r="BX145" s="36">
        <v>0</v>
      </c>
      <c r="BY145" s="36">
        <v>0</v>
      </c>
      <c r="BZ145" s="36">
        <v>0</v>
      </c>
      <c r="CA145" s="36">
        <v>0</v>
      </c>
      <c r="CB145" s="36">
        <v>0</v>
      </c>
      <c r="CC145" s="36">
        <v>0</v>
      </c>
      <c r="CD145" s="36">
        <v>0</v>
      </c>
      <c r="CE145" s="36">
        <v>0</v>
      </c>
      <c r="CF145" s="36">
        <v>0</v>
      </c>
      <c r="CG145" s="36">
        <v>0</v>
      </c>
      <c r="CH145" s="36">
        <v>0</v>
      </c>
      <c r="CI145" s="36">
        <v>0</v>
      </c>
      <c r="CJ145" s="36">
        <v>0</v>
      </c>
      <c r="CK145" s="36">
        <v>0</v>
      </c>
      <c r="CL145" s="36">
        <v>0</v>
      </c>
      <c r="CM145" s="36">
        <v>0</v>
      </c>
      <c r="CN145" s="36">
        <v>0</v>
      </c>
      <c r="CO145" s="36">
        <v>0</v>
      </c>
      <c r="CP145" s="36">
        <v>0</v>
      </c>
      <c r="CQ145" s="36">
        <v>0</v>
      </c>
      <c r="CR145" s="36">
        <v>0</v>
      </c>
      <c r="CS145" s="36">
        <v>0</v>
      </c>
      <c r="CT145" s="36">
        <v>0</v>
      </c>
      <c r="CU145" s="36">
        <v>0</v>
      </c>
      <c r="CV145" s="36">
        <v>0</v>
      </c>
      <c r="CW145" s="36">
        <v>0</v>
      </c>
      <c r="CX145" s="36">
        <v>0</v>
      </c>
      <c r="CY145" s="36">
        <v>0</v>
      </c>
      <c r="CZ145" s="36">
        <v>0</v>
      </c>
      <c r="DA145" s="36">
        <v>0</v>
      </c>
      <c r="DB145" s="36">
        <v>0</v>
      </c>
      <c r="DC145" s="36">
        <v>0</v>
      </c>
      <c r="DD145" s="36">
        <v>0</v>
      </c>
      <c r="DE145" s="36">
        <v>0</v>
      </c>
      <c r="DF145" s="36">
        <v>0</v>
      </c>
      <c r="DG145" s="36">
        <v>0</v>
      </c>
      <c r="DH145" s="36">
        <v>0</v>
      </c>
      <c r="DI145" s="36">
        <v>0</v>
      </c>
      <c r="DJ145" s="36">
        <v>0</v>
      </c>
      <c r="DK145" s="36">
        <v>0</v>
      </c>
      <c r="DL145" s="36">
        <v>0</v>
      </c>
      <c r="DM145" s="36">
        <v>0</v>
      </c>
      <c r="DN145" s="36">
        <v>0</v>
      </c>
      <c r="DO145" s="36">
        <v>0</v>
      </c>
      <c r="DP145" s="36">
        <v>0</v>
      </c>
      <c r="DQ145" s="36">
        <v>0</v>
      </c>
      <c r="DR145" s="36">
        <v>0</v>
      </c>
      <c r="DS145" s="36">
        <v>0</v>
      </c>
      <c r="DT145" s="36">
        <v>0</v>
      </c>
      <c r="DU145" s="36">
        <v>0</v>
      </c>
      <c r="DV145" s="36">
        <v>0</v>
      </c>
      <c r="DW145" s="36">
        <v>0</v>
      </c>
      <c r="DX145" s="36">
        <v>0</v>
      </c>
      <c r="DY145" s="36">
        <v>0</v>
      </c>
      <c r="DZ145" s="36">
        <v>0</v>
      </c>
      <c r="EA145" s="36">
        <v>0</v>
      </c>
      <c r="EB145" s="36">
        <v>0</v>
      </c>
      <c r="EC145" s="36">
        <v>0</v>
      </c>
      <c r="ED145" s="36">
        <v>0</v>
      </c>
      <c r="EE145" s="36">
        <v>0</v>
      </c>
      <c r="EF145" s="36">
        <v>0</v>
      </c>
      <c r="EG145" s="36">
        <v>0</v>
      </c>
      <c r="EH145" s="36">
        <v>0</v>
      </c>
      <c r="EI145" s="36">
        <v>0</v>
      </c>
      <c r="EJ145" s="36">
        <v>0</v>
      </c>
      <c r="EK145" s="36">
        <v>0</v>
      </c>
      <c r="EL145" s="36">
        <v>0</v>
      </c>
      <c r="EM145" s="36">
        <v>0</v>
      </c>
      <c r="EN145" s="36">
        <v>0</v>
      </c>
      <c r="EO145" s="36">
        <v>0</v>
      </c>
      <c r="EP145" s="36">
        <v>0</v>
      </c>
      <c r="EQ145" s="36">
        <v>0</v>
      </c>
      <c r="ER145" s="36">
        <v>0</v>
      </c>
      <c r="ES145" s="36">
        <v>0</v>
      </c>
      <c r="ET145" s="36">
        <v>0</v>
      </c>
      <c r="EU145" s="36">
        <v>0</v>
      </c>
      <c r="EV145" s="36">
        <v>0</v>
      </c>
      <c r="EW145" s="36">
        <v>0</v>
      </c>
      <c r="EX145" s="36">
        <v>0</v>
      </c>
      <c r="EY145" s="36">
        <v>0</v>
      </c>
      <c r="EZ145" s="36">
        <v>0</v>
      </c>
      <c r="FA145" s="36">
        <v>0</v>
      </c>
      <c r="FB145" s="36">
        <v>0</v>
      </c>
      <c r="FC145" s="36">
        <v>0</v>
      </c>
      <c r="FD145" s="36">
        <v>0</v>
      </c>
      <c r="FE145" s="36">
        <v>0</v>
      </c>
      <c r="FF145" s="36">
        <v>0</v>
      </c>
      <c r="FG145" s="36">
        <v>0</v>
      </c>
      <c r="FH145" s="36">
        <v>0</v>
      </c>
      <c r="FI145" s="36">
        <v>0</v>
      </c>
      <c r="FJ145" s="36">
        <v>0</v>
      </c>
      <c r="FK145" s="36">
        <v>0</v>
      </c>
      <c r="FL145" s="36">
        <v>0</v>
      </c>
      <c r="FM145" s="36">
        <v>0</v>
      </c>
      <c r="FN145" s="36">
        <v>0</v>
      </c>
      <c r="FO145" s="36">
        <v>378643.97227170214</v>
      </c>
      <c r="FP145" s="36">
        <v>0</v>
      </c>
      <c r="FQ145" s="36">
        <v>0</v>
      </c>
      <c r="FR145" s="36">
        <v>0</v>
      </c>
      <c r="FS145" s="36">
        <v>0</v>
      </c>
      <c r="FT145" s="36">
        <v>0</v>
      </c>
      <c r="FU145" s="36">
        <v>0</v>
      </c>
      <c r="FV145" s="36">
        <v>0</v>
      </c>
      <c r="FW145" s="36">
        <v>0</v>
      </c>
      <c r="FX145" s="36">
        <v>0</v>
      </c>
      <c r="FY145" s="36">
        <v>0</v>
      </c>
      <c r="FZ145" s="36">
        <v>0</v>
      </c>
      <c r="GA145" s="36">
        <v>0</v>
      </c>
      <c r="GB145" s="36">
        <v>0</v>
      </c>
      <c r="GC145" s="36">
        <v>0</v>
      </c>
      <c r="GD145" s="36">
        <v>0</v>
      </c>
      <c r="GE145" s="36">
        <v>0</v>
      </c>
      <c r="GF145" s="36">
        <v>0</v>
      </c>
      <c r="GG145" s="42">
        <v>66.958960509504124</v>
      </c>
      <c r="GH145" s="42">
        <v>104.10757796188815</v>
      </c>
      <c r="GI145" s="42">
        <v>216.76496832239698</v>
      </c>
      <c r="GJ145" s="42">
        <v>684.99970301986525</v>
      </c>
      <c r="GK145" s="42">
        <v>674.86443694696277</v>
      </c>
      <c r="GL145" s="42">
        <v>547.55753015576954</v>
      </c>
      <c r="GM145" s="42">
        <v>644.11974819725003</v>
      </c>
      <c r="GN145" s="42">
        <v>910.46488736308822</v>
      </c>
      <c r="GO145" s="42">
        <v>5264.3666736712094</v>
      </c>
      <c r="GP145" s="42">
        <v>643.19168159825574</v>
      </c>
      <c r="GQ145" s="42">
        <v>1663.4891010382889</v>
      </c>
      <c r="GR145" s="42">
        <v>1041.4466868501945</v>
      </c>
      <c r="GS145" s="42">
        <v>1028.7392199297951</v>
      </c>
      <c r="GT145" s="42">
        <v>4299.2378333417983</v>
      </c>
      <c r="GU145" s="36">
        <v>0</v>
      </c>
      <c r="GV145" s="36">
        <v>0</v>
      </c>
      <c r="GW145" s="36">
        <v>0</v>
      </c>
      <c r="GX145" s="36">
        <v>0</v>
      </c>
      <c r="GY145" s="36">
        <v>0</v>
      </c>
      <c r="GZ145" s="36">
        <v>0</v>
      </c>
      <c r="HA145" s="38">
        <v>-0.31343577028019354</v>
      </c>
      <c r="HB145" s="36">
        <v>0</v>
      </c>
      <c r="HC145" s="36">
        <f t="shared" si="2"/>
        <v>396433.96784483822</v>
      </c>
      <c r="HD145" s="36">
        <f>SUM(EL$5:EL$213)</f>
        <v>396433.96784483822</v>
      </c>
      <c r="HE145" s="41">
        <v>0</v>
      </c>
      <c r="HG145" s="43"/>
      <c r="HH145" s="43"/>
      <c r="HI145" s="43"/>
      <c r="HJ145" s="43"/>
      <c r="HK145" s="43"/>
      <c r="HL145" s="43"/>
      <c r="HM145" s="43"/>
      <c r="HN145" s="43"/>
      <c r="HO145" s="43"/>
      <c r="HP145" s="43"/>
      <c r="HQ145" s="43"/>
      <c r="HR145" s="43"/>
      <c r="HS145" s="43"/>
      <c r="HT145" s="43"/>
    </row>
    <row r="146" spans="1:228" hidden="1" outlineLevel="1" x14ac:dyDescent="0.2">
      <c r="A146" s="9" t="s">
        <v>1511</v>
      </c>
      <c r="B146" s="36">
        <v>0</v>
      </c>
      <c r="C146" s="36">
        <v>10.403605029529423</v>
      </c>
      <c r="D146" s="36">
        <v>4.1506394434721088</v>
      </c>
      <c r="E146" s="36">
        <v>287.16236444868457</v>
      </c>
      <c r="F146" s="36">
        <v>27.931149269525516</v>
      </c>
      <c r="G146" s="36">
        <v>98.878100098980255</v>
      </c>
      <c r="H146" s="36">
        <v>262.49904524541029</v>
      </c>
      <c r="I146" s="36">
        <v>117.6026109247268</v>
      </c>
      <c r="J146" s="36">
        <v>68.245677026855986</v>
      </c>
      <c r="K146" s="36">
        <v>23.347856399422671</v>
      </c>
      <c r="L146" s="36">
        <v>36.347397486848365</v>
      </c>
      <c r="M146" s="36">
        <v>4.6126273678588099</v>
      </c>
      <c r="N146" s="36">
        <v>5.7276876025066388</v>
      </c>
      <c r="O146" s="36">
        <v>23.887505485157959</v>
      </c>
      <c r="P146" s="36">
        <v>46.422814565053542</v>
      </c>
      <c r="Q146" s="36">
        <v>72.229766787850707</v>
      </c>
      <c r="R146" s="36">
        <v>39.694935828601736</v>
      </c>
      <c r="S146" s="36">
        <v>50.703771578408379</v>
      </c>
      <c r="T146" s="36">
        <v>171.53237322047227</v>
      </c>
      <c r="U146" s="36">
        <v>25.525147535350818</v>
      </c>
      <c r="V146" s="36">
        <v>55.504906618746801</v>
      </c>
      <c r="W146" s="36">
        <v>13.681279423356173</v>
      </c>
      <c r="X146" s="36">
        <v>38.633687667459775</v>
      </c>
      <c r="Y146" s="36">
        <v>19.422751090271163</v>
      </c>
      <c r="Z146" s="36">
        <v>59.795517997510011</v>
      </c>
      <c r="AA146" s="36">
        <v>154.09086095612705</v>
      </c>
      <c r="AB146" s="36">
        <v>42.118223042820944</v>
      </c>
      <c r="AC146" s="36">
        <v>19.293134580925642</v>
      </c>
      <c r="AD146" s="36">
        <v>33.11872029998338</v>
      </c>
      <c r="AE146" s="36">
        <v>57.584311235407029</v>
      </c>
      <c r="AF146" s="36">
        <v>20.925021824220138</v>
      </c>
      <c r="AG146" s="36">
        <v>11.457957999439376</v>
      </c>
      <c r="AH146" s="36">
        <v>25.566337835130913</v>
      </c>
      <c r="AI146" s="36">
        <v>487.12406881056722</v>
      </c>
      <c r="AJ146" s="36">
        <v>30.668878697416361</v>
      </c>
      <c r="AK146" s="36">
        <v>589.07561281548885</v>
      </c>
      <c r="AL146" s="36">
        <v>1315.542673109956</v>
      </c>
      <c r="AM146" s="36">
        <v>387.30088329848348</v>
      </c>
      <c r="AN146" s="36">
        <v>313.8681532368899</v>
      </c>
      <c r="AO146" s="36">
        <v>361.26894981863353</v>
      </c>
      <c r="AP146" s="36">
        <v>313.32265270877002</v>
      </c>
      <c r="AQ146" s="36">
        <v>6.9927699726937131</v>
      </c>
      <c r="AR146" s="36">
        <v>1085.3425327988036</v>
      </c>
      <c r="AS146" s="36">
        <v>3124.701880137121</v>
      </c>
      <c r="AT146" s="36">
        <v>281.87649971332468</v>
      </c>
      <c r="AU146" s="36">
        <v>438.67559833784264</v>
      </c>
      <c r="AV146" s="36">
        <v>397.30980734037223</v>
      </c>
      <c r="AW146" s="36">
        <v>374.15154679260371</v>
      </c>
      <c r="AX146" s="36">
        <v>59.231109804988009</v>
      </c>
      <c r="AY146" s="36">
        <v>37.76465148556597</v>
      </c>
      <c r="AZ146" s="36">
        <v>269.98366004419927</v>
      </c>
      <c r="BA146" s="36">
        <v>133.90865099508866</v>
      </c>
      <c r="BB146" s="36">
        <v>1079.5474079022022</v>
      </c>
      <c r="BC146" s="36">
        <v>5618.4542144271591</v>
      </c>
      <c r="BD146" s="36">
        <v>1256.4809432457489</v>
      </c>
      <c r="BE146" s="36">
        <v>1064.8166847803873</v>
      </c>
      <c r="BF146" s="36">
        <v>44.873170294455413</v>
      </c>
      <c r="BG146" s="36">
        <v>97.54216518678416</v>
      </c>
      <c r="BH146" s="36">
        <v>134.33247463888605</v>
      </c>
      <c r="BI146" s="36">
        <v>9.5520583180239615</v>
      </c>
      <c r="BJ146" s="36">
        <v>126.98563779462623</v>
      </c>
      <c r="BK146" s="36">
        <v>0</v>
      </c>
      <c r="BL146" s="36">
        <v>0</v>
      </c>
      <c r="BM146" s="36">
        <v>0</v>
      </c>
      <c r="BN146" s="36">
        <v>0</v>
      </c>
      <c r="BO146" s="36">
        <v>0</v>
      </c>
      <c r="BP146" s="36">
        <v>0</v>
      </c>
      <c r="BQ146" s="36">
        <v>0</v>
      </c>
      <c r="BR146" s="36">
        <v>0</v>
      </c>
      <c r="BS146" s="36">
        <v>0</v>
      </c>
      <c r="BT146" s="36">
        <v>0</v>
      </c>
      <c r="BU146" s="36">
        <v>0</v>
      </c>
      <c r="BV146" s="36">
        <v>0</v>
      </c>
      <c r="BW146" s="36">
        <v>0</v>
      </c>
      <c r="BX146" s="36">
        <v>0</v>
      </c>
      <c r="BY146" s="36">
        <v>0</v>
      </c>
      <c r="BZ146" s="36">
        <v>0</v>
      </c>
      <c r="CA146" s="36">
        <v>0</v>
      </c>
      <c r="CB146" s="36">
        <v>0</v>
      </c>
      <c r="CC146" s="36">
        <v>0</v>
      </c>
      <c r="CD146" s="36">
        <v>0</v>
      </c>
      <c r="CE146" s="36">
        <v>0</v>
      </c>
      <c r="CF146" s="36">
        <v>0</v>
      </c>
      <c r="CG146" s="36">
        <v>0</v>
      </c>
      <c r="CH146" s="36">
        <v>0</v>
      </c>
      <c r="CI146" s="36">
        <v>0</v>
      </c>
      <c r="CJ146" s="36">
        <v>0</v>
      </c>
      <c r="CK146" s="36">
        <v>0</v>
      </c>
      <c r="CL146" s="36">
        <v>0</v>
      </c>
      <c r="CM146" s="36">
        <v>0</v>
      </c>
      <c r="CN146" s="36">
        <v>0</v>
      </c>
      <c r="CO146" s="36">
        <v>0</v>
      </c>
      <c r="CP146" s="36">
        <v>0</v>
      </c>
      <c r="CQ146" s="36">
        <v>0</v>
      </c>
      <c r="CR146" s="36">
        <v>0</v>
      </c>
      <c r="CS146" s="36">
        <v>0</v>
      </c>
      <c r="CT146" s="36">
        <v>0</v>
      </c>
      <c r="CU146" s="36">
        <v>0</v>
      </c>
      <c r="CV146" s="36">
        <v>0</v>
      </c>
      <c r="CW146" s="36">
        <v>0</v>
      </c>
      <c r="CX146" s="36">
        <v>0</v>
      </c>
      <c r="CY146" s="36">
        <v>0</v>
      </c>
      <c r="CZ146" s="36">
        <v>0</v>
      </c>
      <c r="DA146" s="36">
        <v>0</v>
      </c>
      <c r="DB146" s="36">
        <v>0</v>
      </c>
      <c r="DC146" s="36">
        <v>0</v>
      </c>
      <c r="DD146" s="36">
        <v>0</v>
      </c>
      <c r="DE146" s="36">
        <v>0</v>
      </c>
      <c r="DF146" s="36">
        <v>0</v>
      </c>
      <c r="DG146" s="36">
        <v>0</v>
      </c>
      <c r="DH146" s="36">
        <v>0</v>
      </c>
      <c r="DI146" s="36">
        <v>0</v>
      </c>
      <c r="DJ146" s="36">
        <v>0</v>
      </c>
      <c r="DK146" s="36">
        <v>0</v>
      </c>
      <c r="DL146" s="36">
        <v>0</v>
      </c>
      <c r="DM146" s="36">
        <v>0</v>
      </c>
      <c r="DN146" s="36">
        <v>0</v>
      </c>
      <c r="DO146" s="36">
        <v>0</v>
      </c>
      <c r="DP146" s="36">
        <v>0</v>
      </c>
      <c r="DQ146" s="36">
        <v>0</v>
      </c>
      <c r="DR146" s="36">
        <v>0</v>
      </c>
      <c r="DS146" s="36">
        <v>0</v>
      </c>
      <c r="DT146" s="36">
        <v>0</v>
      </c>
      <c r="DU146" s="36">
        <v>0</v>
      </c>
      <c r="DV146" s="36">
        <v>0</v>
      </c>
      <c r="DW146" s="36">
        <v>0</v>
      </c>
      <c r="DX146" s="36">
        <v>0</v>
      </c>
      <c r="DY146" s="36">
        <v>0</v>
      </c>
      <c r="DZ146" s="36">
        <v>0</v>
      </c>
      <c r="EA146" s="36">
        <v>0</v>
      </c>
      <c r="EB146" s="36">
        <v>0</v>
      </c>
      <c r="EC146" s="36">
        <v>0</v>
      </c>
      <c r="ED146" s="36">
        <v>0</v>
      </c>
      <c r="EE146" s="36">
        <v>0</v>
      </c>
      <c r="EF146" s="36">
        <v>0</v>
      </c>
      <c r="EG146" s="36">
        <v>0</v>
      </c>
      <c r="EH146" s="36">
        <v>0</v>
      </c>
      <c r="EI146" s="36">
        <v>0</v>
      </c>
      <c r="EJ146" s="36">
        <v>0</v>
      </c>
      <c r="EK146" s="36">
        <v>0</v>
      </c>
      <c r="EL146" s="36">
        <v>0</v>
      </c>
      <c r="EM146" s="36">
        <v>0</v>
      </c>
      <c r="EN146" s="36">
        <v>0</v>
      </c>
      <c r="EO146" s="36">
        <v>0</v>
      </c>
      <c r="EP146" s="36">
        <v>0</v>
      </c>
      <c r="EQ146" s="36">
        <v>0</v>
      </c>
      <c r="ER146" s="36">
        <v>0</v>
      </c>
      <c r="ES146" s="36">
        <v>0</v>
      </c>
      <c r="ET146" s="36">
        <v>0</v>
      </c>
      <c r="EU146" s="36">
        <v>0</v>
      </c>
      <c r="EV146" s="36">
        <v>0</v>
      </c>
      <c r="EW146" s="36">
        <v>0</v>
      </c>
      <c r="EX146" s="36">
        <v>0</v>
      </c>
      <c r="EY146" s="36">
        <v>0</v>
      </c>
      <c r="EZ146" s="36">
        <v>0</v>
      </c>
      <c r="FA146" s="36">
        <v>0</v>
      </c>
      <c r="FB146" s="36">
        <v>0</v>
      </c>
      <c r="FC146" s="36">
        <v>0</v>
      </c>
      <c r="FD146" s="36">
        <v>0</v>
      </c>
      <c r="FE146" s="36">
        <v>0</v>
      </c>
      <c r="FF146" s="36">
        <v>0</v>
      </c>
      <c r="FG146" s="36">
        <v>0</v>
      </c>
      <c r="FH146" s="36">
        <v>0</v>
      </c>
      <c r="FI146" s="36">
        <v>0</v>
      </c>
      <c r="FJ146" s="36">
        <v>0</v>
      </c>
      <c r="FK146" s="36">
        <v>0</v>
      </c>
      <c r="FL146" s="36">
        <v>0</v>
      </c>
      <c r="FM146" s="36">
        <v>0</v>
      </c>
      <c r="FN146" s="36">
        <v>0</v>
      </c>
      <c r="FO146" s="36">
        <v>0</v>
      </c>
      <c r="FP146" s="36">
        <v>0</v>
      </c>
      <c r="FQ146" s="36">
        <v>0</v>
      </c>
      <c r="FR146" s="36">
        <v>0</v>
      </c>
      <c r="FS146" s="36">
        <v>0</v>
      </c>
      <c r="FT146" s="36">
        <v>0</v>
      </c>
      <c r="FU146" s="36">
        <v>0</v>
      </c>
      <c r="FV146" s="36">
        <v>0</v>
      </c>
      <c r="FW146" s="36">
        <v>0</v>
      </c>
      <c r="FX146" s="36">
        <v>0</v>
      </c>
      <c r="FY146" s="36">
        <v>0</v>
      </c>
      <c r="FZ146" s="36">
        <v>0</v>
      </c>
      <c r="GA146" s="36">
        <v>0</v>
      </c>
      <c r="GB146" s="36">
        <v>0</v>
      </c>
      <c r="GC146" s="36">
        <v>0</v>
      </c>
      <c r="GD146" s="36">
        <v>0</v>
      </c>
      <c r="GE146" s="36">
        <v>0</v>
      </c>
      <c r="GF146" s="36">
        <v>0</v>
      </c>
      <c r="GG146" s="42">
        <v>154.41561178048269</v>
      </c>
      <c r="GH146" s="42">
        <v>231.21878746239614</v>
      </c>
      <c r="GI146" s="42">
        <v>390.92598998072026</v>
      </c>
      <c r="GJ146" s="42">
        <v>285.72369333780864</v>
      </c>
      <c r="GK146" s="42">
        <v>842.2437585030226</v>
      </c>
      <c r="GL146" s="42">
        <v>865.58866769870269</v>
      </c>
      <c r="GM146" s="42">
        <v>1332.0308657936923</v>
      </c>
      <c r="GN146" s="42">
        <v>2756.1621943790424</v>
      </c>
      <c r="GO146" s="42">
        <v>7900.0390346371087</v>
      </c>
      <c r="GP146" s="42">
        <v>4247.6910558797963</v>
      </c>
      <c r="GQ146" s="42">
        <v>2514.1458465437699</v>
      </c>
      <c r="GR146" s="42">
        <v>4356.0656252633498</v>
      </c>
      <c r="GS146" s="42">
        <v>6772.4546259301451</v>
      </c>
      <c r="GT146" s="42">
        <v>11929.968687540029</v>
      </c>
      <c r="GU146" s="36">
        <v>0</v>
      </c>
      <c r="GV146" s="36">
        <v>0</v>
      </c>
      <c r="GW146" s="36">
        <v>0</v>
      </c>
      <c r="GX146" s="36">
        <v>0</v>
      </c>
      <c r="GY146" s="36">
        <v>0</v>
      </c>
      <c r="GZ146" s="36">
        <v>0</v>
      </c>
      <c r="HA146" s="38">
        <v>0.31343577285588253</v>
      </c>
      <c r="HB146" s="36">
        <v>27496.550176404362</v>
      </c>
      <c r="HC146" s="36">
        <f t="shared" si="2"/>
        <v>93444.331179330475</v>
      </c>
      <c r="HD146" s="36">
        <f>SUM(EM$5:EM$213)</f>
        <v>93444.331179330475</v>
      </c>
      <c r="HE146" s="41">
        <v>0</v>
      </c>
      <c r="HG146" s="43"/>
      <c r="HH146" s="43"/>
      <c r="HI146" s="43"/>
      <c r="HJ146" s="43"/>
      <c r="HK146" s="43"/>
      <c r="HL146" s="43"/>
      <c r="HM146" s="43"/>
      <c r="HN146" s="43"/>
      <c r="HO146" s="43"/>
      <c r="HP146" s="43"/>
      <c r="HQ146" s="43"/>
      <c r="HR146" s="43"/>
      <c r="HS146" s="43"/>
      <c r="HT146" s="43"/>
    </row>
    <row r="147" spans="1:228" hidden="1" outlineLevel="1" x14ac:dyDescent="0.2">
      <c r="A147" s="9" t="s">
        <v>1512</v>
      </c>
      <c r="B147" s="36">
        <v>0</v>
      </c>
      <c r="C147" s="36">
        <v>6.3290489319860015</v>
      </c>
      <c r="D147" s="36">
        <v>2.5907426483160716</v>
      </c>
      <c r="E147" s="36">
        <v>158.28598272559904</v>
      </c>
      <c r="F147" s="36">
        <v>10.209531800875641</v>
      </c>
      <c r="G147" s="36">
        <v>44.082131150176401</v>
      </c>
      <c r="H147" s="36">
        <v>106.57304332281817</v>
      </c>
      <c r="I147" s="36">
        <v>59.756453551744649</v>
      </c>
      <c r="J147" s="36">
        <v>37.994806623127928</v>
      </c>
      <c r="K147" s="36">
        <v>10.133264561481258</v>
      </c>
      <c r="L147" s="36">
        <v>21.078100632919782</v>
      </c>
      <c r="M147" s="36">
        <v>2.2979136056765204</v>
      </c>
      <c r="N147" s="36">
        <v>3.3222794396823412</v>
      </c>
      <c r="O147" s="36">
        <v>12.126800513780717</v>
      </c>
      <c r="P147" s="36">
        <v>22.422340897986786</v>
      </c>
      <c r="Q147" s="36">
        <v>33.440996678480644</v>
      </c>
      <c r="R147" s="36">
        <v>18.612987084666685</v>
      </c>
      <c r="S147" s="36">
        <v>23.540249257443953</v>
      </c>
      <c r="T147" s="36">
        <v>78.479758927768927</v>
      </c>
      <c r="U147" s="36">
        <v>11.758175815034884</v>
      </c>
      <c r="V147" s="36">
        <v>29.89816152919693</v>
      </c>
      <c r="W147" s="36">
        <v>5.2754607095629167</v>
      </c>
      <c r="X147" s="36">
        <v>17.976446858630919</v>
      </c>
      <c r="Y147" s="36">
        <v>11.143481267676911</v>
      </c>
      <c r="Z147" s="36">
        <v>34.606935376081651</v>
      </c>
      <c r="AA147" s="36">
        <v>76.504554740548869</v>
      </c>
      <c r="AB147" s="36">
        <v>24.700276304751004</v>
      </c>
      <c r="AC147" s="36">
        <v>10.093155784634991</v>
      </c>
      <c r="AD147" s="36">
        <v>17.925494053236108</v>
      </c>
      <c r="AE147" s="36">
        <v>32.593414380820761</v>
      </c>
      <c r="AF147" s="36">
        <v>12.476700469064298</v>
      </c>
      <c r="AG147" s="36">
        <v>6.1866852984060614</v>
      </c>
      <c r="AH147" s="36">
        <v>14.708097988913302</v>
      </c>
      <c r="AI147" s="36">
        <v>166.60685420022091</v>
      </c>
      <c r="AJ147" s="36">
        <v>13.28804496742163</v>
      </c>
      <c r="AK147" s="36">
        <v>271.79967949957256</v>
      </c>
      <c r="AL147" s="36">
        <v>701.95932028792504</v>
      </c>
      <c r="AM147" s="36">
        <v>203.90332090907518</v>
      </c>
      <c r="AN147" s="36">
        <v>173.8553948317041</v>
      </c>
      <c r="AO147" s="36">
        <v>99.315111771426544</v>
      </c>
      <c r="AP147" s="36">
        <v>93.451367353284923</v>
      </c>
      <c r="AQ147" s="36">
        <v>4.232536929940192</v>
      </c>
      <c r="AR147" s="36">
        <v>185.51027710447252</v>
      </c>
      <c r="AS147" s="36">
        <v>259.51778367933969</v>
      </c>
      <c r="AT147" s="36">
        <v>144.6939738523746</v>
      </c>
      <c r="AU147" s="36">
        <v>365.07542145567817</v>
      </c>
      <c r="AV147" s="36">
        <v>179.1783011650412</v>
      </c>
      <c r="AW147" s="36">
        <v>498.56527813137433</v>
      </c>
      <c r="AX147" s="36">
        <v>31.769025564497355</v>
      </c>
      <c r="AY147" s="36">
        <v>21.341384484782367</v>
      </c>
      <c r="AZ147" s="36">
        <v>147.36612134416509</v>
      </c>
      <c r="BA147" s="36">
        <v>44.207547433670349</v>
      </c>
      <c r="BB147" s="36">
        <v>595.7233992635023</v>
      </c>
      <c r="BC147" s="36">
        <v>4972.0299996947033</v>
      </c>
      <c r="BD147" s="36">
        <v>21404.461321126641</v>
      </c>
      <c r="BE147" s="36">
        <v>1285.3171423586316</v>
      </c>
      <c r="BF147" s="36">
        <v>27.771688345407689</v>
      </c>
      <c r="BG147" s="36">
        <v>50.085286051579011</v>
      </c>
      <c r="BH147" s="36">
        <v>76.684588394692213</v>
      </c>
      <c r="BI147" s="36">
        <v>4.8802373724374597</v>
      </c>
      <c r="BJ147" s="36">
        <v>38.439896704395807</v>
      </c>
      <c r="BK147" s="36">
        <v>0</v>
      </c>
      <c r="BL147" s="36">
        <v>0</v>
      </c>
      <c r="BM147" s="36">
        <v>0</v>
      </c>
      <c r="BN147" s="36">
        <v>0</v>
      </c>
      <c r="BO147" s="36">
        <v>0</v>
      </c>
      <c r="BP147" s="36">
        <v>0</v>
      </c>
      <c r="BQ147" s="36">
        <v>0</v>
      </c>
      <c r="BR147" s="36">
        <v>0</v>
      </c>
      <c r="BS147" s="36">
        <v>0</v>
      </c>
      <c r="BT147" s="36">
        <v>0</v>
      </c>
      <c r="BU147" s="36">
        <v>0</v>
      </c>
      <c r="BV147" s="36">
        <v>0</v>
      </c>
      <c r="BW147" s="36">
        <v>0</v>
      </c>
      <c r="BX147" s="36">
        <v>0</v>
      </c>
      <c r="BY147" s="36">
        <v>0</v>
      </c>
      <c r="BZ147" s="36">
        <v>0</v>
      </c>
      <c r="CA147" s="36">
        <v>0</v>
      </c>
      <c r="CB147" s="36">
        <v>0</v>
      </c>
      <c r="CC147" s="36">
        <v>0</v>
      </c>
      <c r="CD147" s="36">
        <v>0</v>
      </c>
      <c r="CE147" s="36">
        <v>0</v>
      </c>
      <c r="CF147" s="36">
        <v>0</v>
      </c>
      <c r="CG147" s="36">
        <v>0</v>
      </c>
      <c r="CH147" s="36">
        <v>0</v>
      </c>
      <c r="CI147" s="36">
        <v>0</v>
      </c>
      <c r="CJ147" s="36">
        <v>0</v>
      </c>
      <c r="CK147" s="36">
        <v>0</v>
      </c>
      <c r="CL147" s="36">
        <v>0</v>
      </c>
      <c r="CM147" s="36">
        <v>0</v>
      </c>
      <c r="CN147" s="36">
        <v>0</v>
      </c>
      <c r="CO147" s="36">
        <v>0</v>
      </c>
      <c r="CP147" s="36">
        <v>0</v>
      </c>
      <c r="CQ147" s="36">
        <v>0</v>
      </c>
      <c r="CR147" s="36">
        <v>0</v>
      </c>
      <c r="CS147" s="36">
        <v>0</v>
      </c>
      <c r="CT147" s="36">
        <v>0</v>
      </c>
      <c r="CU147" s="36">
        <v>0</v>
      </c>
      <c r="CV147" s="36">
        <v>0</v>
      </c>
      <c r="CW147" s="36">
        <v>0</v>
      </c>
      <c r="CX147" s="36">
        <v>0</v>
      </c>
      <c r="CY147" s="36">
        <v>0</v>
      </c>
      <c r="CZ147" s="36">
        <v>0</v>
      </c>
      <c r="DA147" s="36">
        <v>0</v>
      </c>
      <c r="DB147" s="36">
        <v>0</v>
      </c>
      <c r="DC147" s="36">
        <v>0</v>
      </c>
      <c r="DD147" s="36">
        <v>0</v>
      </c>
      <c r="DE147" s="36">
        <v>0</v>
      </c>
      <c r="DF147" s="36">
        <v>0</v>
      </c>
      <c r="DG147" s="36">
        <v>0</v>
      </c>
      <c r="DH147" s="36">
        <v>0</v>
      </c>
      <c r="DI147" s="36">
        <v>0</v>
      </c>
      <c r="DJ147" s="36">
        <v>0</v>
      </c>
      <c r="DK147" s="36">
        <v>0</v>
      </c>
      <c r="DL147" s="36">
        <v>0</v>
      </c>
      <c r="DM147" s="36">
        <v>0</v>
      </c>
      <c r="DN147" s="36">
        <v>0</v>
      </c>
      <c r="DO147" s="36">
        <v>0</v>
      </c>
      <c r="DP147" s="36">
        <v>0</v>
      </c>
      <c r="DQ147" s="36">
        <v>0</v>
      </c>
      <c r="DR147" s="36">
        <v>0</v>
      </c>
      <c r="DS147" s="36">
        <v>0</v>
      </c>
      <c r="DT147" s="36">
        <v>0</v>
      </c>
      <c r="DU147" s="36">
        <v>0</v>
      </c>
      <c r="DV147" s="36">
        <v>0</v>
      </c>
      <c r="DW147" s="36">
        <v>0</v>
      </c>
      <c r="DX147" s="36">
        <v>0</v>
      </c>
      <c r="DY147" s="36">
        <v>0</v>
      </c>
      <c r="DZ147" s="36">
        <v>0</v>
      </c>
      <c r="EA147" s="36">
        <v>0</v>
      </c>
      <c r="EB147" s="36">
        <v>0</v>
      </c>
      <c r="EC147" s="36">
        <v>0</v>
      </c>
      <c r="ED147" s="36">
        <v>0</v>
      </c>
      <c r="EE147" s="36">
        <v>0</v>
      </c>
      <c r="EF147" s="36">
        <v>0</v>
      </c>
      <c r="EG147" s="36">
        <v>0</v>
      </c>
      <c r="EH147" s="36">
        <v>0</v>
      </c>
      <c r="EI147" s="36">
        <v>0</v>
      </c>
      <c r="EJ147" s="36">
        <v>0</v>
      </c>
      <c r="EK147" s="36">
        <v>0</v>
      </c>
      <c r="EL147" s="36">
        <v>0</v>
      </c>
      <c r="EM147" s="36">
        <v>0</v>
      </c>
      <c r="EN147" s="36">
        <v>0</v>
      </c>
      <c r="EO147" s="36">
        <v>0</v>
      </c>
      <c r="EP147" s="36">
        <v>0</v>
      </c>
      <c r="EQ147" s="36">
        <v>0</v>
      </c>
      <c r="ER147" s="36">
        <v>0</v>
      </c>
      <c r="ES147" s="36">
        <v>0</v>
      </c>
      <c r="ET147" s="36">
        <v>0</v>
      </c>
      <c r="EU147" s="36">
        <v>0</v>
      </c>
      <c r="EV147" s="36">
        <v>0</v>
      </c>
      <c r="EW147" s="36">
        <v>0</v>
      </c>
      <c r="EX147" s="36">
        <v>0</v>
      </c>
      <c r="EY147" s="36">
        <v>0</v>
      </c>
      <c r="EZ147" s="36">
        <v>0</v>
      </c>
      <c r="FA147" s="36">
        <v>0</v>
      </c>
      <c r="FB147" s="36">
        <v>0</v>
      </c>
      <c r="FC147" s="36">
        <v>0</v>
      </c>
      <c r="FD147" s="36">
        <v>0</v>
      </c>
      <c r="FE147" s="36">
        <v>0</v>
      </c>
      <c r="FF147" s="36">
        <v>0</v>
      </c>
      <c r="FG147" s="36">
        <v>0</v>
      </c>
      <c r="FH147" s="36">
        <v>0</v>
      </c>
      <c r="FI147" s="36">
        <v>0</v>
      </c>
      <c r="FJ147" s="36">
        <v>0</v>
      </c>
      <c r="FK147" s="36">
        <v>0</v>
      </c>
      <c r="FL147" s="36">
        <v>0</v>
      </c>
      <c r="FM147" s="36">
        <v>0</v>
      </c>
      <c r="FN147" s="36">
        <v>0</v>
      </c>
      <c r="FO147" s="36">
        <v>0</v>
      </c>
      <c r="FP147" s="36">
        <v>0</v>
      </c>
      <c r="FQ147" s="36">
        <v>0</v>
      </c>
      <c r="FR147" s="36">
        <v>0</v>
      </c>
      <c r="FS147" s="36">
        <v>0</v>
      </c>
      <c r="FT147" s="36">
        <v>0</v>
      </c>
      <c r="FU147" s="36">
        <v>0</v>
      </c>
      <c r="FV147" s="36">
        <v>0</v>
      </c>
      <c r="FW147" s="36">
        <v>0</v>
      </c>
      <c r="FX147" s="36">
        <v>0</v>
      </c>
      <c r="FY147" s="36">
        <v>0</v>
      </c>
      <c r="FZ147" s="36">
        <v>0</v>
      </c>
      <c r="GA147" s="36">
        <v>0</v>
      </c>
      <c r="GB147" s="36">
        <v>0</v>
      </c>
      <c r="GC147" s="36">
        <v>0</v>
      </c>
      <c r="GD147" s="36">
        <v>0</v>
      </c>
      <c r="GE147" s="36">
        <v>0</v>
      </c>
      <c r="GF147" s="36">
        <v>0</v>
      </c>
      <c r="GG147" s="42">
        <v>1958.6066526747286</v>
      </c>
      <c r="GH147" s="42">
        <v>3679.4276901792764</v>
      </c>
      <c r="GI147" s="42">
        <v>5013.553635479645</v>
      </c>
      <c r="GJ147" s="42">
        <v>6372.3128629358798</v>
      </c>
      <c r="GK147" s="42">
        <v>7168.2657524718725</v>
      </c>
      <c r="GL147" s="42">
        <v>9230.0288766027643</v>
      </c>
      <c r="GM147" s="42">
        <v>11220.205114099799</v>
      </c>
      <c r="GN147" s="42">
        <v>16815.970976933888</v>
      </c>
      <c r="GO147" s="42">
        <v>21758.865217607032</v>
      </c>
      <c r="GP147" s="42">
        <v>6028.2676967290536</v>
      </c>
      <c r="GQ147" s="42">
        <v>7323.9481798479492</v>
      </c>
      <c r="GR147" s="42">
        <v>7841.0482778517417</v>
      </c>
      <c r="GS147" s="42">
        <v>11910.631881515781</v>
      </c>
      <c r="GT147" s="42">
        <v>16755.495684724596</v>
      </c>
      <c r="GU147" s="36">
        <v>0</v>
      </c>
      <c r="GV147" s="36">
        <v>0</v>
      </c>
      <c r="GW147" s="36">
        <v>0</v>
      </c>
      <c r="GX147" s="36">
        <v>0</v>
      </c>
      <c r="GY147" s="36">
        <v>0</v>
      </c>
      <c r="GZ147" s="36">
        <v>0</v>
      </c>
      <c r="HA147" s="38">
        <v>-1.2951204553246498E-8</v>
      </c>
      <c r="HB147" s="36">
        <v>18953.701959281767</v>
      </c>
      <c r="HC147" s="36">
        <f t="shared" si="2"/>
        <v>185048.48423613183</v>
      </c>
      <c r="HD147" s="36">
        <f>SUM(EN$5:EN$213)</f>
        <v>185048.48423613186</v>
      </c>
      <c r="HE147" s="41">
        <v>0</v>
      </c>
      <c r="HG147" s="43"/>
      <c r="HH147" s="43"/>
      <c r="HI147" s="43"/>
      <c r="HJ147" s="43"/>
      <c r="HK147" s="43"/>
      <c r="HL147" s="43"/>
      <c r="HM147" s="43"/>
      <c r="HN147" s="43"/>
      <c r="HO147" s="43"/>
      <c r="HP147" s="43"/>
      <c r="HQ147" s="43"/>
      <c r="HR147" s="43"/>
      <c r="HS147" s="43"/>
      <c r="HT147" s="43"/>
    </row>
    <row r="148" spans="1:228" hidden="1" outlineLevel="1" x14ac:dyDescent="0.2">
      <c r="A148" s="9" t="s">
        <v>1128</v>
      </c>
      <c r="B148" s="36">
        <v>0</v>
      </c>
      <c r="C148" s="36">
        <v>58.779906145128962</v>
      </c>
      <c r="D148" s="36">
        <v>29.138839556552227</v>
      </c>
      <c r="E148" s="36">
        <v>1351.2556742728509</v>
      </c>
      <c r="F148" s="36">
        <v>72.809476952116626</v>
      </c>
      <c r="G148" s="36">
        <v>345.25201828756212</v>
      </c>
      <c r="H148" s="36">
        <v>818.81770272665631</v>
      </c>
      <c r="I148" s="36">
        <v>523.99446380409154</v>
      </c>
      <c r="J148" s="36">
        <v>309.89545404702261</v>
      </c>
      <c r="K148" s="36">
        <v>72.898062131405823</v>
      </c>
      <c r="L148" s="36">
        <v>176.09867778090754</v>
      </c>
      <c r="M148" s="36">
        <v>16.868661975257268</v>
      </c>
      <c r="N148" s="36">
        <v>26.505960908502505</v>
      </c>
      <c r="O148" s="36">
        <v>98.353980612396413</v>
      </c>
      <c r="P148" s="36">
        <v>165.51479039141637</v>
      </c>
      <c r="Q148" s="36">
        <v>243.19019207743844</v>
      </c>
      <c r="R148" s="36">
        <v>164.26510047538255</v>
      </c>
      <c r="S148" s="36">
        <v>173.42305328511486</v>
      </c>
      <c r="T148" s="36">
        <v>581.82473759265645</v>
      </c>
      <c r="U148" s="36">
        <v>91.218111961089406</v>
      </c>
      <c r="V148" s="36">
        <v>223.48357639162037</v>
      </c>
      <c r="W148" s="36">
        <v>36.53319920113924</v>
      </c>
      <c r="X148" s="36">
        <v>128.61500158089197</v>
      </c>
      <c r="Y148" s="36">
        <v>124.07120804725464</v>
      </c>
      <c r="Z148" s="36">
        <v>294.35817770047629</v>
      </c>
      <c r="AA148" s="36">
        <v>622.85816246438424</v>
      </c>
      <c r="AB148" s="36">
        <v>223.5688560301285</v>
      </c>
      <c r="AC148" s="36">
        <v>81.763313783784355</v>
      </c>
      <c r="AD148" s="36">
        <v>150.07198244781512</v>
      </c>
      <c r="AE148" s="36">
        <v>319.46403152673383</v>
      </c>
      <c r="AF148" s="36">
        <v>109.12235642875531</v>
      </c>
      <c r="AG148" s="36">
        <v>49.835796754137561</v>
      </c>
      <c r="AH148" s="36">
        <v>130.24869220935418</v>
      </c>
      <c r="AI148" s="36">
        <v>1124.3059553189473</v>
      </c>
      <c r="AJ148" s="36">
        <v>155.24931788651801</v>
      </c>
      <c r="AK148" s="36">
        <v>1995.8614481506497</v>
      </c>
      <c r="AL148" s="36">
        <v>6135.1057294937045</v>
      </c>
      <c r="AM148" s="36">
        <v>1725.8653563565772</v>
      </c>
      <c r="AN148" s="36">
        <v>1528.556343317191</v>
      </c>
      <c r="AO148" s="36">
        <v>798.75862529318374</v>
      </c>
      <c r="AP148" s="36">
        <v>755.32888106570636</v>
      </c>
      <c r="AQ148" s="36">
        <v>39.37309165981705</v>
      </c>
      <c r="AR148" s="36">
        <v>653.4193644124498</v>
      </c>
      <c r="AS148" s="36">
        <v>1291.483572507359</v>
      </c>
      <c r="AT148" s="36">
        <v>1167.2367511547691</v>
      </c>
      <c r="AU148" s="36">
        <v>703.32631782606984</v>
      </c>
      <c r="AV148" s="36">
        <v>2422.3504676800849</v>
      </c>
      <c r="AW148" s="36">
        <v>1125.1331477138694</v>
      </c>
      <c r="AX148" s="36">
        <v>283.20501191298769</v>
      </c>
      <c r="AY148" s="36">
        <v>194.48822034275713</v>
      </c>
      <c r="AZ148" s="36">
        <v>1308.2589112526452</v>
      </c>
      <c r="BA148" s="36">
        <v>300.89621380996601</v>
      </c>
      <c r="BB148" s="36">
        <v>11856.359970255588</v>
      </c>
      <c r="BC148" s="36">
        <v>6295.7542366262905</v>
      </c>
      <c r="BD148" s="36">
        <v>635.48426530575182</v>
      </c>
      <c r="BE148" s="36">
        <v>1953.4868392692654</v>
      </c>
      <c r="BF148" s="36">
        <v>166.44464508530555</v>
      </c>
      <c r="BG148" s="36">
        <v>431.22203509700705</v>
      </c>
      <c r="BH148" s="36">
        <v>663.83287683577282</v>
      </c>
      <c r="BI148" s="36">
        <v>40.556842778846857</v>
      </c>
      <c r="BJ148" s="36">
        <v>642.11660874035749</v>
      </c>
      <c r="BK148" s="36">
        <v>0</v>
      </c>
      <c r="BL148" s="36">
        <v>0</v>
      </c>
      <c r="BM148" s="36">
        <v>0</v>
      </c>
      <c r="BN148" s="36">
        <v>0</v>
      </c>
      <c r="BO148" s="36">
        <v>0</v>
      </c>
      <c r="BP148" s="36">
        <v>0</v>
      </c>
      <c r="BQ148" s="36">
        <v>0</v>
      </c>
      <c r="BR148" s="36">
        <v>0</v>
      </c>
      <c r="BS148" s="36">
        <v>0</v>
      </c>
      <c r="BT148" s="36">
        <v>0</v>
      </c>
      <c r="BU148" s="36">
        <v>0</v>
      </c>
      <c r="BV148" s="36">
        <v>0</v>
      </c>
      <c r="BW148" s="36">
        <v>0</v>
      </c>
      <c r="BX148" s="36">
        <v>0</v>
      </c>
      <c r="BY148" s="36">
        <v>0</v>
      </c>
      <c r="BZ148" s="36">
        <v>0</v>
      </c>
      <c r="CA148" s="36">
        <v>0</v>
      </c>
      <c r="CB148" s="36">
        <v>0</v>
      </c>
      <c r="CC148" s="36">
        <v>0</v>
      </c>
      <c r="CD148" s="36">
        <v>0</v>
      </c>
      <c r="CE148" s="36">
        <v>0</v>
      </c>
      <c r="CF148" s="36">
        <v>0</v>
      </c>
      <c r="CG148" s="36">
        <v>0</v>
      </c>
      <c r="CH148" s="36">
        <v>0</v>
      </c>
      <c r="CI148" s="36">
        <v>0</v>
      </c>
      <c r="CJ148" s="36">
        <v>0</v>
      </c>
      <c r="CK148" s="36">
        <v>0</v>
      </c>
      <c r="CL148" s="36">
        <v>0</v>
      </c>
      <c r="CM148" s="36">
        <v>0</v>
      </c>
      <c r="CN148" s="36">
        <v>0</v>
      </c>
      <c r="CO148" s="36">
        <v>0</v>
      </c>
      <c r="CP148" s="36">
        <v>0</v>
      </c>
      <c r="CQ148" s="36">
        <v>0</v>
      </c>
      <c r="CR148" s="36">
        <v>0</v>
      </c>
      <c r="CS148" s="36">
        <v>0</v>
      </c>
      <c r="CT148" s="36">
        <v>0</v>
      </c>
      <c r="CU148" s="36">
        <v>0</v>
      </c>
      <c r="CV148" s="36">
        <v>0</v>
      </c>
      <c r="CW148" s="36">
        <v>0</v>
      </c>
      <c r="CX148" s="36">
        <v>0</v>
      </c>
      <c r="CY148" s="36">
        <v>0</v>
      </c>
      <c r="CZ148" s="36">
        <v>0</v>
      </c>
      <c r="DA148" s="36">
        <v>0</v>
      </c>
      <c r="DB148" s="36">
        <v>0</v>
      </c>
      <c r="DC148" s="36">
        <v>0</v>
      </c>
      <c r="DD148" s="36">
        <v>0</v>
      </c>
      <c r="DE148" s="36">
        <v>0</v>
      </c>
      <c r="DF148" s="36">
        <v>0</v>
      </c>
      <c r="DG148" s="36">
        <v>0</v>
      </c>
      <c r="DH148" s="36">
        <v>0</v>
      </c>
      <c r="DI148" s="36">
        <v>0</v>
      </c>
      <c r="DJ148" s="36">
        <v>0</v>
      </c>
      <c r="DK148" s="36">
        <v>0</v>
      </c>
      <c r="DL148" s="36">
        <v>0</v>
      </c>
      <c r="DM148" s="36">
        <v>0</v>
      </c>
      <c r="DN148" s="36">
        <v>0</v>
      </c>
      <c r="DO148" s="36">
        <v>0</v>
      </c>
      <c r="DP148" s="36">
        <v>0</v>
      </c>
      <c r="DQ148" s="36">
        <v>0</v>
      </c>
      <c r="DR148" s="36">
        <v>0</v>
      </c>
      <c r="DS148" s="36">
        <v>0</v>
      </c>
      <c r="DT148" s="36">
        <v>0</v>
      </c>
      <c r="DU148" s="36">
        <v>0</v>
      </c>
      <c r="DV148" s="36">
        <v>0</v>
      </c>
      <c r="DW148" s="36">
        <v>0</v>
      </c>
      <c r="DX148" s="36">
        <v>0</v>
      </c>
      <c r="DY148" s="36">
        <v>0</v>
      </c>
      <c r="DZ148" s="36">
        <v>0</v>
      </c>
      <c r="EA148" s="36">
        <v>0</v>
      </c>
      <c r="EB148" s="36">
        <v>0</v>
      </c>
      <c r="EC148" s="36">
        <v>0</v>
      </c>
      <c r="ED148" s="36">
        <v>0</v>
      </c>
      <c r="EE148" s="36">
        <v>0</v>
      </c>
      <c r="EF148" s="36">
        <v>0</v>
      </c>
      <c r="EG148" s="36">
        <v>0</v>
      </c>
      <c r="EH148" s="36">
        <v>0</v>
      </c>
      <c r="EI148" s="36">
        <v>0</v>
      </c>
      <c r="EJ148" s="36">
        <v>0</v>
      </c>
      <c r="EK148" s="36">
        <v>0</v>
      </c>
      <c r="EL148" s="36">
        <v>0</v>
      </c>
      <c r="EM148" s="36">
        <v>0</v>
      </c>
      <c r="EN148" s="36">
        <v>0</v>
      </c>
      <c r="EO148" s="36">
        <v>0</v>
      </c>
      <c r="EP148" s="36">
        <v>0</v>
      </c>
      <c r="EQ148" s="36">
        <v>0</v>
      </c>
      <c r="ER148" s="36">
        <v>0</v>
      </c>
      <c r="ES148" s="36">
        <v>0</v>
      </c>
      <c r="ET148" s="36">
        <v>0</v>
      </c>
      <c r="EU148" s="36">
        <v>0</v>
      </c>
      <c r="EV148" s="36">
        <v>0</v>
      </c>
      <c r="EW148" s="36">
        <v>0</v>
      </c>
      <c r="EX148" s="36">
        <v>0</v>
      </c>
      <c r="EY148" s="36">
        <v>0</v>
      </c>
      <c r="EZ148" s="36">
        <v>0</v>
      </c>
      <c r="FA148" s="36">
        <v>0</v>
      </c>
      <c r="FB148" s="36">
        <v>0</v>
      </c>
      <c r="FC148" s="36">
        <v>0</v>
      </c>
      <c r="FD148" s="36">
        <v>0</v>
      </c>
      <c r="FE148" s="36">
        <v>0</v>
      </c>
      <c r="FF148" s="36">
        <v>0</v>
      </c>
      <c r="FG148" s="36">
        <v>0</v>
      </c>
      <c r="FH148" s="36">
        <v>0</v>
      </c>
      <c r="FI148" s="36">
        <v>0</v>
      </c>
      <c r="FJ148" s="36">
        <v>0</v>
      </c>
      <c r="FK148" s="36">
        <v>0</v>
      </c>
      <c r="FL148" s="36">
        <v>0</v>
      </c>
      <c r="FM148" s="36">
        <v>0</v>
      </c>
      <c r="FN148" s="36">
        <v>0</v>
      </c>
      <c r="FO148" s="36">
        <v>0</v>
      </c>
      <c r="FP148" s="36">
        <v>0</v>
      </c>
      <c r="FQ148" s="36">
        <v>0</v>
      </c>
      <c r="FR148" s="36">
        <v>0</v>
      </c>
      <c r="FS148" s="36">
        <v>0</v>
      </c>
      <c r="FT148" s="36">
        <v>0</v>
      </c>
      <c r="FU148" s="36">
        <v>0</v>
      </c>
      <c r="FV148" s="36">
        <v>0</v>
      </c>
      <c r="FW148" s="36">
        <v>0</v>
      </c>
      <c r="FX148" s="36">
        <v>0</v>
      </c>
      <c r="FY148" s="36">
        <v>0</v>
      </c>
      <c r="FZ148" s="36">
        <v>0</v>
      </c>
      <c r="GA148" s="36">
        <v>0</v>
      </c>
      <c r="GB148" s="36">
        <v>0</v>
      </c>
      <c r="GC148" s="36">
        <v>0</v>
      </c>
      <c r="GD148" s="36">
        <v>0</v>
      </c>
      <c r="GE148" s="36">
        <v>0</v>
      </c>
      <c r="GF148" s="36">
        <v>0</v>
      </c>
      <c r="GG148" s="42">
        <v>7969.6078865116278</v>
      </c>
      <c r="GH148" s="42">
        <v>10679.356079897947</v>
      </c>
      <c r="GI148" s="42">
        <v>13844.062157009064</v>
      </c>
      <c r="GJ148" s="42">
        <v>16142.654208346037</v>
      </c>
      <c r="GK148" s="42">
        <v>17388.383667067654</v>
      </c>
      <c r="GL148" s="42">
        <v>22853.766461227624</v>
      </c>
      <c r="GM148" s="42">
        <v>22526.758107055386</v>
      </c>
      <c r="GN148" s="42">
        <v>22127.576801414056</v>
      </c>
      <c r="GO148" s="42">
        <v>18082.352881910116</v>
      </c>
      <c r="GP148" s="42">
        <v>4931.2381928753184</v>
      </c>
      <c r="GQ148" s="42">
        <v>2454.5060550554681</v>
      </c>
      <c r="GR148" s="42">
        <v>3169.5235638583345</v>
      </c>
      <c r="GS148" s="42">
        <v>4959.8648117317362</v>
      </c>
      <c r="GT148" s="42">
        <v>6084.1320716176651</v>
      </c>
      <c r="GU148" s="36">
        <v>0</v>
      </c>
      <c r="GV148" s="36">
        <v>0</v>
      </c>
      <c r="GW148" s="36">
        <v>0</v>
      </c>
      <c r="GX148" s="36">
        <v>0</v>
      </c>
      <c r="GY148" s="36">
        <v>0</v>
      </c>
      <c r="GZ148" s="36">
        <v>0</v>
      </c>
      <c r="HA148" s="38">
        <v>1.1466909199953079E-8</v>
      </c>
      <c r="HB148" s="36">
        <v>42906.370915222447</v>
      </c>
      <c r="HC148" s="36">
        <f t="shared" si="2"/>
        <v>270327.71412751137</v>
      </c>
      <c r="HD148" s="36">
        <f>SUM(EO$5:EO$213)</f>
        <v>270327.71412751143</v>
      </c>
      <c r="HE148" s="41">
        <v>0</v>
      </c>
      <c r="HG148" s="43"/>
      <c r="HH148" s="43"/>
      <c r="HI148" s="43"/>
      <c r="HJ148" s="43"/>
      <c r="HK148" s="43"/>
      <c r="HL148" s="43"/>
      <c r="HM148" s="43"/>
      <c r="HN148" s="43"/>
      <c r="HO148" s="43"/>
      <c r="HP148" s="43"/>
      <c r="HQ148" s="43"/>
      <c r="HR148" s="43"/>
      <c r="HS148" s="43"/>
      <c r="HT148" s="43"/>
    </row>
    <row r="149" spans="1:228" hidden="1" outlineLevel="1" x14ac:dyDescent="0.2">
      <c r="A149" s="9" t="s">
        <v>1135</v>
      </c>
      <c r="B149" s="36">
        <v>7026.7466028469098</v>
      </c>
      <c r="C149" s="36">
        <v>464.68998232481516</v>
      </c>
      <c r="D149" s="36">
        <v>135.5097972078633</v>
      </c>
      <c r="E149" s="36">
        <v>16472.655604518899</v>
      </c>
      <c r="F149" s="36">
        <v>647.27840349013945</v>
      </c>
      <c r="G149" s="36">
        <v>17435.158239228866</v>
      </c>
      <c r="H149" s="36">
        <v>4335.2069001236005</v>
      </c>
      <c r="I149" s="36">
        <v>6495.8752049763116</v>
      </c>
      <c r="J149" s="36">
        <v>2713.3266288372993</v>
      </c>
      <c r="K149" s="36">
        <v>366.40443753275986</v>
      </c>
      <c r="L149" s="36">
        <v>285.65173701056153</v>
      </c>
      <c r="M149" s="36">
        <v>158.75290355208588</v>
      </c>
      <c r="N149" s="36">
        <v>44.939854444037863</v>
      </c>
      <c r="O149" s="36">
        <v>735.96518050597717</v>
      </c>
      <c r="P149" s="36">
        <v>4023.7367239149871</v>
      </c>
      <c r="Q149" s="36">
        <v>1102.391352546083</v>
      </c>
      <c r="R149" s="36">
        <v>2767.5143416986061</v>
      </c>
      <c r="S149" s="36">
        <v>2523.7725588697549</v>
      </c>
      <c r="T149" s="36">
        <v>4120.8410489724802</v>
      </c>
      <c r="U149" s="36">
        <v>640.43656603590364</v>
      </c>
      <c r="V149" s="36">
        <v>1088.3209456397453</v>
      </c>
      <c r="W149" s="36">
        <v>590.23880507364674</v>
      </c>
      <c r="X149" s="36">
        <v>3221.9400656167968</v>
      </c>
      <c r="Y149" s="36">
        <v>1446.4249484313527</v>
      </c>
      <c r="Z149" s="36">
        <v>454.99397028909391</v>
      </c>
      <c r="AA149" s="36">
        <v>795.27639826791938</v>
      </c>
      <c r="AB149" s="36">
        <v>300.00880243266931</v>
      </c>
      <c r="AC149" s="36">
        <v>25.669409759880317</v>
      </c>
      <c r="AD149" s="36">
        <v>71.013244565500031</v>
      </c>
      <c r="AE149" s="36">
        <v>726.11662298672377</v>
      </c>
      <c r="AF149" s="36">
        <v>235.337741308121</v>
      </c>
      <c r="AG149" s="36">
        <v>362.78627354610262</v>
      </c>
      <c r="AH149" s="36">
        <v>455.42788385918152</v>
      </c>
      <c r="AI149" s="36">
        <v>204.93989611803917</v>
      </c>
      <c r="AJ149" s="36">
        <v>16.806954359676517</v>
      </c>
      <c r="AK149" s="36">
        <v>880.27100492919567</v>
      </c>
      <c r="AL149" s="36">
        <v>15065.451857041779</v>
      </c>
      <c r="AM149" s="36">
        <v>3347.6348826590984</v>
      </c>
      <c r="AN149" s="36">
        <v>2346.5798425162934</v>
      </c>
      <c r="AO149" s="36">
        <v>286.08262211565932</v>
      </c>
      <c r="AP149" s="36">
        <v>9905.8733217500667</v>
      </c>
      <c r="AQ149" s="36">
        <v>0.83585518176250628</v>
      </c>
      <c r="AR149" s="36">
        <v>2071.2540644949204</v>
      </c>
      <c r="AS149" s="36">
        <v>17710.820412213503</v>
      </c>
      <c r="AT149" s="36">
        <v>3888.8620295038663</v>
      </c>
      <c r="AU149" s="36">
        <v>0</v>
      </c>
      <c r="AV149" s="36">
        <v>97.630939247956292</v>
      </c>
      <c r="AW149" s="36">
        <v>14.682700585922577</v>
      </c>
      <c r="AX149" s="36">
        <v>7.5528954377924578</v>
      </c>
      <c r="AY149" s="36">
        <v>201.04115689947832</v>
      </c>
      <c r="AZ149" s="36">
        <v>85.706650528878214</v>
      </c>
      <c r="BA149" s="36">
        <v>4.1187808827458117</v>
      </c>
      <c r="BB149" s="36">
        <v>475.51735721895562</v>
      </c>
      <c r="BC149" s="36">
        <v>201.80669353397985</v>
      </c>
      <c r="BD149" s="36">
        <v>225.31126559870222</v>
      </c>
      <c r="BE149" s="36">
        <v>540.10303871449707</v>
      </c>
      <c r="BF149" s="36">
        <v>19.060267913860073</v>
      </c>
      <c r="BG149" s="36">
        <v>12.05113180581116</v>
      </c>
      <c r="BH149" s="36">
        <v>62.80055796909069</v>
      </c>
      <c r="BI149" s="36">
        <v>18.753714506066267</v>
      </c>
      <c r="BJ149" s="36">
        <v>1221.26913123907</v>
      </c>
      <c r="BK149" s="36">
        <v>0</v>
      </c>
      <c r="BL149" s="36">
        <v>0</v>
      </c>
      <c r="BM149" s="36">
        <v>0</v>
      </c>
      <c r="BN149" s="36">
        <v>0</v>
      </c>
      <c r="BO149" s="36">
        <v>0</v>
      </c>
      <c r="BP149" s="36">
        <v>0</v>
      </c>
      <c r="BQ149" s="36">
        <v>0</v>
      </c>
      <c r="BR149" s="36">
        <v>0</v>
      </c>
      <c r="BS149" s="36">
        <v>0</v>
      </c>
      <c r="BT149" s="36">
        <v>0</v>
      </c>
      <c r="BU149" s="36">
        <v>0</v>
      </c>
      <c r="BV149" s="36">
        <v>0</v>
      </c>
      <c r="BW149" s="36">
        <v>0</v>
      </c>
      <c r="BX149" s="36">
        <v>0</v>
      </c>
      <c r="BY149" s="36">
        <v>0</v>
      </c>
      <c r="BZ149" s="36">
        <v>0</v>
      </c>
      <c r="CA149" s="36">
        <v>0</v>
      </c>
      <c r="CB149" s="36">
        <v>0</v>
      </c>
      <c r="CC149" s="36">
        <v>0</v>
      </c>
      <c r="CD149" s="36">
        <v>0</v>
      </c>
      <c r="CE149" s="36">
        <v>0</v>
      </c>
      <c r="CF149" s="36">
        <v>0</v>
      </c>
      <c r="CG149" s="36">
        <v>0</v>
      </c>
      <c r="CH149" s="36">
        <v>0</v>
      </c>
      <c r="CI149" s="36">
        <v>0</v>
      </c>
      <c r="CJ149" s="36">
        <v>0</v>
      </c>
      <c r="CK149" s="36">
        <v>0</v>
      </c>
      <c r="CL149" s="36">
        <v>0</v>
      </c>
      <c r="CM149" s="36">
        <v>0</v>
      </c>
      <c r="CN149" s="36">
        <v>0</v>
      </c>
      <c r="CO149" s="36">
        <v>0</v>
      </c>
      <c r="CP149" s="36">
        <v>0</v>
      </c>
      <c r="CQ149" s="36">
        <v>0</v>
      </c>
      <c r="CR149" s="36">
        <v>0</v>
      </c>
      <c r="CS149" s="36">
        <v>0</v>
      </c>
      <c r="CT149" s="36">
        <v>0</v>
      </c>
      <c r="CU149" s="36">
        <v>0</v>
      </c>
      <c r="CV149" s="36">
        <v>0</v>
      </c>
      <c r="CW149" s="36">
        <v>0</v>
      </c>
      <c r="CX149" s="36">
        <v>0</v>
      </c>
      <c r="CY149" s="36">
        <v>0</v>
      </c>
      <c r="CZ149" s="36">
        <v>0</v>
      </c>
      <c r="DA149" s="36">
        <v>0</v>
      </c>
      <c r="DB149" s="36">
        <v>0</v>
      </c>
      <c r="DC149" s="36">
        <v>0</v>
      </c>
      <c r="DD149" s="36">
        <v>0</v>
      </c>
      <c r="DE149" s="36">
        <v>0</v>
      </c>
      <c r="DF149" s="36">
        <v>0</v>
      </c>
      <c r="DG149" s="36">
        <v>0</v>
      </c>
      <c r="DH149" s="36">
        <v>0</v>
      </c>
      <c r="DI149" s="36">
        <v>0</v>
      </c>
      <c r="DJ149" s="36">
        <v>0</v>
      </c>
      <c r="DK149" s="36">
        <v>0</v>
      </c>
      <c r="DL149" s="36">
        <v>0</v>
      </c>
      <c r="DM149" s="36">
        <v>0</v>
      </c>
      <c r="DN149" s="36">
        <v>0</v>
      </c>
      <c r="DO149" s="36">
        <v>0</v>
      </c>
      <c r="DP149" s="36">
        <v>0</v>
      </c>
      <c r="DQ149" s="36">
        <v>0</v>
      </c>
      <c r="DR149" s="36">
        <v>0</v>
      </c>
      <c r="DS149" s="36">
        <v>0</v>
      </c>
      <c r="DT149" s="36">
        <v>0</v>
      </c>
      <c r="DU149" s="36">
        <v>0</v>
      </c>
      <c r="DV149" s="36">
        <v>0</v>
      </c>
      <c r="DW149" s="36">
        <v>0</v>
      </c>
      <c r="DX149" s="36">
        <v>0</v>
      </c>
      <c r="DY149" s="36">
        <v>0</v>
      </c>
      <c r="DZ149" s="36">
        <v>0</v>
      </c>
      <c r="EA149" s="36">
        <v>0</v>
      </c>
      <c r="EB149" s="36">
        <v>0</v>
      </c>
      <c r="EC149" s="36">
        <v>0</v>
      </c>
      <c r="ED149" s="36">
        <v>0</v>
      </c>
      <c r="EE149" s="36">
        <v>0</v>
      </c>
      <c r="EF149" s="36">
        <v>0</v>
      </c>
      <c r="EG149" s="36">
        <v>0</v>
      </c>
      <c r="EH149" s="36">
        <v>0</v>
      </c>
      <c r="EI149" s="36">
        <v>0</v>
      </c>
      <c r="EJ149" s="36">
        <v>0</v>
      </c>
      <c r="EK149" s="36">
        <v>0</v>
      </c>
      <c r="EL149" s="36">
        <v>0</v>
      </c>
      <c r="EM149" s="36">
        <v>0</v>
      </c>
      <c r="EN149" s="36">
        <v>0</v>
      </c>
      <c r="EO149" s="36">
        <v>0</v>
      </c>
      <c r="EP149" s="36">
        <v>0</v>
      </c>
      <c r="EQ149" s="36">
        <v>0</v>
      </c>
      <c r="ER149" s="36">
        <v>0</v>
      </c>
      <c r="ES149" s="36">
        <v>0</v>
      </c>
      <c r="ET149" s="36">
        <v>0</v>
      </c>
      <c r="EU149" s="36">
        <v>0</v>
      </c>
      <c r="EV149" s="36">
        <v>0</v>
      </c>
      <c r="EW149" s="36">
        <v>0</v>
      </c>
      <c r="EX149" s="36">
        <v>0</v>
      </c>
      <c r="EY149" s="36">
        <v>0</v>
      </c>
      <c r="EZ149" s="36">
        <v>0</v>
      </c>
      <c r="FA149" s="36">
        <v>0</v>
      </c>
      <c r="FB149" s="36">
        <v>0</v>
      </c>
      <c r="FC149" s="36">
        <v>0</v>
      </c>
      <c r="FD149" s="36">
        <v>0</v>
      </c>
      <c r="FE149" s="36">
        <v>0</v>
      </c>
      <c r="FF149" s="36">
        <v>0</v>
      </c>
      <c r="FG149" s="36">
        <v>0</v>
      </c>
      <c r="FH149" s="36">
        <v>0</v>
      </c>
      <c r="FI149" s="36">
        <v>0</v>
      </c>
      <c r="FJ149" s="36">
        <v>0</v>
      </c>
      <c r="FK149" s="36">
        <v>0</v>
      </c>
      <c r="FL149" s="36">
        <v>0</v>
      </c>
      <c r="FM149" s="36">
        <v>0</v>
      </c>
      <c r="FN149" s="36">
        <v>0</v>
      </c>
      <c r="FO149" s="36">
        <v>65960.038473564215</v>
      </c>
      <c r="FP149" s="36">
        <v>0</v>
      </c>
      <c r="FQ149" s="36">
        <v>0</v>
      </c>
      <c r="FR149" s="36">
        <v>0</v>
      </c>
      <c r="FS149" s="36">
        <v>0</v>
      </c>
      <c r="FT149" s="36">
        <v>0</v>
      </c>
      <c r="FU149" s="36">
        <v>0</v>
      </c>
      <c r="FV149" s="36">
        <v>0</v>
      </c>
      <c r="FW149" s="36">
        <v>0</v>
      </c>
      <c r="FX149" s="36">
        <v>0</v>
      </c>
      <c r="FY149" s="36">
        <v>0</v>
      </c>
      <c r="FZ149" s="36">
        <v>0</v>
      </c>
      <c r="GA149" s="36">
        <v>0</v>
      </c>
      <c r="GB149" s="36">
        <v>0</v>
      </c>
      <c r="GC149" s="36">
        <v>0</v>
      </c>
      <c r="GD149" s="36">
        <v>0</v>
      </c>
      <c r="GE149" s="36">
        <v>0</v>
      </c>
      <c r="GF149" s="36">
        <v>0</v>
      </c>
      <c r="GG149" s="42">
        <v>326.56554694490188</v>
      </c>
      <c r="GH149" s="42">
        <v>309.84343134645013</v>
      </c>
      <c r="GI149" s="42">
        <v>259.62126591009337</v>
      </c>
      <c r="GJ149" s="42">
        <v>1407.3412259065217</v>
      </c>
      <c r="GK149" s="42">
        <v>585.44931479019783</v>
      </c>
      <c r="GL149" s="42">
        <v>2450.8517593848574</v>
      </c>
      <c r="GM149" s="42">
        <v>2861.3406649955832</v>
      </c>
      <c r="GN149" s="42">
        <v>758.74146083500398</v>
      </c>
      <c r="GO149" s="42">
        <v>509.28358556379885</v>
      </c>
      <c r="GP149" s="42">
        <v>70.571005882346583</v>
      </c>
      <c r="GQ149" s="42">
        <v>118.59766579200283</v>
      </c>
      <c r="GR149" s="42">
        <v>91.17504490868761</v>
      </c>
      <c r="GS149" s="42">
        <v>5.5264209072564041</v>
      </c>
      <c r="GT149" s="42">
        <v>359.87193360100127</v>
      </c>
      <c r="GU149" s="36">
        <v>0</v>
      </c>
      <c r="GV149" s="36">
        <v>0</v>
      </c>
      <c r="GW149" s="36">
        <v>0</v>
      </c>
      <c r="GX149" s="36">
        <v>0</v>
      </c>
      <c r="GY149" s="36">
        <v>0</v>
      </c>
      <c r="GZ149" s="36">
        <v>0</v>
      </c>
      <c r="HA149" s="38">
        <v>-3.2014213502407074E-10</v>
      </c>
      <c r="HB149" s="36">
        <v>28848.269254917297</v>
      </c>
      <c r="HC149" s="36">
        <f t="shared" si="2"/>
        <v>246106.3162606312</v>
      </c>
      <c r="HD149" s="36">
        <f>SUM(EP$5:EP$213)</f>
        <v>246106.3162606312</v>
      </c>
      <c r="HE149" s="41">
        <v>0</v>
      </c>
      <c r="HG149" s="43"/>
      <c r="HH149" s="43"/>
      <c r="HI149" s="43"/>
      <c r="HJ149" s="43"/>
      <c r="HK149" s="43"/>
      <c r="HL149" s="43"/>
      <c r="HM149" s="43"/>
      <c r="HN149" s="43"/>
      <c r="HO149" s="43"/>
      <c r="HP149" s="43"/>
      <c r="HQ149" s="43"/>
      <c r="HR149" s="43"/>
      <c r="HS149" s="43"/>
      <c r="HT149" s="43"/>
    </row>
    <row r="150" spans="1:228" hidden="1" outlineLevel="1" x14ac:dyDescent="0.2">
      <c r="A150" s="9" t="s">
        <v>1140</v>
      </c>
      <c r="B150" s="36">
        <v>0</v>
      </c>
      <c r="C150" s="36">
        <v>80.295140338641787</v>
      </c>
      <c r="D150" s="36">
        <v>126.06917655005182</v>
      </c>
      <c r="E150" s="36">
        <v>2567.1715229241518</v>
      </c>
      <c r="F150" s="36">
        <v>668.16182149179099</v>
      </c>
      <c r="G150" s="36">
        <v>1491.7301032055148</v>
      </c>
      <c r="H150" s="36">
        <v>2671.5757334968448</v>
      </c>
      <c r="I150" s="36">
        <v>3963.5058682309368</v>
      </c>
      <c r="J150" s="36">
        <v>1235.8721518398054</v>
      </c>
      <c r="K150" s="36">
        <v>212.29854599983446</v>
      </c>
      <c r="L150" s="36">
        <v>355.18018357670383</v>
      </c>
      <c r="M150" s="36">
        <v>53.529588197183713</v>
      </c>
      <c r="N150" s="36">
        <v>88.906364956988796</v>
      </c>
      <c r="O150" s="36">
        <v>410.77752679459172</v>
      </c>
      <c r="P150" s="36">
        <v>1583.3152371827894</v>
      </c>
      <c r="Q150" s="36">
        <v>845.89169987423747</v>
      </c>
      <c r="R150" s="36">
        <v>1055.0897633734151</v>
      </c>
      <c r="S150" s="36">
        <v>1352.0017141977874</v>
      </c>
      <c r="T150" s="36">
        <v>1742.8403617042152</v>
      </c>
      <c r="U150" s="36">
        <v>274.12842007901168</v>
      </c>
      <c r="V150" s="36">
        <v>437.82731702407364</v>
      </c>
      <c r="W150" s="36">
        <v>59.314744318416743</v>
      </c>
      <c r="X150" s="36">
        <v>1165.8594994834627</v>
      </c>
      <c r="Y150" s="36">
        <v>748.27267022538217</v>
      </c>
      <c r="Z150" s="36">
        <v>754.95153633965913</v>
      </c>
      <c r="AA150" s="36">
        <v>1291.6296656889315</v>
      </c>
      <c r="AB150" s="36">
        <v>449.7620897164162</v>
      </c>
      <c r="AC150" s="36">
        <v>148.70170536264538</v>
      </c>
      <c r="AD150" s="36">
        <v>168.92150249748079</v>
      </c>
      <c r="AE150" s="36">
        <v>1244.9370470433309</v>
      </c>
      <c r="AF150" s="36">
        <v>206.22436488026773</v>
      </c>
      <c r="AG150" s="36">
        <v>248.61034508843591</v>
      </c>
      <c r="AH150" s="36">
        <v>418.82421585610314</v>
      </c>
      <c r="AI150" s="36">
        <v>692.26239094376706</v>
      </c>
      <c r="AJ150" s="36">
        <v>158.79428004593947</v>
      </c>
      <c r="AK150" s="36">
        <v>8456.6381032237932</v>
      </c>
      <c r="AL150" s="36">
        <v>15687.517008839546</v>
      </c>
      <c r="AM150" s="36">
        <v>7104.1107792586281</v>
      </c>
      <c r="AN150" s="36">
        <v>6341.6528477340617</v>
      </c>
      <c r="AO150" s="36">
        <v>5943.6097788642692</v>
      </c>
      <c r="AP150" s="36">
        <v>5981.297170437103</v>
      </c>
      <c r="AQ150" s="36">
        <v>184.1051253327945</v>
      </c>
      <c r="AR150" s="36">
        <v>9207.1646104677857</v>
      </c>
      <c r="AS150" s="36">
        <v>19199.047695996385</v>
      </c>
      <c r="AT150" s="36">
        <v>13169.056231095905</v>
      </c>
      <c r="AU150" s="36">
        <v>0</v>
      </c>
      <c r="AV150" s="36">
        <v>0</v>
      </c>
      <c r="AW150" s="36">
        <v>0</v>
      </c>
      <c r="AX150" s="36">
        <v>9376.4449635299516</v>
      </c>
      <c r="AY150" s="36">
        <v>3003.6007134789375</v>
      </c>
      <c r="AZ150" s="36">
        <v>6832.0168110186833</v>
      </c>
      <c r="BA150" s="36">
        <v>785.65874661605005</v>
      </c>
      <c r="BB150" s="36">
        <v>41496.24973609177</v>
      </c>
      <c r="BC150" s="36">
        <v>2177.3041880531841</v>
      </c>
      <c r="BD150" s="36">
        <v>8615.1925082734979</v>
      </c>
      <c r="BE150" s="36">
        <v>5296.3833266899837</v>
      </c>
      <c r="BF150" s="36">
        <v>336.90356552451033</v>
      </c>
      <c r="BG150" s="36">
        <v>620.37791869033754</v>
      </c>
      <c r="BH150" s="36">
        <v>2988.8889528918526</v>
      </c>
      <c r="BI150" s="36">
        <v>185.76069334715362</v>
      </c>
      <c r="BJ150" s="36">
        <v>3378.3448837816318</v>
      </c>
      <c r="BK150" s="36">
        <v>0</v>
      </c>
      <c r="BL150" s="36">
        <v>0</v>
      </c>
      <c r="BM150" s="36">
        <v>0</v>
      </c>
      <c r="BN150" s="36">
        <v>0</v>
      </c>
      <c r="BO150" s="36">
        <v>0</v>
      </c>
      <c r="BP150" s="36">
        <v>0</v>
      </c>
      <c r="BQ150" s="36">
        <v>0</v>
      </c>
      <c r="BR150" s="36">
        <v>0</v>
      </c>
      <c r="BS150" s="36">
        <v>0</v>
      </c>
      <c r="BT150" s="36">
        <v>0</v>
      </c>
      <c r="BU150" s="36">
        <v>0</v>
      </c>
      <c r="BV150" s="36">
        <v>0</v>
      </c>
      <c r="BW150" s="36">
        <v>0</v>
      </c>
      <c r="BX150" s="36">
        <v>0</v>
      </c>
      <c r="BY150" s="36">
        <v>0</v>
      </c>
      <c r="BZ150" s="36">
        <v>0</v>
      </c>
      <c r="CA150" s="36">
        <v>0</v>
      </c>
      <c r="CB150" s="36">
        <v>0</v>
      </c>
      <c r="CC150" s="36">
        <v>0</v>
      </c>
      <c r="CD150" s="36">
        <v>0</v>
      </c>
      <c r="CE150" s="36">
        <v>0</v>
      </c>
      <c r="CF150" s="36">
        <v>0</v>
      </c>
      <c r="CG150" s="36">
        <v>0</v>
      </c>
      <c r="CH150" s="36">
        <v>0</v>
      </c>
      <c r="CI150" s="36">
        <v>0</v>
      </c>
      <c r="CJ150" s="36">
        <v>0</v>
      </c>
      <c r="CK150" s="36">
        <v>0</v>
      </c>
      <c r="CL150" s="36">
        <v>0</v>
      </c>
      <c r="CM150" s="36">
        <v>0</v>
      </c>
      <c r="CN150" s="36">
        <v>0</v>
      </c>
      <c r="CO150" s="36">
        <v>0</v>
      </c>
      <c r="CP150" s="36">
        <v>0</v>
      </c>
      <c r="CQ150" s="36">
        <v>0</v>
      </c>
      <c r="CR150" s="36">
        <v>0</v>
      </c>
      <c r="CS150" s="36">
        <v>0</v>
      </c>
      <c r="CT150" s="36">
        <v>0</v>
      </c>
      <c r="CU150" s="36">
        <v>0</v>
      </c>
      <c r="CV150" s="36">
        <v>0</v>
      </c>
      <c r="CW150" s="36">
        <v>0</v>
      </c>
      <c r="CX150" s="36">
        <v>0</v>
      </c>
      <c r="CY150" s="36">
        <v>0</v>
      </c>
      <c r="CZ150" s="36">
        <v>0</v>
      </c>
      <c r="DA150" s="36">
        <v>0</v>
      </c>
      <c r="DB150" s="36">
        <v>0</v>
      </c>
      <c r="DC150" s="36">
        <v>0</v>
      </c>
      <c r="DD150" s="36">
        <v>0</v>
      </c>
      <c r="DE150" s="36">
        <v>0</v>
      </c>
      <c r="DF150" s="36">
        <v>0</v>
      </c>
      <c r="DG150" s="36">
        <v>0</v>
      </c>
      <c r="DH150" s="36">
        <v>0</v>
      </c>
      <c r="DI150" s="36">
        <v>0</v>
      </c>
      <c r="DJ150" s="36">
        <v>0</v>
      </c>
      <c r="DK150" s="36">
        <v>0</v>
      </c>
      <c r="DL150" s="36">
        <v>0</v>
      </c>
      <c r="DM150" s="36">
        <v>0</v>
      </c>
      <c r="DN150" s="36">
        <v>0</v>
      </c>
      <c r="DO150" s="36">
        <v>0</v>
      </c>
      <c r="DP150" s="36">
        <v>0</v>
      </c>
      <c r="DQ150" s="36">
        <v>0</v>
      </c>
      <c r="DR150" s="36">
        <v>0</v>
      </c>
      <c r="DS150" s="36">
        <v>0</v>
      </c>
      <c r="DT150" s="36">
        <v>0</v>
      </c>
      <c r="DU150" s="36">
        <v>0</v>
      </c>
      <c r="DV150" s="36">
        <v>0</v>
      </c>
      <c r="DW150" s="36">
        <v>0</v>
      </c>
      <c r="DX150" s="36">
        <v>0</v>
      </c>
      <c r="DY150" s="36">
        <v>0</v>
      </c>
      <c r="DZ150" s="36">
        <v>0</v>
      </c>
      <c r="EA150" s="36">
        <v>0</v>
      </c>
      <c r="EB150" s="36">
        <v>0</v>
      </c>
      <c r="EC150" s="36">
        <v>0</v>
      </c>
      <c r="ED150" s="36">
        <v>0</v>
      </c>
      <c r="EE150" s="36">
        <v>0</v>
      </c>
      <c r="EF150" s="36">
        <v>0</v>
      </c>
      <c r="EG150" s="36">
        <v>0</v>
      </c>
      <c r="EH150" s="36">
        <v>0</v>
      </c>
      <c r="EI150" s="36">
        <v>0</v>
      </c>
      <c r="EJ150" s="36">
        <v>0</v>
      </c>
      <c r="EK150" s="36">
        <v>0</v>
      </c>
      <c r="EL150" s="36">
        <v>0</v>
      </c>
      <c r="EM150" s="36">
        <v>0</v>
      </c>
      <c r="EN150" s="36">
        <v>0</v>
      </c>
      <c r="EO150" s="36">
        <v>0</v>
      </c>
      <c r="EP150" s="36">
        <v>0</v>
      </c>
      <c r="EQ150" s="36">
        <v>0</v>
      </c>
      <c r="ER150" s="36">
        <v>0</v>
      </c>
      <c r="ES150" s="36">
        <v>0</v>
      </c>
      <c r="ET150" s="36">
        <v>0</v>
      </c>
      <c r="EU150" s="36">
        <v>0</v>
      </c>
      <c r="EV150" s="36">
        <v>0</v>
      </c>
      <c r="EW150" s="36">
        <v>0</v>
      </c>
      <c r="EX150" s="36">
        <v>0</v>
      </c>
      <c r="EY150" s="36">
        <v>0</v>
      </c>
      <c r="EZ150" s="36">
        <v>0</v>
      </c>
      <c r="FA150" s="36">
        <v>0</v>
      </c>
      <c r="FB150" s="36">
        <v>0</v>
      </c>
      <c r="FC150" s="36">
        <v>0</v>
      </c>
      <c r="FD150" s="36">
        <v>0</v>
      </c>
      <c r="FE150" s="36">
        <v>0</v>
      </c>
      <c r="FF150" s="36">
        <v>0</v>
      </c>
      <c r="FG150" s="36">
        <v>0</v>
      </c>
      <c r="FH150" s="36">
        <v>0</v>
      </c>
      <c r="FI150" s="36">
        <v>0</v>
      </c>
      <c r="FJ150" s="36">
        <v>0</v>
      </c>
      <c r="FK150" s="36">
        <v>0</v>
      </c>
      <c r="FL150" s="36">
        <v>0</v>
      </c>
      <c r="FM150" s="36">
        <v>0</v>
      </c>
      <c r="FN150" s="36">
        <v>0</v>
      </c>
      <c r="FO150" s="36">
        <v>0</v>
      </c>
      <c r="FP150" s="36">
        <v>0</v>
      </c>
      <c r="FQ150" s="36">
        <v>0</v>
      </c>
      <c r="FR150" s="36">
        <v>0</v>
      </c>
      <c r="FS150" s="36">
        <v>0</v>
      </c>
      <c r="FT150" s="36">
        <v>0</v>
      </c>
      <c r="FU150" s="36">
        <v>0</v>
      </c>
      <c r="FV150" s="36">
        <v>0</v>
      </c>
      <c r="FW150" s="36">
        <v>0</v>
      </c>
      <c r="FX150" s="36">
        <v>0</v>
      </c>
      <c r="FY150" s="36">
        <v>0</v>
      </c>
      <c r="FZ150" s="36">
        <v>0</v>
      </c>
      <c r="GA150" s="36">
        <v>0</v>
      </c>
      <c r="GB150" s="36">
        <v>0</v>
      </c>
      <c r="GC150" s="36">
        <v>0</v>
      </c>
      <c r="GD150" s="36">
        <v>0</v>
      </c>
      <c r="GE150" s="36">
        <v>0</v>
      </c>
      <c r="GF150" s="36">
        <v>0</v>
      </c>
      <c r="GG150" s="42">
        <v>14.422178279183692</v>
      </c>
      <c r="GH150" s="42">
        <v>13.709466144145054</v>
      </c>
      <c r="GI150" s="42">
        <v>23.411034149811233</v>
      </c>
      <c r="GJ150" s="42">
        <v>35.688867893877472</v>
      </c>
      <c r="GK150" s="42">
        <v>37.445262980826676</v>
      </c>
      <c r="GL150" s="42">
        <v>56.658887147621357</v>
      </c>
      <c r="GM150" s="42">
        <v>86.675884275505055</v>
      </c>
      <c r="GN150" s="42">
        <v>140.06427306048599</v>
      </c>
      <c r="GO150" s="42">
        <v>224.10830312350112</v>
      </c>
      <c r="GP150" s="42">
        <v>69.824966260311953</v>
      </c>
      <c r="GQ150" s="42">
        <v>62.232554594168349</v>
      </c>
      <c r="GR150" s="42">
        <v>83.079649987151825</v>
      </c>
      <c r="GS150" s="42">
        <v>123.7062455353376</v>
      </c>
      <c r="GT150" s="42">
        <v>161.31069833304025</v>
      </c>
      <c r="GU150" s="36">
        <v>0</v>
      </c>
      <c r="GV150" s="36">
        <v>0</v>
      </c>
      <c r="GW150" s="36">
        <v>0</v>
      </c>
      <c r="GX150" s="36">
        <v>0</v>
      </c>
      <c r="GY150" s="36">
        <v>0</v>
      </c>
      <c r="GZ150" s="36">
        <v>0</v>
      </c>
      <c r="HA150" s="38">
        <v>-3.434251993894577E-9</v>
      </c>
      <c r="HB150" s="36">
        <v>0</v>
      </c>
      <c r="HC150" s="36">
        <f t="shared" si="2"/>
        <v>206472.89892952814</v>
      </c>
      <c r="HD150" s="36">
        <f>SUM(EQ$5:EQ$213)</f>
        <v>206472.89892952814</v>
      </c>
      <c r="HE150" s="41">
        <v>0</v>
      </c>
      <c r="HG150" s="43"/>
      <c r="HH150" s="43"/>
      <c r="HI150" s="43"/>
      <c r="HJ150" s="43"/>
      <c r="HK150" s="43"/>
      <c r="HL150" s="43"/>
      <c r="HM150" s="43"/>
      <c r="HN150" s="43"/>
      <c r="HO150" s="43"/>
      <c r="HP150" s="43"/>
      <c r="HQ150" s="43"/>
      <c r="HR150" s="43"/>
      <c r="HS150" s="43"/>
      <c r="HT150" s="43"/>
    </row>
    <row r="151" spans="1:228" hidden="1" outlineLevel="1" x14ac:dyDescent="0.2">
      <c r="A151" s="9" t="s">
        <v>1145</v>
      </c>
      <c r="B151" s="36">
        <v>0</v>
      </c>
      <c r="C151" s="36">
        <v>10.155505345880247</v>
      </c>
      <c r="D151" s="36">
        <v>5.8395173241287734</v>
      </c>
      <c r="E151" s="36">
        <v>18.739835643084845</v>
      </c>
      <c r="F151" s="36">
        <v>1.9629219163148166</v>
      </c>
      <c r="G151" s="36">
        <v>12.834795288103289</v>
      </c>
      <c r="H151" s="36">
        <v>102.91541862491343</v>
      </c>
      <c r="I151" s="36">
        <v>564.26786819011431</v>
      </c>
      <c r="J151" s="36">
        <v>16.670325222441026</v>
      </c>
      <c r="K151" s="36">
        <v>85.849532959062373</v>
      </c>
      <c r="L151" s="36">
        <v>127.39675303947836</v>
      </c>
      <c r="M151" s="36">
        <v>8.7698305722685053</v>
      </c>
      <c r="N151" s="36">
        <v>31.272514519476246</v>
      </c>
      <c r="O151" s="36">
        <v>11.516356495961137</v>
      </c>
      <c r="P151" s="36">
        <v>48.488201434707307</v>
      </c>
      <c r="Q151" s="36">
        <v>189.34577974854335</v>
      </c>
      <c r="R151" s="36">
        <v>11.216863024086056</v>
      </c>
      <c r="S151" s="36">
        <v>38.520327291324129</v>
      </c>
      <c r="T151" s="36">
        <v>82.825494434463593</v>
      </c>
      <c r="U151" s="36">
        <v>19.22379282138521</v>
      </c>
      <c r="V151" s="36">
        <v>41.57748115329634</v>
      </c>
      <c r="W151" s="36">
        <v>3.779318517517448</v>
      </c>
      <c r="X151" s="36">
        <v>43.829507196497801</v>
      </c>
      <c r="Y151" s="36">
        <v>20.497213641251097</v>
      </c>
      <c r="Z151" s="36">
        <v>25.69111859436217</v>
      </c>
      <c r="AA151" s="36">
        <v>98.641745619498948</v>
      </c>
      <c r="AB151" s="36">
        <v>53.911961260259261</v>
      </c>
      <c r="AC151" s="36">
        <v>47.562241044063398</v>
      </c>
      <c r="AD151" s="36">
        <v>30.945940006911531</v>
      </c>
      <c r="AE151" s="36">
        <v>104.48286153407476</v>
      </c>
      <c r="AF151" s="36">
        <v>14.88194170968292</v>
      </c>
      <c r="AG151" s="36">
        <v>5.8034587478152577</v>
      </c>
      <c r="AH151" s="36">
        <v>102.8638988565867</v>
      </c>
      <c r="AI151" s="36">
        <v>69.155078563518316</v>
      </c>
      <c r="AJ151" s="36">
        <v>18.897294150892765</v>
      </c>
      <c r="AK151" s="36">
        <v>101.46135521616024</v>
      </c>
      <c r="AL151" s="36">
        <v>2310.4454926503722</v>
      </c>
      <c r="AM151" s="36">
        <v>1878.9539969926577</v>
      </c>
      <c r="AN151" s="36">
        <v>323.42357975657745</v>
      </c>
      <c r="AO151" s="36">
        <v>99.922596070795692</v>
      </c>
      <c r="AP151" s="36">
        <v>88.01600674999743</v>
      </c>
      <c r="AQ151" s="36">
        <v>6.2834478644742013</v>
      </c>
      <c r="AR151" s="36">
        <v>17.506554400661138</v>
      </c>
      <c r="AS151" s="36">
        <v>1544.6839996659353</v>
      </c>
      <c r="AT151" s="36">
        <v>1677.2922427873527</v>
      </c>
      <c r="AU151" s="36">
        <v>456.04285497668923</v>
      </c>
      <c r="AV151" s="36">
        <v>117.14111276095917</v>
      </c>
      <c r="AW151" s="36">
        <v>388.61170438337115</v>
      </c>
      <c r="AX151" s="36">
        <v>137.48265119975946</v>
      </c>
      <c r="AY151" s="36">
        <v>109.34627533437856</v>
      </c>
      <c r="AZ151" s="36">
        <v>143.92298629196222</v>
      </c>
      <c r="BA151" s="36">
        <v>95.349668342370009</v>
      </c>
      <c r="BB151" s="36">
        <v>8580.5196953090726</v>
      </c>
      <c r="BC151" s="36">
        <v>264.90936251802776</v>
      </c>
      <c r="BD151" s="36">
        <v>0.24192742082078897</v>
      </c>
      <c r="BE151" s="36">
        <v>276.95329846525834</v>
      </c>
      <c r="BF151" s="36">
        <v>15.612580040629396</v>
      </c>
      <c r="BG151" s="36">
        <v>54.599102834301718</v>
      </c>
      <c r="BH151" s="36">
        <v>86.348929634950395</v>
      </c>
      <c r="BI151" s="36">
        <v>12.064112894190165</v>
      </c>
      <c r="BJ151" s="36">
        <v>1537.4774288164454</v>
      </c>
      <c r="BK151" s="36">
        <v>0</v>
      </c>
      <c r="BL151" s="36">
        <v>0</v>
      </c>
      <c r="BM151" s="36">
        <v>0</v>
      </c>
      <c r="BN151" s="36">
        <v>0</v>
      </c>
      <c r="BO151" s="36">
        <v>0</v>
      </c>
      <c r="BP151" s="36">
        <v>0</v>
      </c>
      <c r="BQ151" s="36">
        <v>0</v>
      </c>
      <c r="BR151" s="36">
        <v>0</v>
      </c>
      <c r="BS151" s="36">
        <v>0</v>
      </c>
      <c r="BT151" s="36">
        <v>0</v>
      </c>
      <c r="BU151" s="36">
        <v>0</v>
      </c>
      <c r="BV151" s="36">
        <v>0</v>
      </c>
      <c r="BW151" s="36">
        <v>0</v>
      </c>
      <c r="BX151" s="36">
        <v>0</v>
      </c>
      <c r="BY151" s="36">
        <v>0</v>
      </c>
      <c r="BZ151" s="36">
        <v>0</v>
      </c>
      <c r="CA151" s="36">
        <v>0</v>
      </c>
      <c r="CB151" s="36">
        <v>0</v>
      </c>
      <c r="CC151" s="36">
        <v>0</v>
      </c>
      <c r="CD151" s="36">
        <v>0</v>
      </c>
      <c r="CE151" s="36">
        <v>0</v>
      </c>
      <c r="CF151" s="36">
        <v>0</v>
      </c>
      <c r="CG151" s="36">
        <v>0</v>
      </c>
      <c r="CH151" s="36">
        <v>0</v>
      </c>
      <c r="CI151" s="36">
        <v>0</v>
      </c>
      <c r="CJ151" s="36">
        <v>0</v>
      </c>
      <c r="CK151" s="36">
        <v>0</v>
      </c>
      <c r="CL151" s="36">
        <v>0</v>
      </c>
      <c r="CM151" s="36">
        <v>0</v>
      </c>
      <c r="CN151" s="36">
        <v>0</v>
      </c>
      <c r="CO151" s="36">
        <v>0</v>
      </c>
      <c r="CP151" s="36">
        <v>0</v>
      </c>
      <c r="CQ151" s="36">
        <v>0</v>
      </c>
      <c r="CR151" s="36">
        <v>0</v>
      </c>
      <c r="CS151" s="36">
        <v>0</v>
      </c>
      <c r="CT151" s="36">
        <v>0</v>
      </c>
      <c r="CU151" s="36">
        <v>0</v>
      </c>
      <c r="CV151" s="36">
        <v>0</v>
      </c>
      <c r="CW151" s="36">
        <v>0</v>
      </c>
      <c r="CX151" s="36">
        <v>0</v>
      </c>
      <c r="CY151" s="36">
        <v>0</v>
      </c>
      <c r="CZ151" s="36">
        <v>0</v>
      </c>
      <c r="DA151" s="36">
        <v>0</v>
      </c>
      <c r="DB151" s="36">
        <v>0</v>
      </c>
      <c r="DC151" s="36">
        <v>0</v>
      </c>
      <c r="DD151" s="36">
        <v>0</v>
      </c>
      <c r="DE151" s="36">
        <v>0</v>
      </c>
      <c r="DF151" s="36">
        <v>0</v>
      </c>
      <c r="DG151" s="36">
        <v>0</v>
      </c>
      <c r="DH151" s="36">
        <v>0</v>
      </c>
      <c r="DI151" s="36">
        <v>0</v>
      </c>
      <c r="DJ151" s="36">
        <v>0</v>
      </c>
      <c r="DK151" s="36">
        <v>0</v>
      </c>
      <c r="DL151" s="36">
        <v>0</v>
      </c>
      <c r="DM151" s="36">
        <v>0</v>
      </c>
      <c r="DN151" s="36">
        <v>0</v>
      </c>
      <c r="DO151" s="36">
        <v>0</v>
      </c>
      <c r="DP151" s="36">
        <v>0</v>
      </c>
      <c r="DQ151" s="36">
        <v>0</v>
      </c>
      <c r="DR151" s="36">
        <v>0</v>
      </c>
      <c r="DS151" s="36">
        <v>0</v>
      </c>
      <c r="DT151" s="36">
        <v>0</v>
      </c>
      <c r="DU151" s="36">
        <v>0</v>
      </c>
      <c r="DV151" s="36">
        <v>0</v>
      </c>
      <c r="DW151" s="36">
        <v>0</v>
      </c>
      <c r="DX151" s="36">
        <v>0</v>
      </c>
      <c r="DY151" s="36">
        <v>0</v>
      </c>
      <c r="DZ151" s="36">
        <v>0</v>
      </c>
      <c r="EA151" s="36">
        <v>0</v>
      </c>
      <c r="EB151" s="36">
        <v>0</v>
      </c>
      <c r="EC151" s="36">
        <v>0</v>
      </c>
      <c r="ED151" s="36">
        <v>0</v>
      </c>
      <c r="EE151" s="36">
        <v>0</v>
      </c>
      <c r="EF151" s="36">
        <v>0</v>
      </c>
      <c r="EG151" s="36">
        <v>0</v>
      </c>
      <c r="EH151" s="36">
        <v>0</v>
      </c>
      <c r="EI151" s="36">
        <v>0</v>
      </c>
      <c r="EJ151" s="36">
        <v>0</v>
      </c>
      <c r="EK151" s="36">
        <v>0</v>
      </c>
      <c r="EL151" s="36">
        <v>0</v>
      </c>
      <c r="EM151" s="36">
        <v>0</v>
      </c>
      <c r="EN151" s="36">
        <v>0</v>
      </c>
      <c r="EO151" s="36">
        <v>0</v>
      </c>
      <c r="EP151" s="36">
        <v>0</v>
      </c>
      <c r="EQ151" s="36">
        <v>0</v>
      </c>
      <c r="ER151" s="36">
        <v>0</v>
      </c>
      <c r="ES151" s="36">
        <v>0</v>
      </c>
      <c r="ET151" s="36">
        <v>0</v>
      </c>
      <c r="EU151" s="36">
        <v>0</v>
      </c>
      <c r="EV151" s="36">
        <v>0</v>
      </c>
      <c r="EW151" s="36">
        <v>0</v>
      </c>
      <c r="EX151" s="36">
        <v>0</v>
      </c>
      <c r="EY151" s="36">
        <v>0</v>
      </c>
      <c r="EZ151" s="36">
        <v>0</v>
      </c>
      <c r="FA151" s="36">
        <v>0</v>
      </c>
      <c r="FB151" s="36">
        <v>0</v>
      </c>
      <c r="FC151" s="36">
        <v>0</v>
      </c>
      <c r="FD151" s="36">
        <v>0</v>
      </c>
      <c r="FE151" s="36">
        <v>0</v>
      </c>
      <c r="FF151" s="36">
        <v>0</v>
      </c>
      <c r="FG151" s="36">
        <v>0</v>
      </c>
      <c r="FH151" s="36">
        <v>0</v>
      </c>
      <c r="FI151" s="36">
        <v>0</v>
      </c>
      <c r="FJ151" s="36">
        <v>0</v>
      </c>
      <c r="FK151" s="36">
        <v>0</v>
      </c>
      <c r="FL151" s="36">
        <v>0</v>
      </c>
      <c r="FM151" s="36">
        <v>0</v>
      </c>
      <c r="FN151" s="36">
        <v>0</v>
      </c>
      <c r="FO151" s="36">
        <v>0</v>
      </c>
      <c r="FP151" s="36">
        <v>0</v>
      </c>
      <c r="FQ151" s="36">
        <v>0</v>
      </c>
      <c r="FR151" s="36">
        <v>0</v>
      </c>
      <c r="FS151" s="36">
        <v>0</v>
      </c>
      <c r="FT151" s="36">
        <v>0</v>
      </c>
      <c r="FU151" s="36">
        <v>0</v>
      </c>
      <c r="FV151" s="36">
        <v>0</v>
      </c>
      <c r="FW151" s="36">
        <v>0</v>
      </c>
      <c r="FX151" s="36">
        <v>0</v>
      </c>
      <c r="FY151" s="36">
        <v>0</v>
      </c>
      <c r="FZ151" s="36">
        <v>0</v>
      </c>
      <c r="GA151" s="36">
        <v>0</v>
      </c>
      <c r="GB151" s="36">
        <v>0</v>
      </c>
      <c r="GC151" s="36">
        <v>0</v>
      </c>
      <c r="GD151" s="36">
        <v>0</v>
      </c>
      <c r="GE151" s="36">
        <v>0</v>
      </c>
      <c r="GF151" s="36">
        <v>0</v>
      </c>
      <c r="GG151" s="42">
        <v>30.846278451652637</v>
      </c>
      <c r="GH151" s="42">
        <v>56.573068986913803</v>
      </c>
      <c r="GI151" s="42">
        <v>81.650581578787552</v>
      </c>
      <c r="GJ151" s="42">
        <v>88.464488904071629</v>
      </c>
      <c r="GK151" s="42">
        <v>114.78896658216341</v>
      </c>
      <c r="GL151" s="42">
        <v>131.54387587591188</v>
      </c>
      <c r="GM151" s="42">
        <v>193.52365929742021</v>
      </c>
      <c r="GN151" s="42">
        <v>332.18248185407151</v>
      </c>
      <c r="GO151" s="42">
        <v>359.85315386923463</v>
      </c>
      <c r="GP151" s="42">
        <v>72.061130208342959</v>
      </c>
      <c r="GQ151" s="42">
        <v>91.183273071888252</v>
      </c>
      <c r="GR151" s="42">
        <v>125.67575130562011</v>
      </c>
      <c r="GS151" s="42">
        <v>278.70088690210395</v>
      </c>
      <c r="GT151" s="42">
        <v>208.25755721827727</v>
      </c>
      <c r="GU151" s="36">
        <v>0</v>
      </c>
      <c r="GV151" s="36">
        <v>0</v>
      </c>
      <c r="GW151" s="36">
        <v>0</v>
      </c>
      <c r="GX151" s="36">
        <v>0</v>
      </c>
      <c r="GY151" s="36">
        <v>0</v>
      </c>
      <c r="GZ151" s="36">
        <v>0</v>
      </c>
      <c r="HA151" s="38">
        <v>1.1714291758835316E-9</v>
      </c>
      <c r="HB151" s="36">
        <v>0</v>
      </c>
      <c r="HC151" s="36">
        <f t="shared" si="2"/>
        <v>24560.250811977763</v>
      </c>
      <c r="HD151" s="36">
        <f>SUM(ER$5:ER$213)</f>
        <v>24560.250811977763</v>
      </c>
      <c r="HE151" s="41">
        <v>0</v>
      </c>
      <c r="HG151" s="43"/>
      <c r="HH151" s="43"/>
      <c r="HI151" s="43"/>
      <c r="HJ151" s="43"/>
      <c r="HK151" s="43"/>
      <c r="HL151" s="43"/>
      <c r="HM151" s="43"/>
      <c r="HN151" s="43"/>
      <c r="HO151" s="43"/>
      <c r="HP151" s="43"/>
      <c r="HQ151" s="43"/>
      <c r="HR151" s="43"/>
      <c r="HS151" s="43"/>
      <c r="HT151" s="43"/>
    </row>
    <row r="152" spans="1:228" hidden="1" outlineLevel="1" x14ac:dyDescent="0.2">
      <c r="A152" s="9" t="s">
        <v>1150</v>
      </c>
      <c r="B152" s="36">
        <v>0</v>
      </c>
      <c r="C152" s="36">
        <v>0</v>
      </c>
      <c r="D152" s="36">
        <v>0</v>
      </c>
      <c r="E152" s="36">
        <v>0</v>
      </c>
      <c r="F152" s="36">
        <v>0</v>
      </c>
      <c r="G152" s="36">
        <v>0</v>
      </c>
      <c r="H152" s="36">
        <v>0</v>
      </c>
      <c r="I152" s="36">
        <v>0</v>
      </c>
      <c r="J152" s="36">
        <v>0</v>
      </c>
      <c r="K152" s="36">
        <v>0</v>
      </c>
      <c r="L152" s="36">
        <v>0</v>
      </c>
      <c r="M152" s="36">
        <v>0</v>
      </c>
      <c r="N152" s="36">
        <v>0</v>
      </c>
      <c r="O152" s="36">
        <v>0</v>
      </c>
      <c r="P152" s="36">
        <v>0</v>
      </c>
      <c r="Q152" s="36">
        <v>0</v>
      </c>
      <c r="R152" s="36">
        <v>0</v>
      </c>
      <c r="S152" s="36">
        <v>0</v>
      </c>
      <c r="T152" s="36">
        <v>0</v>
      </c>
      <c r="U152" s="36">
        <v>0</v>
      </c>
      <c r="V152" s="36">
        <v>0</v>
      </c>
      <c r="W152" s="36">
        <v>0</v>
      </c>
      <c r="X152" s="36">
        <v>0</v>
      </c>
      <c r="Y152" s="36">
        <v>0</v>
      </c>
      <c r="Z152" s="36">
        <v>0</v>
      </c>
      <c r="AA152" s="36">
        <v>0</v>
      </c>
      <c r="AB152" s="36">
        <v>0</v>
      </c>
      <c r="AC152" s="36">
        <v>0</v>
      </c>
      <c r="AD152" s="36">
        <v>0</v>
      </c>
      <c r="AE152" s="36">
        <v>0</v>
      </c>
      <c r="AF152" s="36">
        <v>0</v>
      </c>
      <c r="AG152" s="36">
        <v>0</v>
      </c>
      <c r="AH152" s="36">
        <v>0</v>
      </c>
      <c r="AI152" s="36">
        <v>0</v>
      </c>
      <c r="AJ152" s="36">
        <v>0</v>
      </c>
      <c r="AK152" s="36">
        <v>0</v>
      </c>
      <c r="AL152" s="36">
        <v>0</v>
      </c>
      <c r="AM152" s="36">
        <v>0</v>
      </c>
      <c r="AN152" s="36">
        <v>0</v>
      </c>
      <c r="AO152" s="36">
        <v>0</v>
      </c>
      <c r="AP152" s="36">
        <v>0</v>
      </c>
      <c r="AQ152" s="36">
        <v>0</v>
      </c>
      <c r="AR152" s="36">
        <v>0</v>
      </c>
      <c r="AS152" s="36">
        <v>0</v>
      </c>
      <c r="AT152" s="36">
        <v>0</v>
      </c>
      <c r="AU152" s="36">
        <v>0</v>
      </c>
      <c r="AV152" s="36">
        <v>0</v>
      </c>
      <c r="AW152" s="36">
        <v>0</v>
      </c>
      <c r="AX152" s="36">
        <v>0</v>
      </c>
      <c r="AY152" s="36">
        <v>0</v>
      </c>
      <c r="AZ152" s="36">
        <v>0</v>
      </c>
      <c r="BA152" s="36">
        <v>0</v>
      </c>
      <c r="BB152" s="36">
        <v>0</v>
      </c>
      <c r="BC152" s="36">
        <v>0</v>
      </c>
      <c r="BD152" s="36">
        <v>0</v>
      </c>
      <c r="BE152" s="36">
        <v>0</v>
      </c>
      <c r="BF152" s="36">
        <v>0</v>
      </c>
      <c r="BG152" s="36">
        <v>0</v>
      </c>
      <c r="BH152" s="36">
        <v>0</v>
      </c>
      <c r="BI152" s="36">
        <v>0</v>
      </c>
      <c r="BJ152" s="36">
        <v>0</v>
      </c>
      <c r="BK152" s="36">
        <v>0</v>
      </c>
      <c r="BL152" s="36">
        <v>0</v>
      </c>
      <c r="BM152" s="36">
        <v>0</v>
      </c>
      <c r="BN152" s="36">
        <v>0</v>
      </c>
      <c r="BO152" s="36">
        <v>0</v>
      </c>
      <c r="BP152" s="36">
        <v>0</v>
      </c>
      <c r="BQ152" s="36">
        <v>0</v>
      </c>
      <c r="BR152" s="36">
        <v>0</v>
      </c>
      <c r="BS152" s="36">
        <v>0</v>
      </c>
      <c r="BT152" s="36">
        <v>0</v>
      </c>
      <c r="BU152" s="36">
        <v>0</v>
      </c>
      <c r="BV152" s="36">
        <v>0</v>
      </c>
      <c r="BW152" s="36">
        <v>0</v>
      </c>
      <c r="BX152" s="36">
        <v>0</v>
      </c>
      <c r="BY152" s="36">
        <v>0</v>
      </c>
      <c r="BZ152" s="36">
        <v>0</v>
      </c>
      <c r="CA152" s="36">
        <v>0</v>
      </c>
      <c r="CB152" s="36">
        <v>0</v>
      </c>
      <c r="CC152" s="36">
        <v>0</v>
      </c>
      <c r="CD152" s="36">
        <v>0</v>
      </c>
      <c r="CE152" s="36">
        <v>0</v>
      </c>
      <c r="CF152" s="36">
        <v>0</v>
      </c>
      <c r="CG152" s="36">
        <v>0</v>
      </c>
      <c r="CH152" s="36">
        <v>0</v>
      </c>
      <c r="CI152" s="36">
        <v>0</v>
      </c>
      <c r="CJ152" s="36">
        <v>0</v>
      </c>
      <c r="CK152" s="36">
        <v>0</v>
      </c>
      <c r="CL152" s="36">
        <v>0</v>
      </c>
      <c r="CM152" s="36">
        <v>0</v>
      </c>
      <c r="CN152" s="36">
        <v>0</v>
      </c>
      <c r="CO152" s="36">
        <v>0</v>
      </c>
      <c r="CP152" s="36">
        <v>0</v>
      </c>
      <c r="CQ152" s="36">
        <v>0</v>
      </c>
      <c r="CR152" s="36">
        <v>0</v>
      </c>
      <c r="CS152" s="36">
        <v>0</v>
      </c>
      <c r="CT152" s="36">
        <v>0</v>
      </c>
      <c r="CU152" s="36">
        <v>0</v>
      </c>
      <c r="CV152" s="36">
        <v>0</v>
      </c>
      <c r="CW152" s="36">
        <v>0</v>
      </c>
      <c r="CX152" s="36">
        <v>0</v>
      </c>
      <c r="CY152" s="36">
        <v>0</v>
      </c>
      <c r="CZ152" s="36">
        <v>0</v>
      </c>
      <c r="DA152" s="36">
        <v>0</v>
      </c>
      <c r="DB152" s="36">
        <v>0</v>
      </c>
      <c r="DC152" s="36">
        <v>0</v>
      </c>
      <c r="DD152" s="36">
        <v>0</v>
      </c>
      <c r="DE152" s="36">
        <v>0</v>
      </c>
      <c r="DF152" s="36">
        <v>0</v>
      </c>
      <c r="DG152" s="36">
        <v>0</v>
      </c>
      <c r="DH152" s="36">
        <v>0</v>
      </c>
      <c r="DI152" s="36">
        <v>0</v>
      </c>
      <c r="DJ152" s="36">
        <v>0</v>
      </c>
      <c r="DK152" s="36">
        <v>0</v>
      </c>
      <c r="DL152" s="36">
        <v>0</v>
      </c>
      <c r="DM152" s="36">
        <v>0</v>
      </c>
      <c r="DN152" s="36">
        <v>0</v>
      </c>
      <c r="DO152" s="36">
        <v>0</v>
      </c>
      <c r="DP152" s="36">
        <v>0</v>
      </c>
      <c r="DQ152" s="36">
        <v>0</v>
      </c>
      <c r="DR152" s="36">
        <v>0</v>
      </c>
      <c r="DS152" s="36">
        <v>0</v>
      </c>
      <c r="DT152" s="36">
        <v>0</v>
      </c>
      <c r="DU152" s="36">
        <v>0</v>
      </c>
      <c r="DV152" s="36">
        <v>0</v>
      </c>
      <c r="DW152" s="36">
        <v>0</v>
      </c>
      <c r="DX152" s="36">
        <v>0</v>
      </c>
      <c r="DY152" s="36">
        <v>0</v>
      </c>
      <c r="DZ152" s="36">
        <v>0</v>
      </c>
      <c r="EA152" s="36">
        <v>0</v>
      </c>
      <c r="EB152" s="36">
        <v>0</v>
      </c>
      <c r="EC152" s="36">
        <v>0</v>
      </c>
      <c r="ED152" s="36">
        <v>0</v>
      </c>
      <c r="EE152" s="36">
        <v>0</v>
      </c>
      <c r="EF152" s="36">
        <v>0</v>
      </c>
      <c r="EG152" s="36">
        <v>0</v>
      </c>
      <c r="EH152" s="36">
        <v>0</v>
      </c>
      <c r="EI152" s="36">
        <v>0</v>
      </c>
      <c r="EJ152" s="36">
        <v>0</v>
      </c>
      <c r="EK152" s="36">
        <v>0</v>
      </c>
      <c r="EL152" s="36">
        <v>0</v>
      </c>
      <c r="EM152" s="36">
        <v>0</v>
      </c>
      <c r="EN152" s="36">
        <v>0</v>
      </c>
      <c r="EO152" s="36">
        <v>0</v>
      </c>
      <c r="EP152" s="36">
        <v>0</v>
      </c>
      <c r="EQ152" s="36">
        <v>0</v>
      </c>
      <c r="ER152" s="36">
        <v>0</v>
      </c>
      <c r="ES152" s="36">
        <v>0</v>
      </c>
      <c r="ET152" s="36">
        <v>0</v>
      </c>
      <c r="EU152" s="36">
        <v>0</v>
      </c>
      <c r="EV152" s="36">
        <v>0</v>
      </c>
      <c r="EW152" s="36">
        <v>0</v>
      </c>
      <c r="EX152" s="36">
        <v>0</v>
      </c>
      <c r="EY152" s="36">
        <v>0</v>
      </c>
      <c r="EZ152" s="36">
        <v>0</v>
      </c>
      <c r="FA152" s="36">
        <v>0</v>
      </c>
      <c r="FB152" s="36">
        <v>0</v>
      </c>
      <c r="FC152" s="36">
        <v>0</v>
      </c>
      <c r="FD152" s="36">
        <v>0</v>
      </c>
      <c r="FE152" s="36">
        <v>0</v>
      </c>
      <c r="FF152" s="36">
        <v>0</v>
      </c>
      <c r="FG152" s="36">
        <v>0</v>
      </c>
      <c r="FH152" s="36">
        <v>0</v>
      </c>
      <c r="FI152" s="36">
        <v>0</v>
      </c>
      <c r="FJ152" s="36">
        <v>0</v>
      </c>
      <c r="FK152" s="36">
        <v>0</v>
      </c>
      <c r="FL152" s="36">
        <v>0</v>
      </c>
      <c r="FM152" s="36">
        <v>0</v>
      </c>
      <c r="FN152" s="36">
        <v>0</v>
      </c>
      <c r="FO152" s="36">
        <v>28332.010975322366</v>
      </c>
      <c r="FP152" s="36">
        <v>0</v>
      </c>
      <c r="FQ152" s="36">
        <v>0</v>
      </c>
      <c r="FR152" s="36">
        <v>0</v>
      </c>
      <c r="FS152" s="36">
        <v>0</v>
      </c>
      <c r="FT152" s="36">
        <v>0</v>
      </c>
      <c r="FU152" s="36">
        <v>0</v>
      </c>
      <c r="FV152" s="36">
        <v>0</v>
      </c>
      <c r="FW152" s="36">
        <v>0</v>
      </c>
      <c r="FX152" s="36">
        <v>0</v>
      </c>
      <c r="FY152" s="36">
        <v>0</v>
      </c>
      <c r="FZ152" s="36">
        <v>0</v>
      </c>
      <c r="GA152" s="36">
        <v>0</v>
      </c>
      <c r="GB152" s="36">
        <v>0</v>
      </c>
      <c r="GC152" s="36">
        <v>0</v>
      </c>
      <c r="GD152" s="36">
        <v>0</v>
      </c>
      <c r="GE152" s="36">
        <v>0</v>
      </c>
      <c r="GF152" s="36">
        <v>0</v>
      </c>
      <c r="GG152" s="42">
        <v>0</v>
      </c>
      <c r="GH152" s="42">
        <v>0</v>
      </c>
      <c r="GI152" s="42">
        <v>0</v>
      </c>
      <c r="GJ152" s="42">
        <v>0</v>
      </c>
      <c r="GK152" s="42">
        <v>0</v>
      </c>
      <c r="GL152" s="42">
        <v>0</v>
      </c>
      <c r="GM152" s="42">
        <v>0</v>
      </c>
      <c r="GN152" s="42">
        <v>0</v>
      </c>
      <c r="GO152" s="42">
        <v>0</v>
      </c>
      <c r="GP152" s="42">
        <v>0</v>
      </c>
      <c r="GQ152" s="42">
        <v>0</v>
      </c>
      <c r="GR152" s="42">
        <v>0</v>
      </c>
      <c r="GS152" s="42">
        <v>0</v>
      </c>
      <c r="GT152" s="42">
        <v>0</v>
      </c>
      <c r="GU152" s="36">
        <v>0</v>
      </c>
      <c r="GV152" s="36">
        <v>0</v>
      </c>
      <c r="GW152" s="36">
        <v>0</v>
      </c>
      <c r="GX152" s="36">
        <v>0</v>
      </c>
      <c r="GY152" s="36">
        <v>0</v>
      </c>
      <c r="GZ152" s="36">
        <v>0</v>
      </c>
      <c r="HA152" s="38">
        <v>0</v>
      </c>
      <c r="HB152" s="36">
        <v>0</v>
      </c>
      <c r="HC152" s="36">
        <f t="shared" si="2"/>
        <v>28332.010975322366</v>
      </c>
      <c r="HD152" s="36">
        <f>SUM(ES$5:ES$213)</f>
        <v>28332.010975322366</v>
      </c>
      <c r="HE152" s="41">
        <v>0</v>
      </c>
      <c r="HG152" s="43"/>
      <c r="HH152" s="43"/>
      <c r="HI152" s="43"/>
      <c r="HJ152" s="43"/>
      <c r="HK152" s="43"/>
      <c r="HL152" s="43"/>
      <c r="HM152" s="43"/>
      <c r="HN152" s="43"/>
      <c r="HO152" s="43"/>
      <c r="HP152" s="43"/>
      <c r="HQ152" s="43"/>
      <c r="HR152" s="43"/>
      <c r="HS152" s="43"/>
      <c r="HT152" s="43"/>
    </row>
    <row r="153" spans="1:228" hidden="1" outlineLevel="1" x14ac:dyDescent="0.2">
      <c r="A153" s="9" t="s">
        <v>1156</v>
      </c>
      <c r="B153" s="36">
        <v>0</v>
      </c>
      <c r="C153" s="36">
        <v>0</v>
      </c>
      <c r="D153" s="36">
        <v>0</v>
      </c>
      <c r="E153" s="36">
        <v>0</v>
      </c>
      <c r="F153" s="36">
        <v>0</v>
      </c>
      <c r="G153" s="36">
        <v>0</v>
      </c>
      <c r="H153" s="36">
        <v>0</v>
      </c>
      <c r="I153" s="36">
        <v>0</v>
      </c>
      <c r="J153" s="36">
        <v>0</v>
      </c>
      <c r="K153" s="36">
        <v>0</v>
      </c>
      <c r="L153" s="36">
        <v>0</v>
      </c>
      <c r="M153" s="36">
        <v>0</v>
      </c>
      <c r="N153" s="36">
        <v>0</v>
      </c>
      <c r="O153" s="36">
        <v>0</v>
      </c>
      <c r="P153" s="36">
        <v>0</v>
      </c>
      <c r="Q153" s="36">
        <v>0</v>
      </c>
      <c r="R153" s="36">
        <v>0</v>
      </c>
      <c r="S153" s="36">
        <v>0</v>
      </c>
      <c r="T153" s="36">
        <v>0</v>
      </c>
      <c r="U153" s="36">
        <v>0</v>
      </c>
      <c r="V153" s="36">
        <v>0</v>
      </c>
      <c r="W153" s="36">
        <v>0</v>
      </c>
      <c r="X153" s="36">
        <v>0</v>
      </c>
      <c r="Y153" s="36">
        <v>0</v>
      </c>
      <c r="Z153" s="36">
        <v>0</v>
      </c>
      <c r="AA153" s="36">
        <v>0</v>
      </c>
      <c r="AB153" s="36">
        <v>0</v>
      </c>
      <c r="AC153" s="36">
        <v>0</v>
      </c>
      <c r="AD153" s="36">
        <v>0</v>
      </c>
      <c r="AE153" s="36">
        <v>0</v>
      </c>
      <c r="AF153" s="36">
        <v>0</v>
      </c>
      <c r="AG153" s="36">
        <v>0</v>
      </c>
      <c r="AH153" s="36">
        <v>0</v>
      </c>
      <c r="AI153" s="36">
        <v>0</v>
      </c>
      <c r="AJ153" s="36">
        <v>0</v>
      </c>
      <c r="AK153" s="36">
        <v>0</v>
      </c>
      <c r="AL153" s="36">
        <v>0</v>
      </c>
      <c r="AM153" s="36">
        <v>0</v>
      </c>
      <c r="AN153" s="36">
        <v>0</v>
      </c>
      <c r="AO153" s="36">
        <v>0</v>
      </c>
      <c r="AP153" s="36">
        <v>0</v>
      </c>
      <c r="AQ153" s="36">
        <v>0</v>
      </c>
      <c r="AR153" s="36">
        <v>0</v>
      </c>
      <c r="AS153" s="36">
        <v>0</v>
      </c>
      <c r="AT153" s="36">
        <v>0</v>
      </c>
      <c r="AU153" s="36">
        <v>0</v>
      </c>
      <c r="AV153" s="36">
        <v>0</v>
      </c>
      <c r="AW153" s="36">
        <v>0</v>
      </c>
      <c r="AX153" s="36">
        <v>0</v>
      </c>
      <c r="AY153" s="36">
        <v>0</v>
      </c>
      <c r="AZ153" s="36">
        <v>0</v>
      </c>
      <c r="BA153" s="36">
        <v>0</v>
      </c>
      <c r="BB153" s="36">
        <v>0</v>
      </c>
      <c r="BC153" s="36">
        <v>0</v>
      </c>
      <c r="BD153" s="36">
        <v>0</v>
      </c>
      <c r="BE153" s="36">
        <v>0</v>
      </c>
      <c r="BF153" s="36">
        <v>0</v>
      </c>
      <c r="BG153" s="36">
        <v>0</v>
      </c>
      <c r="BH153" s="36">
        <v>0</v>
      </c>
      <c r="BI153" s="36">
        <v>0</v>
      </c>
      <c r="BJ153" s="36">
        <v>0</v>
      </c>
      <c r="BK153" s="36">
        <v>0</v>
      </c>
      <c r="BL153" s="36">
        <v>0</v>
      </c>
      <c r="BM153" s="36">
        <v>0</v>
      </c>
      <c r="BN153" s="36">
        <v>0</v>
      </c>
      <c r="BO153" s="36">
        <v>0</v>
      </c>
      <c r="BP153" s="36">
        <v>0</v>
      </c>
      <c r="BQ153" s="36">
        <v>0</v>
      </c>
      <c r="BR153" s="36">
        <v>0</v>
      </c>
      <c r="BS153" s="36">
        <v>0</v>
      </c>
      <c r="BT153" s="36">
        <v>0</v>
      </c>
      <c r="BU153" s="36">
        <v>0</v>
      </c>
      <c r="BV153" s="36">
        <v>0</v>
      </c>
      <c r="BW153" s="36">
        <v>0</v>
      </c>
      <c r="BX153" s="36">
        <v>0</v>
      </c>
      <c r="BY153" s="36">
        <v>0</v>
      </c>
      <c r="BZ153" s="36">
        <v>0</v>
      </c>
      <c r="CA153" s="36">
        <v>0</v>
      </c>
      <c r="CB153" s="36">
        <v>0</v>
      </c>
      <c r="CC153" s="36">
        <v>0</v>
      </c>
      <c r="CD153" s="36">
        <v>0</v>
      </c>
      <c r="CE153" s="36">
        <v>0</v>
      </c>
      <c r="CF153" s="36">
        <v>0</v>
      </c>
      <c r="CG153" s="36">
        <v>0</v>
      </c>
      <c r="CH153" s="36">
        <v>0</v>
      </c>
      <c r="CI153" s="36">
        <v>0</v>
      </c>
      <c r="CJ153" s="36">
        <v>0</v>
      </c>
      <c r="CK153" s="36">
        <v>0</v>
      </c>
      <c r="CL153" s="36">
        <v>0</v>
      </c>
      <c r="CM153" s="36">
        <v>0</v>
      </c>
      <c r="CN153" s="36">
        <v>0</v>
      </c>
      <c r="CO153" s="36">
        <v>0</v>
      </c>
      <c r="CP153" s="36">
        <v>0</v>
      </c>
      <c r="CQ153" s="36">
        <v>0</v>
      </c>
      <c r="CR153" s="36">
        <v>0</v>
      </c>
      <c r="CS153" s="36">
        <v>0</v>
      </c>
      <c r="CT153" s="36">
        <v>0</v>
      </c>
      <c r="CU153" s="36">
        <v>0</v>
      </c>
      <c r="CV153" s="36">
        <v>0</v>
      </c>
      <c r="CW153" s="36">
        <v>0</v>
      </c>
      <c r="CX153" s="36">
        <v>0</v>
      </c>
      <c r="CY153" s="36">
        <v>0</v>
      </c>
      <c r="CZ153" s="36">
        <v>0</v>
      </c>
      <c r="DA153" s="36">
        <v>0</v>
      </c>
      <c r="DB153" s="36">
        <v>0</v>
      </c>
      <c r="DC153" s="36">
        <v>0</v>
      </c>
      <c r="DD153" s="36">
        <v>0</v>
      </c>
      <c r="DE153" s="36">
        <v>0</v>
      </c>
      <c r="DF153" s="36">
        <v>0</v>
      </c>
      <c r="DG153" s="36">
        <v>0</v>
      </c>
      <c r="DH153" s="36">
        <v>0</v>
      </c>
      <c r="DI153" s="36">
        <v>0</v>
      </c>
      <c r="DJ153" s="36">
        <v>0</v>
      </c>
      <c r="DK153" s="36">
        <v>0</v>
      </c>
      <c r="DL153" s="36">
        <v>0</v>
      </c>
      <c r="DM153" s="36">
        <v>0</v>
      </c>
      <c r="DN153" s="36">
        <v>0</v>
      </c>
      <c r="DO153" s="36">
        <v>0</v>
      </c>
      <c r="DP153" s="36">
        <v>0</v>
      </c>
      <c r="DQ153" s="36">
        <v>0</v>
      </c>
      <c r="DR153" s="36">
        <v>0</v>
      </c>
      <c r="DS153" s="36">
        <v>0</v>
      </c>
      <c r="DT153" s="36">
        <v>0</v>
      </c>
      <c r="DU153" s="36">
        <v>0</v>
      </c>
      <c r="DV153" s="36">
        <v>0</v>
      </c>
      <c r="DW153" s="36">
        <v>0</v>
      </c>
      <c r="DX153" s="36">
        <v>0</v>
      </c>
      <c r="DY153" s="36">
        <v>0</v>
      </c>
      <c r="DZ153" s="36">
        <v>0</v>
      </c>
      <c r="EA153" s="36">
        <v>0</v>
      </c>
      <c r="EB153" s="36">
        <v>0</v>
      </c>
      <c r="EC153" s="36">
        <v>0</v>
      </c>
      <c r="ED153" s="36">
        <v>0</v>
      </c>
      <c r="EE153" s="36">
        <v>0</v>
      </c>
      <c r="EF153" s="36">
        <v>0</v>
      </c>
      <c r="EG153" s="36">
        <v>0</v>
      </c>
      <c r="EH153" s="36">
        <v>0</v>
      </c>
      <c r="EI153" s="36">
        <v>0</v>
      </c>
      <c r="EJ153" s="36">
        <v>0</v>
      </c>
      <c r="EK153" s="36">
        <v>0</v>
      </c>
      <c r="EL153" s="36">
        <v>0</v>
      </c>
      <c r="EM153" s="36">
        <v>0</v>
      </c>
      <c r="EN153" s="36">
        <v>0</v>
      </c>
      <c r="EO153" s="36">
        <v>0</v>
      </c>
      <c r="EP153" s="36">
        <v>0</v>
      </c>
      <c r="EQ153" s="36">
        <v>0</v>
      </c>
      <c r="ER153" s="36">
        <v>0</v>
      </c>
      <c r="ES153" s="36">
        <v>0</v>
      </c>
      <c r="ET153" s="36">
        <v>0</v>
      </c>
      <c r="EU153" s="36">
        <v>0</v>
      </c>
      <c r="EV153" s="36">
        <v>0</v>
      </c>
      <c r="EW153" s="36">
        <v>0</v>
      </c>
      <c r="EX153" s="36">
        <v>0</v>
      </c>
      <c r="EY153" s="36">
        <v>0</v>
      </c>
      <c r="EZ153" s="36">
        <v>0</v>
      </c>
      <c r="FA153" s="36">
        <v>0</v>
      </c>
      <c r="FB153" s="36">
        <v>0</v>
      </c>
      <c r="FC153" s="36">
        <v>0</v>
      </c>
      <c r="FD153" s="36">
        <v>0</v>
      </c>
      <c r="FE153" s="36">
        <v>0</v>
      </c>
      <c r="FF153" s="36">
        <v>0</v>
      </c>
      <c r="FG153" s="36">
        <v>0</v>
      </c>
      <c r="FH153" s="36">
        <v>0</v>
      </c>
      <c r="FI153" s="36">
        <v>0</v>
      </c>
      <c r="FJ153" s="36">
        <v>0</v>
      </c>
      <c r="FK153" s="36">
        <v>0</v>
      </c>
      <c r="FL153" s="36">
        <v>0</v>
      </c>
      <c r="FM153" s="36">
        <v>0</v>
      </c>
      <c r="FN153" s="36">
        <v>0</v>
      </c>
      <c r="FO153" s="36">
        <v>3207.9258476772629</v>
      </c>
      <c r="FP153" s="36">
        <v>0</v>
      </c>
      <c r="FQ153" s="36">
        <v>0</v>
      </c>
      <c r="FR153" s="36">
        <v>0</v>
      </c>
      <c r="FS153" s="36">
        <v>0</v>
      </c>
      <c r="FT153" s="36">
        <v>0</v>
      </c>
      <c r="FU153" s="36">
        <v>0</v>
      </c>
      <c r="FV153" s="36">
        <v>0</v>
      </c>
      <c r="FW153" s="36">
        <v>0</v>
      </c>
      <c r="FX153" s="36">
        <v>0</v>
      </c>
      <c r="FY153" s="36">
        <v>0</v>
      </c>
      <c r="FZ153" s="36">
        <v>0</v>
      </c>
      <c r="GA153" s="36">
        <v>0</v>
      </c>
      <c r="GB153" s="36">
        <v>0</v>
      </c>
      <c r="GC153" s="36">
        <v>0</v>
      </c>
      <c r="GD153" s="36">
        <v>0</v>
      </c>
      <c r="GE153" s="36">
        <v>0</v>
      </c>
      <c r="GF153" s="36">
        <v>0</v>
      </c>
      <c r="GG153" s="42">
        <v>0</v>
      </c>
      <c r="GH153" s="42">
        <v>0</v>
      </c>
      <c r="GI153" s="42">
        <v>0</v>
      </c>
      <c r="GJ153" s="42">
        <v>0</v>
      </c>
      <c r="GK153" s="42">
        <v>0</v>
      </c>
      <c r="GL153" s="42">
        <v>0</v>
      </c>
      <c r="GM153" s="42">
        <v>0</v>
      </c>
      <c r="GN153" s="42">
        <v>0</v>
      </c>
      <c r="GO153" s="42">
        <v>0</v>
      </c>
      <c r="GP153" s="42">
        <v>0</v>
      </c>
      <c r="GQ153" s="42">
        <v>0</v>
      </c>
      <c r="GR153" s="42">
        <v>0</v>
      </c>
      <c r="GS153" s="42">
        <v>0</v>
      </c>
      <c r="GT153" s="42">
        <v>0</v>
      </c>
      <c r="GU153" s="36">
        <v>0</v>
      </c>
      <c r="GV153" s="36">
        <v>0</v>
      </c>
      <c r="GW153" s="36">
        <v>0</v>
      </c>
      <c r="GX153" s="36">
        <v>0</v>
      </c>
      <c r="GY153" s="36">
        <v>0</v>
      </c>
      <c r="GZ153" s="36">
        <v>0</v>
      </c>
      <c r="HA153" s="38">
        <v>0</v>
      </c>
      <c r="HB153" s="36">
        <v>0</v>
      </c>
      <c r="HC153" s="36">
        <f t="shared" si="2"/>
        <v>3207.9258476772629</v>
      </c>
      <c r="HD153" s="36">
        <f>SUM(ET$5:ET$213)</f>
        <v>3207.9258476772634</v>
      </c>
      <c r="HE153" s="41">
        <v>0</v>
      </c>
      <c r="HG153" s="43"/>
      <c r="HH153" s="43"/>
      <c r="HI153" s="43"/>
      <c r="HJ153" s="43"/>
      <c r="HK153" s="43"/>
      <c r="HL153" s="43"/>
      <c r="HM153" s="43"/>
      <c r="HN153" s="43"/>
      <c r="HO153" s="43"/>
      <c r="HP153" s="43"/>
      <c r="HQ153" s="43"/>
      <c r="HR153" s="43"/>
      <c r="HS153" s="43"/>
      <c r="HT153" s="43"/>
    </row>
    <row r="154" spans="1:228" hidden="1" outlineLevel="1" x14ac:dyDescent="0.2">
      <c r="A154" s="9" t="s">
        <v>1163</v>
      </c>
      <c r="B154" s="36">
        <v>6163.9765322959493</v>
      </c>
      <c r="C154" s="36">
        <v>426.27267576946042</v>
      </c>
      <c r="D154" s="36">
        <v>271.11827271701264</v>
      </c>
      <c r="E154" s="36">
        <v>1082.6859774385896</v>
      </c>
      <c r="F154" s="36">
        <v>368.74860550868414</v>
      </c>
      <c r="G154" s="36">
        <v>2832.7999662059769</v>
      </c>
      <c r="H154" s="36">
        <v>731.91487970805645</v>
      </c>
      <c r="I154" s="36">
        <v>947.92571789549834</v>
      </c>
      <c r="J154" s="36">
        <v>1586.959065756864</v>
      </c>
      <c r="K154" s="36">
        <v>69.663999669768003</v>
      </c>
      <c r="L154" s="36">
        <v>64.602248043020182</v>
      </c>
      <c r="M154" s="36">
        <v>9.1848516325297567</v>
      </c>
      <c r="N154" s="36">
        <v>12.073765228834082</v>
      </c>
      <c r="O154" s="36">
        <v>139.48009797548013</v>
      </c>
      <c r="P154" s="36">
        <v>148.84702500552174</v>
      </c>
      <c r="Q154" s="36">
        <v>159.87980055445644</v>
      </c>
      <c r="R154" s="36">
        <v>353.37701376986399</v>
      </c>
      <c r="S154" s="36">
        <v>566.98142852781632</v>
      </c>
      <c r="T154" s="36">
        <v>412.51701713596674</v>
      </c>
      <c r="U154" s="36">
        <v>78.90164811103962</v>
      </c>
      <c r="V154" s="36">
        <v>204.43545363796096</v>
      </c>
      <c r="W154" s="36">
        <v>92.82464925365008</v>
      </c>
      <c r="X154" s="36">
        <v>258.20365623103066</v>
      </c>
      <c r="Y154" s="36">
        <v>559.84377600764856</v>
      </c>
      <c r="Z154" s="36">
        <v>220.50268546343233</v>
      </c>
      <c r="AA154" s="36">
        <v>404.60147768337947</v>
      </c>
      <c r="AB154" s="36">
        <v>363.00743530067814</v>
      </c>
      <c r="AC154" s="36">
        <v>34.768810180521797</v>
      </c>
      <c r="AD154" s="36">
        <v>54.462524656123946</v>
      </c>
      <c r="AE154" s="36">
        <v>1122.4953622013784</v>
      </c>
      <c r="AF154" s="36">
        <v>125.74390693873727</v>
      </c>
      <c r="AG154" s="36">
        <v>37.201784115978292</v>
      </c>
      <c r="AH154" s="36">
        <v>99.389942323073683</v>
      </c>
      <c r="AI154" s="36">
        <v>2375.0296819306436</v>
      </c>
      <c r="AJ154" s="36">
        <v>108.85363210189522</v>
      </c>
      <c r="AK154" s="36">
        <v>2219.2920909567042</v>
      </c>
      <c r="AL154" s="36">
        <v>3382.8048411756718</v>
      </c>
      <c r="AM154" s="36">
        <v>3499.9770269636665</v>
      </c>
      <c r="AN154" s="36">
        <v>2079.2620537726516</v>
      </c>
      <c r="AO154" s="36">
        <v>912.26821303340864</v>
      </c>
      <c r="AP154" s="36">
        <v>1738.9689603651705</v>
      </c>
      <c r="AQ154" s="36">
        <v>27.957677793816668</v>
      </c>
      <c r="AR154" s="36">
        <v>296.55451290662404</v>
      </c>
      <c r="AS154" s="36">
        <v>685.39610982844147</v>
      </c>
      <c r="AT154" s="36">
        <v>1825.9471737107742</v>
      </c>
      <c r="AU154" s="36">
        <v>2058.3880428084249</v>
      </c>
      <c r="AV154" s="36">
        <v>6804</v>
      </c>
      <c r="AW154" s="36">
        <v>7044.5677642292139</v>
      </c>
      <c r="AX154" s="36">
        <v>27165.839606587124</v>
      </c>
      <c r="AY154" s="36">
        <v>775.95103600334596</v>
      </c>
      <c r="AZ154" s="36">
        <v>990.20928637388272</v>
      </c>
      <c r="BA154" s="36">
        <v>105.07101864531217</v>
      </c>
      <c r="BB154" s="36">
        <v>4990.3600372941664</v>
      </c>
      <c r="BC154" s="36">
        <v>6282.5486741693639</v>
      </c>
      <c r="BD154" s="36">
        <v>978.24224558960293</v>
      </c>
      <c r="BE154" s="36">
        <v>1701.1831496758841</v>
      </c>
      <c r="BF154" s="36">
        <v>174.36225831715842</v>
      </c>
      <c r="BG154" s="36">
        <v>159.58679920190559</v>
      </c>
      <c r="BH154" s="36">
        <v>1136.1470726532416</v>
      </c>
      <c r="BI154" s="36">
        <v>49.973494982053694</v>
      </c>
      <c r="BJ154" s="36">
        <v>170.21531338587118</v>
      </c>
      <c r="BK154" s="36">
        <v>0</v>
      </c>
      <c r="BL154" s="36">
        <v>0</v>
      </c>
      <c r="BM154" s="36">
        <v>0</v>
      </c>
      <c r="BN154" s="36">
        <v>0</v>
      </c>
      <c r="BO154" s="36">
        <v>0</v>
      </c>
      <c r="BP154" s="36">
        <v>0</v>
      </c>
      <c r="BQ154" s="36">
        <v>0</v>
      </c>
      <c r="BR154" s="36">
        <v>0</v>
      </c>
      <c r="BS154" s="36">
        <v>0</v>
      </c>
      <c r="BT154" s="36">
        <v>0</v>
      </c>
      <c r="BU154" s="36">
        <v>0</v>
      </c>
      <c r="BV154" s="36">
        <v>0</v>
      </c>
      <c r="BW154" s="36">
        <v>0</v>
      </c>
      <c r="BX154" s="36">
        <v>0</v>
      </c>
      <c r="BY154" s="36">
        <v>0</v>
      </c>
      <c r="BZ154" s="36">
        <v>0</v>
      </c>
      <c r="CA154" s="36">
        <v>0</v>
      </c>
      <c r="CB154" s="36">
        <v>0</v>
      </c>
      <c r="CC154" s="36">
        <v>0</v>
      </c>
      <c r="CD154" s="36">
        <v>0</v>
      </c>
      <c r="CE154" s="36">
        <v>0</v>
      </c>
      <c r="CF154" s="36">
        <v>0</v>
      </c>
      <c r="CG154" s="36">
        <v>0</v>
      </c>
      <c r="CH154" s="36">
        <v>0</v>
      </c>
      <c r="CI154" s="36">
        <v>0</v>
      </c>
      <c r="CJ154" s="36">
        <v>0</v>
      </c>
      <c r="CK154" s="36">
        <v>0</v>
      </c>
      <c r="CL154" s="36">
        <v>0</v>
      </c>
      <c r="CM154" s="36">
        <v>0</v>
      </c>
      <c r="CN154" s="36">
        <v>0</v>
      </c>
      <c r="CO154" s="36">
        <v>0</v>
      </c>
      <c r="CP154" s="36">
        <v>0</v>
      </c>
      <c r="CQ154" s="36">
        <v>0</v>
      </c>
      <c r="CR154" s="36">
        <v>0</v>
      </c>
      <c r="CS154" s="36">
        <v>0</v>
      </c>
      <c r="CT154" s="36">
        <v>0</v>
      </c>
      <c r="CU154" s="36">
        <v>0</v>
      </c>
      <c r="CV154" s="36">
        <v>0</v>
      </c>
      <c r="CW154" s="36">
        <v>0</v>
      </c>
      <c r="CX154" s="36">
        <v>0</v>
      </c>
      <c r="CY154" s="36">
        <v>0</v>
      </c>
      <c r="CZ154" s="36">
        <v>0</v>
      </c>
      <c r="DA154" s="36">
        <v>0</v>
      </c>
      <c r="DB154" s="36">
        <v>0</v>
      </c>
      <c r="DC154" s="36">
        <v>0</v>
      </c>
      <c r="DD154" s="36">
        <v>0</v>
      </c>
      <c r="DE154" s="36">
        <v>0</v>
      </c>
      <c r="DF154" s="36">
        <v>0</v>
      </c>
      <c r="DG154" s="36">
        <v>0</v>
      </c>
      <c r="DH154" s="36">
        <v>0</v>
      </c>
      <c r="DI154" s="36">
        <v>0</v>
      </c>
      <c r="DJ154" s="36">
        <v>0</v>
      </c>
      <c r="DK154" s="36">
        <v>0</v>
      </c>
      <c r="DL154" s="36">
        <v>0</v>
      </c>
      <c r="DM154" s="36">
        <v>0</v>
      </c>
      <c r="DN154" s="36">
        <v>0</v>
      </c>
      <c r="DO154" s="36">
        <v>0</v>
      </c>
      <c r="DP154" s="36">
        <v>0</v>
      </c>
      <c r="DQ154" s="36">
        <v>0</v>
      </c>
      <c r="DR154" s="36">
        <v>0</v>
      </c>
      <c r="DS154" s="36">
        <v>0</v>
      </c>
      <c r="DT154" s="36">
        <v>0</v>
      </c>
      <c r="DU154" s="36">
        <v>0</v>
      </c>
      <c r="DV154" s="36">
        <v>0</v>
      </c>
      <c r="DW154" s="36">
        <v>0</v>
      </c>
      <c r="DX154" s="36">
        <v>0</v>
      </c>
      <c r="DY154" s="36">
        <v>0</v>
      </c>
      <c r="DZ154" s="36">
        <v>0</v>
      </c>
      <c r="EA154" s="36">
        <v>0</v>
      </c>
      <c r="EB154" s="36">
        <v>0</v>
      </c>
      <c r="EC154" s="36">
        <v>0</v>
      </c>
      <c r="ED154" s="36">
        <v>0</v>
      </c>
      <c r="EE154" s="36">
        <v>0</v>
      </c>
      <c r="EF154" s="36">
        <v>0</v>
      </c>
      <c r="EG154" s="36">
        <v>0</v>
      </c>
      <c r="EH154" s="36">
        <v>0</v>
      </c>
      <c r="EI154" s="36">
        <v>0</v>
      </c>
      <c r="EJ154" s="36">
        <v>0</v>
      </c>
      <c r="EK154" s="36">
        <v>0</v>
      </c>
      <c r="EL154" s="36">
        <v>0</v>
      </c>
      <c r="EM154" s="36">
        <v>0</v>
      </c>
      <c r="EN154" s="36">
        <v>0</v>
      </c>
      <c r="EO154" s="36">
        <v>0</v>
      </c>
      <c r="EP154" s="36">
        <v>0</v>
      </c>
      <c r="EQ154" s="36">
        <v>0</v>
      </c>
      <c r="ER154" s="36">
        <v>0</v>
      </c>
      <c r="ES154" s="36">
        <v>0</v>
      </c>
      <c r="ET154" s="36">
        <v>0</v>
      </c>
      <c r="EU154" s="36">
        <v>0</v>
      </c>
      <c r="EV154" s="36">
        <v>0</v>
      </c>
      <c r="EW154" s="36">
        <v>0</v>
      </c>
      <c r="EX154" s="36">
        <v>0</v>
      </c>
      <c r="EY154" s="36">
        <v>0</v>
      </c>
      <c r="EZ154" s="36">
        <v>0</v>
      </c>
      <c r="FA154" s="36">
        <v>0</v>
      </c>
      <c r="FB154" s="36">
        <v>0</v>
      </c>
      <c r="FC154" s="36">
        <v>0</v>
      </c>
      <c r="FD154" s="36">
        <v>0</v>
      </c>
      <c r="FE154" s="36">
        <v>0</v>
      </c>
      <c r="FF154" s="36">
        <v>0</v>
      </c>
      <c r="FG154" s="36">
        <v>0</v>
      </c>
      <c r="FH154" s="36">
        <v>0</v>
      </c>
      <c r="FI154" s="36">
        <v>0</v>
      </c>
      <c r="FJ154" s="36">
        <v>0</v>
      </c>
      <c r="FK154" s="36">
        <v>0</v>
      </c>
      <c r="FL154" s="36">
        <v>0</v>
      </c>
      <c r="FM154" s="36">
        <v>0</v>
      </c>
      <c r="FN154" s="36">
        <v>0</v>
      </c>
      <c r="FO154" s="36">
        <v>0</v>
      </c>
      <c r="FP154" s="36">
        <v>0</v>
      </c>
      <c r="FQ154" s="36">
        <v>0</v>
      </c>
      <c r="FR154" s="36">
        <v>0</v>
      </c>
      <c r="FS154" s="36">
        <v>0</v>
      </c>
      <c r="FT154" s="36">
        <v>0</v>
      </c>
      <c r="FU154" s="36">
        <v>0</v>
      </c>
      <c r="FV154" s="36">
        <v>0</v>
      </c>
      <c r="FW154" s="36">
        <v>0</v>
      </c>
      <c r="FX154" s="36">
        <v>0</v>
      </c>
      <c r="FY154" s="36">
        <v>0</v>
      </c>
      <c r="FZ154" s="36">
        <v>0</v>
      </c>
      <c r="GA154" s="36">
        <v>0</v>
      </c>
      <c r="GB154" s="36">
        <v>0</v>
      </c>
      <c r="GC154" s="36">
        <v>0</v>
      </c>
      <c r="GD154" s="36">
        <v>0</v>
      </c>
      <c r="GE154" s="36">
        <v>0</v>
      </c>
      <c r="GF154" s="36">
        <v>0</v>
      </c>
      <c r="GG154" s="42">
        <v>336.14319006824138</v>
      </c>
      <c r="GH154" s="42">
        <v>724.5697601714387</v>
      </c>
      <c r="GI154" s="42">
        <v>1391.777512803382</v>
      </c>
      <c r="GJ154" s="42">
        <v>1692.8861805154702</v>
      </c>
      <c r="GK154" s="42">
        <v>2684.2946174303715</v>
      </c>
      <c r="GL154" s="42">
        <v>3881.5554976581511</v>
      </c>
      <c r="GM154" s="42">
        <v>5302.044048353715</v>
      </c>
      <c r="GN154" s="42">
        <v>7508.5840707162097</v>
      </c>
      <c r="GO154" s="42">
        <v>15571.620589807379</v>
      </c>
      <c r="GP154" s="42">
        <v>4242.0099645616701</v>
      </c>
      <c r="GQ154" s="42">
        <v>4937.5458360047769</v>
      </c>
      <c r="GR154" s="42">
        <v>5339.0396149004555</v>
      </c>
      <c r="GS154" s="42">
        <v>5103.6670045197206</v>
      </c>
      <c r="GT154" s="42">
        <v>11634.632161589016</v>
      </c>
      <c r="GU154" s="36">
        <v>0</v>
      </c>
      <c r="GV154" s="36">
        <v>0</v>
      </c>
      <c r="GW154" s="36">
        <v>0</v>
      </c>
      <c r="GX154" s="36">
        <v>0</v>
      </c>
      <c r="GY154" s="36">
        <v>0</v>
      </c>
      <c r="GZ154" s="36">
        <v>0</v>
      </c>
      <c r="HA154" s="38">
        <v>-2.2406195173971355E-2</v>
      </c>
      <c r="HB154" s="36">
        <v>4115.8328360000005</v>
      </c>
      <c r="HC154" s="36">
        <f t="shared" si="2"/>
        <v>174210.53030630478</v>
      </c>
      <c r="HD154" s="36">
        <f>SUM(EU$5:EU$213)</f>
        <v>174210.53030630478</v>
      </c>
      <c r="HE154" s="41">
        <v>0</v>
      </c>
      <c r="HG154" s="43"/>
      <c r="HH154" s="43"/>
      <c r="HI154" s="43"/>
      <c r="HJ154" s="43"/>
      <c r="HK154" s="43"/>
      <c r="HL154" s="43"/>
      <c r="HM154" s="43"/>
      <c r="HN154" s="43"/>
      <c r="HO154" s="43"/>
      <c r="HP154" s="43"/>
      <c r="HQ154" s="43"/>
      <c r="HR154" s="43"/>
      <c r="HS154" s="43"/>
      <c r="HT154" s="43"/>
    </row>
    <row r="155" spans="1:228" hidden="1" outlineLevel="1" x14ac:dyDescent="0.2">
      <c r="A155" s="9" t="s">
        <v>1177</v>
      </c>
      <c r="B155" s="36">
        <v>3212.7576230779332</v>
      </c>
      <c r="C155" s="36">
        <v>26.602474055068761</v>
      </c>
      <c r="D155" s="36">
        <v>43.681546898506184</v>
      </c>
      <c r="E155" s="36">
        <v>278.45914999833974</v>
      </c>
      <c r="F155" s="36">
        <v>29.982218152007562</v>
      </c>
      <c r="G155" s="36">
        <v>113.35298271012053</v>
      </c>
      <c r="H155" s="36">
        <v>507.98640582813761</v>
      </c>
      <c r="I155" s="36">
        <v>1079.7142430161362</v>
      </c>
      <c r="J155" s="36">
        <v>198.37462099858215</v>
      </c>
      <c r="K155" s="36">
        <v>196.06958351545026</v>
      </c>
      <c r="L155" s="36">
        <v>160.36307211235857</v>
      </c>
      <c r="M155" s="36">
        <v>63.162434344585009</v>
      </c>
      <c r="N155" s="36">
        <v>133.25726360577198</v>
      </c>
      <c r="O155" s="36">
        <v>183.43454122053211</v>
      </c>
      <c r="P155" s="36">
        <v>152.23244705756198</v>
      </c>
      <c r="Q155" s="36">
        <v>274.57019635650187</v>
      </c>
      <c r="R155" s="36">
        <v>238.47542792093134</v>
      </c>
      <c r="S155" s="36">
        <v>145.69910313023547</v>
      </c>
      <c r="T155" s="36">
        <v>352.70199399319449</v>
      </c>
      <c r="U155" s="36">
        <v>49.966372171066169</v>
      </c>
      <c r="V155" s="36">
        <v>352.57293346451144</v>
      </c>
      <c r="W155" s="36">
        <v>48.893174147509434</v>
      </c>
      <c r="X155" s="36">
        <v>311.64760732059869</v>
      </c>
      <c r="Y155" s="36">
        <v>315.22899143040001</v>
      </c>
      <c r="Z155" s="36">
        <v>614.16134204679156</v>
      </c>
      <c r="AA155" s="36">
        <v>606.41964484755556</v>
      </c>
      <c r="AB155" s="36">
        <v>375.70946534663881</v>
      </c>
      <c r="AC155" s="36">
        <v>38.992707651982805</v>
      </c>
      <c r="AD155" s="36">
        <v>57.583257597700829</v>
      </c>
      <c r="AE155" s="36">
        <v>276.52266159185547</v>
      </c>
      <c r="AF155" s="36">
        <v>57.21751297586524</v>
      </c>
      <c r="AG155" s="36">
        <v>180.71747440956929</v>
      </c>
      <c r="AH155" s="36">
        <v>426.9670264703729</v>
      </c>
      <c r="AI155" s="36">
        <v>191.16336568755077</v>
      </c>
      <c r="AJ155" s="36">
        <v>135.30617940864897</v>
      </c>
      <c r="AK155" s="36">
        <v>2774.1307678456669</v>
      </c>
      <c r="AL155" s="36">
        <v>8791.9255728045864</v>
      </c>
      <c r="AM155" s="36">
        <v>10185.935679001654</v>
      </c>
      <c r="AN155" s="36">
        <v>7096.2730162593816</v>
      </c>
      <c r="AO155" s="36">
        <v>1633.8137252834363</v>
      </c>
      <c r="AP155" s="36">
        <v>781.44959328220511</v>
      </c>
      <c r="AQ155" s="36">
        <v>11.489622057003499</v>
      </c>
      <c r="AR155" s="36">
        <v>259.19232845215271</v>
      </c>
      <c r="AS155" s="36">
        <v>7884.6930841603044</v>
      </c>
      <c r="AT155" s="36">
        <v>793.90825670127595</v>
      </c>
      <c r="AU155" s="36">
        <v>3904.4418156371603</v>
      </c>
      <c r="AV155" s="36">
        <v>182.81422603726401</v>
      </c>
      <c r="AW155" s="36">
        <v>4163.6027937520848</v>
      </c>
      <c r="AX155" s="36">
        <v>1523.3179484114225</v>
      </c>
      <c r="AY155" s="36">
        <v>287.86383932325384</v>
      </c>
      <c r="AZ155" s="36">
        <v>293.37353616447314</v>
      </c>
      <c r="BA155" s="36">
        <v>32.061237681148981</v>
      </c>
      <c r="BB155" s="36">
        <v>5681.1609819330879</v>
      </c>
      <c r="BC155" s="36">
        <v>11840.60272469257</v>
      </c>
      <c r="BD155" s="36">
        <v>0.12002598138941366</v>
      </c>
      <c r="BE155" s="36">
        <v>1755.0192809350879</v>
      </c>
      <c r="BF155" s="36">
        <v>42.896542665819368</v>
      </c>
      <c r="BG155" s="36">
        <v>90.547765099428233</v>
      </c>
      <c r="BH155" s="36">
        <v>662.88059382941526</v>
      </c>
      <c r="BI155" s="36">
        <v>245.20801809204352</v>
      </c>
      <c r="BJ155" s="36">
        <v>858.20211423339413</v>
      </c>
      <c r="BK155" s="36">
        <v>0</v>
      </c>
      <c r="BL155" s="36">
        <v>0</v>
      </c>
      <c r="BM155" s="36">
        <v>0</v>
      </c>
      <c r="BN155" s="36">
        <v>0</v>
      </c>
      <c r="BO155" s="36">
        <v>0</v>
      </c>
      <c r="BP155" s="36">
        <v>0</v>
      </c>
      <c r="BQ155" s="36">
        <v>0</v>
      </c>
      <c r="BR155" s="36">
        <v>0</v>
      </c>
      <c r="BS155" s="36">
        <v>0</v>
      </c>
      <c r="BT155" s="36">
        <v>0</v>
      </c>
      <c r="BU155" s="36">
        <v>0</v>
      </c>
      <c r="BV155" s="36">
        <v>0</v>
      </c>
      <c r="BW155" s="36">
        <v>0</v>
      </c>
      <c r="BX155" s="36">
        <v>0</v>
      </c>
      <c r="BY155" s="36">
        <v>0</v>
      </c>
      <c r="BZ155" s="36">
        <v>0</v>
      </c>
      <c r="CA155" s="36">
        <v>0</v>
      </c>
      <c r="CB155" s="36">
        <v>0</v>
      </c>
      <c r="CC155" s="36">
        <v>0</v>
      </c>
      <c r="CD155" s="36">
        <v>0</v>
      </c>
      <c r="CE155" s="36">
        <v>0</v>
      </c>
      <c r="CF155" s="36">
        <v>0</v>
      </c>
      <c r="CG155" s="36">
        <v>0</v>
      </c>
      <c r="CH155" s="36">
        <v>0</v>
      </c>
      <c r="CI155" s="36">
        <v>0</v>
      </c>
      <c r="CJ155" s="36">
        <v>0</v>
      </c>
      <c r="CK155" s="36">
        <v>0</v>
      </c>
      <c r="CL155" s="36">
        <v>0</v>
      </c>
      <c r="CM155" s="36">
        <v>0</v>
      </c>
      <c r="CN155" s="36">
        <v>0</v>
      </c>
      <c r="CO155" s="36">
        <v>0</v>
      </c>
      <c r="CP155" s="36">
        <v>0</v>
      </c>
      <c r="CQ155" s="36">
        <v>0</v>
      </c>
      <c r="CR155" s="36">
        <v>0</v>
      </c>
      <c r="CS155" s="36">
        <v>0</v>
      </c>
      <c r="CT155" s="36">
        <v>0</v>
      </c>
      <c r="CU155" s="36">
        <v>0</v>
      </c>
      <c r="CV155" s="36">
        <v>0</v>
      </c>
      <c r="CW155" s="36">
        <v>0</v>
      </c>
      <c r="CX155" s="36">
        <v>0</v>
      </c>
      <c r="CY155" s="36">
        <v>0</v>
      </c>
      <c r="CZ155" s="36">
        <v>0</v>
      </c>
      <c r="DA155" s="36">
        <v>0</v>
      </c>
      <c r="DB155" s="36">
        <v>0</v>
      </c>
      <c r="DC155" s="36">
        <v>0</v>
      </c>
      <c r="DD155" s="36">
        <v>0</v>
      </c>
      <c r="DE155" s="36">
        <v>0</v>
      </c>
      <c r="DF155" s="36">
        <v>0</v>
      </c>
      <c r="DG155" s="36">
        <v>0</v>
      </c>
      <c r="DH155" s="36">
        <v>0</v>
      </c>
      <c r="DI155" s="36">
        <v>0</v>
      </c>
      <c r="DJ155" s="36">
        <v>0</v>
      </c>
      <c r="DK155" s="36">
        <v>0</v>
      </c>
      <c r="DL155" s="36">
        <v>0</v>
      </c>
      <c r="DM155" s="36">
        <v>0</v>
      </c>
      <c r="DN155" s="36">
        <v>0</v>
      </c>
      <c r="DO155" s="36">
        <v>0</v>
      </c>
      <c r="DP155" s="36">
        <v>0</v>
      </c>
      <c r="DQ155" s="36">
        <v>0</v>
      </c>
      <c r="DR155" s="36">
        <v>0</v>
      </c>
      <c r="DS155" s="36">
        <v>0</v>
      </c>
      <c r="DT155" s="36">
        <v>0</v>
      </c>
      <c r="DU155" s="36">
        <v>0</v>
      </c>
      <c r="DV155" s="36">
        <v>0</v>
      </c>
      <c r="DW155" s="36">
        <v>0</v>
      </c>
      <c r="DX155" s="36">
        <v>0</v>
      </c>
      <c r="DY155" s="36">
        <v>0</v>
      </c>
      <c r="DZ155" s="36">
        <v>0</v>
      </c>
      <c r="EA155" s="36">
        <v>0</v>
      </c>
      <c r="EB155" s="36">
        <v>0</v>
      </c>
      <c r="EC155" s="36">
        <v>0</v>
      </c>
      <c r="ED155" s="36">
        <v>0</v>
      </c>
      <c r="EE155" s="36">
        <v>0</v>
      </c>
      <c r="EF155" s="36">
        <v>0</v>
      </c>
      <c r="EG155" s="36">
        <v>0</v>
      </c>
      <c r="EH155" s="36">
        <v>0</v>
      </c>
      <c r="EI155" s="36">
        <v>0</v>
      </c>
      <c r="EJ155" s="36">
        <v>0</v>
      </c>
      <c r="EK155" s="36">
        <v>0</v>
      </c>
      <c r="EL155" s="36">
        <v>0</v>
      </c>
      <c r="EM155" s="36">
        <v>0</v>
      </c>
      <c r="EN155" s="36">
        <v>0</v>
      </c>
      <c r="EO155" s="36">
        <v>0</v>
      </c>
      <c r="EP155" s="36">
        <v>0</v>
      </c>
      <c r="EQ155" s="36">
        <v>0</v>
      </c>
      <c r="ER155" s="36">
        <v>0</v>
      </c>
      <c r="ES155" s="36">
        <v>0</v>
      </c>
      <c r="ET155" s="36">
        <v>0</v>
      </c>
      <c r="EU155" s="36">
        <v>0</v>
      </c>
      <c r="EV155" s="36">
        <v>0</v>
      </c>
      <c r="EW155" s="36">
        <v>0</v>
      </c>
      <c r="EX155" s="36">
        <v>0</v>
      </c>
      <c r="EY155" s="36">
        <v>0</v>
      </c>
      <c r="EZ155" s="36">
        <v>0</v>
      </c>
      <c r="FA155" s="36">
        <v>0</v>
      </c>
      <c r="FB155" s="36">
        <v>0</v>
      </c>
      <c r="FC155" s="36">
        <v>0</v>
      </c>
      <c r="FD155" s="36">
        <v>0</v>
      </c>
      <c r="FE155" s="36">
        <v>0</v>
      </c>
      <c r="FF155" s="36">
        <v>0</v>
      </c>
      <c r="FG155" s="36">
        <v>0</v>
      </c>
      <c r="FH155" s="36">
        <v>0</v>
      </c>
      <c r="FI155" s="36">
        <v>0</v>
      </c>
      <c r="FJ155" s="36">
        <v>0</v>
      </c>
      <c r="FK155" s="36">
        <v>0</v>
      </c>
      <c r="FL155" s="36">
        <v>0</v>
      </c>
      <c r="FM155" s="36">
        <v>0</v>
      </c>
      <c r="FN155" s="36">
        <v>0</v>
      </c>
      <c r="FO155" s="36">
        <v>0</v>
      </c>
      <c r="FP155" s="36">
        <v>0</v>
      </c>
      <c r="FQ155" s="36">
        <v>0</v>
      </c>
      <c r="FR155" s="36">
        <v>0</v>
      </c>
      <c r="FS155" s="36">
        <v>0</v>
      </c>
      <c r="FT155" s="36">
        <v>0</v>
      </c>
      <c r="FU155" s="36">
        <v>0</v>
      </c>
      <c r="FV155" s="36">
        <v>0</v>
      </c>
      <c r="FW155" s="36">
        <v>0</v>
      </c>
      <c r="FX155" s="36">
        <v>0</v>
      </c>
      <c r="FY155" s="36">
        <v>0</v>
      </c>
      <c r="FZ155" s="36">
        <v>0</v>
      </c>
      <c r="GA155" s="36">
        <v>0</v>
      </c>
      <c r="GB155" s="36">
        <v>0</v>
      </c>
      <c r="GC155" s="36">
        <v>0</v>
      </c>
      <c r="GD155" s="36">
        <v>0</v>
      </c>
      <c r="GE155" s="36">
        <v>0</v>
      </c>
      <c r="GF155" s="36">
        <v>0</v>
      </c>
      <c r="GG155" s="42">
        <v>254.0039278532424</v>
      </c>
      <c r="GH155" s="42">
        <v>547.51537596184539</v>
      </c>
      <c r="GI155" s="42">
        <v>1051.6856071905158</v>
      </c>
      <c r="GJ155" s="42">
        <v>1279.215976893975</v>
      </c>
      <c r="GK155" s="42">
        <v>2028.3658764713111</v>
      </c>
      <c r="GL155" s="42">
        <v>2933.0665374638734</v>
      </c>
      <c r="GM155" s="42">
        <v>4006.4474120666991</v>
      </c>
      <c r="GN155" s="42">
        <v>5673.8018288902931</v>
      </c>
      <c r="GO155" s="42">
        <v>11766.571240216201</v>
      </c>
      <c r="GP155" s="42">
        <v>3205.4410882829848</v>
      </c>
      <c r="GQ155" s="42">
        <v>3731.0172371661761</v>
      </c>
      <c r="GR155" s="42">
        <v>4034.4028176607267</v>
      </c>
      <c r="GS155" s="42">
        <v>3856.5453768074995</v>
      </c>
      <c r="GT155" s="42">
        <v>8791.6172496944473</v>
      </c>
      <c r="GU155" s="36">
        <v>0</v>
      </c>
      <c r="GV155" s="36">
        <v>0</v>
      </c>
      <c r="GW155" s="36">
        <v>0</v>
      </c>
      <c r="GX155" s="36">
        <v>0</v>
      </c>
      <c r="GY155" s="36">
        <v>0</v>
      </c>
      <c r="GZ155" s="36">
        <v>0</v>
      </c>
      <c r="HA155" s="38">
        <v>-1.8619611073518172E-2</v>
      </c>
      <c r="HB155" s="36">
        <v>4985.7958507876301</v>
      </c>
      <c r="HC155" s="36">
        <f t="shared" si="2"/>
        <v>141352.34691867363</v>
      </c>
      <c r="HD155" s="36">
        <f>SUM(EV$5:EV$213)</f>
        <v>141352.34691867363</v>
      </c>
      <c r="HE155" s="41">
        <v>0</v>
      </c>
      <c r="HG155" s="43"/>
      <c r="HH155" s="43"/>
      <c r="HI155" s="43"/>
      <c r="HJ155" s="43"/>
      <c r="HK155" s="43"/>
      <c r="HL155" s="43"/>
      <c r="HM155" s="43"/>
      <c r="HN155" s="43"/>
      <c r="HO155" s="43"/>
      <c r="HP155" s="43"/>
      <c r="HQ155" s="43"/>
      <c r="HR155" s="43"/>
      <c r="HS155" s="43"/>
      <c r="HT155" s="43"/>
    </row>
    <row r="156" spans="1:228" hidden="1" outlineLevel="1" x14ac:dyDescent="0.2">
      <c r="A156" s="9" t="s">
        <v>1170</v>
      </c>
      <c r="B156" s="36">
        <v>2246.3112442086367</v>
      </c>
      <c r="C156" s="36">
        <v>37.07816707235073</v>
      </c>
      <c r="D156" s="36">
        <v>39.693206681885414</v>
      </c>
      <c r="E156" s="36">
        <v>422.7384280913185</v>
      </c>
      <c r="F156" s="36">
        <v>143.31996390832489</v>
      </c>
      <c r="G156" s="36">
        <v>240.44598627265188</v>
      </c>
      <c r="H156" s="36">
        <v>1080.7543804480599</v>
      </c>
      <c r="I156" s="36">
        <v>361.44771802770958</v>
      </c>
      <c r="J156" s="36">
        <v>134.78686715240468</v>
      </c>
      <c r="K156" s="36">
        <v>78.489139703654246</v>
      </c>
      <c r="L156" s="36">
        <v>54.181561544928144</v>
      </c>
      <c r="M156" s="36">
        <v>8.3423858247374785</v>
      </c>
      <c r="N156" s="36">
        <v>15.915129040579311</v>
      </c>
      <c r="O156" s="36">
        <v>102.56320244475693</v>
      </c>
      <c r="P156" s="36">
        <v>157.07139335407697</v>
      </c>
      <c r="Q156" s="36">
        <v>154.17738366744868</v>
      </c>
      <c r="R156" s="36">
        <v>120.48871019411597</v>
      </c>
      <c r="S156" s="36">
        <v>413.22851434114204</v>
      </c>
      <c r="T156" s="36">
        <v>255.23131000278971</v>
      </c>
      <c r="U156" s="36">
        <v>30.926038003642731</v>
      </c>
      <c r="V156" s="36">
        <v>210.73425143423896</v>
      </c>
      <c r="W156" s="36">
        <v>26.355719715773741</v>
      </c>
      <c r="X156" s="36">
        <v>151.17136958043471</v>
      </c>
      <c r="Y156" s="36">
        <v>275.76680797030599</v>
      </c>
      <c r="Z156" s="36">
        <v>315.65409934663904</v>
      </c>
      <c r="AA156" s="36">
        <v>321.64798501619458</v>
      </c>
      <c r="AB156" s="36">
        <v>180.77811660802496</v>
      </c>
      <c r="AC156" s="36">
        <v>10.572054377903003</v>
      </c>
      <c r="AD156" s="36">
        <v>27.82017216671338</v>
      </c>
      <c r="AE156" s="36">
        <v>201.28028043553456</v>
      </c>
      <c r="AF156" s="36">
        <v>30.933249438926552</v>
      </c>
      <c r="AG156" s="36">
        <v>43.445185596635994</v>
      </c>
      <c r="AH156" s="36">
        <v>142.42893223936193</v>
      </c>
      <c r="AI156" s="36">
        <v>1009.7273673675382</v>
      </c>
      <c r="AJ156" s="36">
        <v>112.47691499896368</v>
      </c>
      <c r="AK156" s="36">
        <v>2235.7439847593678</v>
      </c>
      <c r="AL156" s="36">
        <v>2359.7729742076021</v>
      </c>
      <c r="AM156" s="36">
        <v>1184.1166685686489</v>
      </c>
      <c r="AN156" s="36">
        <v>1334.670534324566</v>
      </c>
      <c r="AO156" s="36">
        <v>181.31586229606563</v>
      </c>
      <c r="AP156" s="36">
        <v>1650.1299226923691</v>
      </c>
      <c r="AQ156" s="36">
        <v>11.347119575877159</v>
      </c>
      <c r="AR156" s="36">
        <v>117.25049809473303</v>
      </c>
      <c r="AS156" s="36">
        <v>2900.074628397505</v>
      </c>
      <c r="AT156" s="36">
        <v>216.90036753213013</v>
      </c>
      <c r="AU156" s="36">
        <v>725</v>
      </c>
      <c r="AV156" s="36">
        <v>217.447684435669</v>
      </c>
      <c r="AW156" s="36">
        <v>15006.921532858376</v>
      </c>
      <c r="AX156" s="36">
        <v>10204.681332763323</v>
      </c>
      <c r="AY156" s="36">
        <v>178.18002072899142</v>
      </c>
      <c r="AZ156" s="36">
        <v>112.9143525460249</v>
      </c>
      <c r="BA156" s="36">
        <v>30.778364872851494</v>
      </c>
      <c r="BB156" s="36">
        <v>2287.2748519805291</v>
      </c>
      <c r="BC156" s="36">
        <v>230.66080844501573</v>
      </c>
      <c r="BD156" s="36">
        <v>56.592821395913802</v>
      </c>
      <c r="BE156" s="36">
        <v>524.61444957237916</v>
      </c>
      <c r="BF156" s="36">
        <v>52.471892184224345</v>
      </c>
      <c r="BG156" s="36">
        <v>27.483506320351552</v>
      </c>
      <c r="BH156" s="36">
        <v>143.4767145349129</v>
      </c>
      <c r="BI156" s="36">
        <v>52.576661998835057</v>
      </c>
      <c r="BJ156" s="36">
        <v>1766.9544289225789</v>
      </c>
      <c r="BK156" s="36">
        <v>0</v>
      </c>
      <c r="BL156" s="36">
        <v>0</v>
      </c>
      <c r="BM156" s="36">
        <v>0</v>
      </c>
      <c r="BN156" s="36">
        <v>0</v>
      </c>
      <c r="BO156" s="36">
        <v>0</v>
      </c>
      <c r="BP156" s="36">
        <v>0</v>
      </c>
      <c r="BQ156" s="36">
        <v>0</v>
      </c>
      <c r="BR156" s="36">
        <v>0</v>
      </c>
      <c r="BS156" s="36">
        <v>0</v>
      </c>
      <c r="BT156" s="36">
        <v>0</v>
      </c>
      <c r="BU156" s="36">
        <v>0</v>
      </c>
      <c r="BV156" s="36">
        <v>0</v>
      </c>
      <c r="BW156" s="36">
        <v>0</v>
      </c>
      <c r="BX156" s="36">
        <v>0</v>
      </c>
      <c r="BY156" s="36">
        <v>0</v>
      </c>
      <c r="BZ156" s="36">
        <v>0</v>
      </c>
      <c r="CA156" s="36">
        <v>0</v>
      </c>
      <c r="CB156" s="36">
        <v>0</v>
      </c>
      <c r="CC156" s="36">
        <v>0</v>
      </c>
      <c r="CD156" s="36">
        <v>0</v>
      </c>
      <c r="CE156" s="36">
        <v>0</v>
      </c>
      <c r="CF156" s="36">
        <v>0</v>
      </c>
      <c r="CG156" s="36">
        <v>0</v>
      </c>
      <c r="CH156" s="36">
        <v>0</v>
      </c>
      <c r="CI156" s="36">
        <v>0</v>
      </c>
      <c r="CJ156" s="36">
        <v>0</v>
      </c>
      <c r="CK156" s="36">
        <v>0</v>
      </c>
      <c r="CL156" s="36">
        <v>0</v>
      </c>
      <c r="CM156" s="36">
        <v>0</v>
      </c>
      <c r="CN156" s="36">
        <v>0</v>
      </c>
      <c r="CO156" s="36">
        <v>0</v>
      </c>
      <c r="CP156" s="36">
        <v>0</v>
      </c>
      <c r="CQ156" s="36">
        <v>0</v>
      </c>
      <c r="CR156" s="36">
        <v>0</v>
      </c>
      <c r="CS156" s="36">
        <v>0</v>
      </c>
      <c r="CT156" s="36">
        <v>0</v>
      </c>
      <c r="CU156" s="36">
        <v>0</v>
      </c>
      <c r="CV156" s="36">
        <v>0</v>
      </c>
      <c r="CW156" s="36">
        <v>0</v>
      </c>
      <c r="CX156" s="36">
        <v>0</v>
      </c>
      <c r="CY156" s="36">
        <v>0</v>
      </c>
      <c r="CZ156" s="36">
        <v>0</v>
      </c>
      <c r="DA156" s="36">
        <v>0</v>
      </c>
      <c r="DB156" s="36">
        <v>0</v>
      </c>
      <c r="DC156" s="36">
        <v>0</v>
      </c>
      <c r="DD156" s="36">
        <v>0</v>
      </c>
      <c r="DE156" s="36">
        <v>0</v>
      </c>
      <c r="DF156" s="36">
        <v>0</v>
      </c>
      <c r="DG156" s="36">
        <v>0</v>
      </c>
      <c r="DH156" s="36">
        <v>0</v>
      </c>
      <c r="DI156" s="36">
        <v>0</v>
      </c>
      <c r="DJ156" s="36">
        <v>0</v>
      </c>
      <c r="DK156" s="36">
        <v>0</v>
      </c>
      <c r="DL156" s="36">
        <v>0</v>
      </c>
      <c r="DM156" s="36">
        <v>0</v>
      </c>
      <c r="DN156" s="36">
        <v>0</v>
      </c>
      <c r="DO156" s="36">
        <v>0</v>
      </c>
      <c r="DP156" s="36">
        <v>0</v>
      </c>
      <c r="DQ156" s="36">
        <v>0</v>
      </c>
      <c r="DR156" s="36">
        <v>0</v>
      </c>
      <c r="DS156" s="36">
        <v>0</v>
      </c>
      <c r="DT156" s="36">
        <v>0</v>
      </c>
      <c r="DU156" s="36">
        <v>0</v>
      </c>
      <c r="DV156" s="36">
        <v>0</v>
      </c>
      <c r="DW156" s="36">
        <v>0</v>
      </c>
      <c r="DX156" s="36">
        <v>0</v>
      </c>
      <c r="DY156" s="36">
        <v>0</v>
      </c>
      <c r="DZ156" s="36">
        <v>0</v>
      </c>
      <c r="EA156" s="36">
        <v>0</v>
      </c>
      <c r="EB156" s="36">
        <v>0</v>
      </c>
      <c r="EC156" s="36">
        <v>0</v>
      </c>
      <c r="ED156" s="36">
        <v>0</v>
      </c>
      <c r="EE156" s="36">
        <v>0</v>
      </c>
      <c r="EF156" s="36">
        <v>0</v>
      </c>
      <c r="EG156" s="36">
        <v>0</v>
      </c>
      <c r="EH156" s="36">
        <v>0</v>
      </c>
      <c r="EI156" s="36">
        <v>0</v>
      </c>
      <c r="EJ156" s="36">
        <v>0</v>
      </c>
      <c r="EK156" s="36">
        <v>0</v>
      </c>
      <c r="EL156" s="36">
        <v>0</v>
      </c>
      <c r="EM156" s="36">
        <v>0</v>
      </c>
      <c r="EN156" s="36">
        <v>0</v>
      </c>
      <c r="EO156" s="36">
        <v>0</v>
      </c>
      <c r="EP156" s="36">
        <v>0</v>
      </c>
      <c r="EQ156" s="36">
        <v>0</v>
      </c>
      <c r="ER156" s="36">
        <v>0</v>
      </c>
      <c r="ES156" s="36">
        <v>0</v>
      </c>
      <c r="ET156" s="36">
        <v>0</v>
      </c>
      <c r="EU156" s="36">
        <v>0</v>
      </c>
      <c r="EV156" s="36">
        <v>0</v>
      </c>
      <c r="EW156" s="36">
        <v>0</v>
      </c>
      <c r="EX156" s="36">
        <v>0</v>
      </c>
      <c r="EY156" s="36">
        <v>0</v>
      </c>
      <c r="EZ156" s="36">
        <v>0</v>
      </c>
      <c r="FA156" s="36">
        <v>0</v>
      </c>
      <c r="FB156" s="36">
        <v>0</v>
      </c>
      <c r="FC156" s="36">
        <v>0</v>
      </c>
      <c r="FD156" s="36">
        <v>0</v>
      </c>
      <c r="FE156" s="36">
        <v>0</v>
      </c>
      <c r="FF156" s="36">
        <v>0</v>
      </c>
      <c r="FG156" s="36">
        <v>0</v>
      </c>
      <c r="FH156" s="36">
        <v>0</v>
      </c>
      <c r="FI156" s="36">
        <v>0</v>
      </c>
      <c r="FJ156" s="36">
        <v>0</v>
      </c>
      <c r="FK156" s="36">
        <v>0</v>
      </c>
      <c r="FL156" s="36">
        <v>0</v>
      </c>
      <c r="FM156" s="36">
        <v>0</v>
      </c>
      <c r="FN156" s="36">
        <v>0</v>
      </c>
      <c r="FO156" s="36">
        <v>0</v>
      </c>
      <c r="FP156" s="36">
        <v>0</v>
      </c>
      <c r="FQ156" s="36">
        <v>0</v>
      </c>
      <c r="FR156" s="36">
        <v>0</v>
      </c>
      <c r="FS156" s="36">
        <v>0</v>
      </c>
      <c r="FT156" s="36">
        <v>0</v>
      </c>
      <c r="FU156" s="36">
        <v>0</v>
      </c>
      <c r="FV156" s="36">
        <v>0</v>
      </c>
      <c r="FW156" s="36">
        <v>0</v>
      </c>
      <c r="FX156" s="36">
        <v>0</v>
      </c>
      <c r="FY156" s="36">
        <v>0</v>
      </c>
      <c r="FZ156" s="36">
        <v>0</v>
      </c>
      <c r="GA156" s="36">
        <v>0</v>
      </c>
      <c r="GB156" s="36">
        <v>0</v>
      </c>
      <c r="GC156" s="36">
        <v>0</v>
      </c>
      <c r="GD156" s="36">
        <v>0</v>
      </c>
      <c r="GE156" s="36">
        <v>0</v>
      </c>
      <c r="GF156" s="36">
        <v>0</v>
      </c>
      <c r="GG156" s="42">
        <v>862.47198933163588</v>
      </c>
      <c r="GH156" s="42">
        <v>1325.9247962610596</v>
      </c>
      <c r="GI156" s="42">
        <v>1526.8139897786507</v>
      </c>
      <c r="GJ156" s="42">
        <v>1760.4389322112379</v>
      </c>
      <c r="GK156" s="42">
        <v>2413.1779707252776</v>
      </c>
      <c r="GL156" s="42">
        <v>3611.4623805123019</v>
      </c>
      <c r="GM156" s="42">
        <v>6779.7410673726454</v>
      </c>
      <c r="GN156" s="42">
        <v>15004.762526338334</v>
      </c>
      <c r="GO156" s="42">
        <v>42145.656173799856</v>
      </c>
      <c r="GP156" s="42">
        <v>14303.042509882989</v>
      </c>
      <c r="GQ156" s="42">
        <v>15603.849735875465</v>
      </c>
      <c r="GR156" s="42">
        <v>18737.149071601143</v>
      </c>
      <c r="GS156" s="42">
        <v>20763.602339955862</v>
      </c>
      <c r="GT156" s="42">
        <v>31313.134957395756</v>
      </c>
      <c r="GU156" s="36">
        <v>0</v>
      </c>
      <c r="GV156" s="36">
        <v>0</v>
      </c>
      <c r="GW156" s="36">
        <v>0</v>
      </c>
      <c r="GX156" s="36">
        <v>0</v>
      </c>
      <c r="GY156" s="36">
        <v>0</v>
      </c>
      <c r="GZ156" s="36">
        <v>0</v>
      </c>
      <c r="HA156" s="38">
        <v>3.6664204089902341E-2</v>
      </c>
      <c r="HB156" s="36">
        <v>153</v>
      </c>
      <c r="HC156" s="36">
        <f t="shared" si="2"/>
        <v>229271.60032553357</v>
      </c>
      <c r="HD156" s="36">
        <f>SUM(EW$5:EW$213)</f>
        <v>229271.60032553357</v>
      </c>
      <c r="HE156" s="41">
        <v>0</v>
      </c>
      <c r="HG156" s="43"/>
      <c r="HH156" s="43"/>
      <c r="HI156" s="43"/>
      <c r="HJ156" s="43"/>
      <c r="HK156" s="43"/>
      <c r="HL156" s="43"/>
      <c r="HM156" s="43"/>
      <c r="HN156" s="43"/>
      <c r="HO156" s="43"/>
      <c r="HP156" s="43"/>
      <c r="HQ156" s="43"/>
      <c r="HR156" s="43"/>
      <c r="HS156" s="43"/>
      <c r="HT156" s="43"/>
    </row>
    <row r="157" spans="1:228" hidden="1" outlineLevel="1" x14ac:dyDescent="0.2">
      <c r="A157" s="9" t="s">
        <v>1513</v>
      </c>
      <c r="B157" s="36">
        <v>0</v>
      </c>
      <c r="C157" s="36">
        <v>19.518838447420411</v>
      </c>
      <c r="D157" s="36">
        <v>32.050141474826745</v>
      </c>
      <c r="E157" s="36">
        <v>204.31179264651894</v>
      </c>
      <c r="F157" s="36">
        <v>21.99863332985171</v>
      </c>
      <c r="G157" s="36">
        <v>83.1696537875399</v>
      </c>
      <c r="H157" s="36">
        <v>372.72114497019618</v>
      </c>
      <c r="I157" s="36">
        <v>792.21082351907307</v>
      </c>
      <c r="J157" s="36">
        <v>145.55195773611914</v>
      </c>
      <c r="K157" s="36">
        <v>143.86069946610428</v>
      </c>
      <c r="L157" s="36">
        <v>117.66202237482337</v>
      </c>
      <c r="M157" s="36">
        <v>46.343710339333875</v>
      </c>
      <c r="N157" s="36">
        <v>97.773876026796998</v>
      </c>
      <c r="O157" s="36">
        <v>134.59008242423391</v>
      </c>
      <c r="P157" s="36">
        <v>111.69639840343635</v>
      </c>
      <c r="Q157" s="36">
        <v>201.45837917424541</v>
      </c>
      <c r="R157" s="36">
        <v>174.97482909418372</v>
      </c>
      <c r="S157" s="36">
        <v>106.9027358149513</v>
      </c>
      <c r="T157" s="36">
        <v>258.78545080375665</v>
      </c>
      <c r="U157" s="36">
        <v>36.661460290942209</v>
      </c>
      <c r="V157" s="36">
        <v>258.69075616730692</v>
      </c>
      <c r="W157" s="36">
        <v>35.874030565401235</v>
      </c>
      <c r="X157" s="36">
        <v>228.66291635972263</v>
      </c>
      <c r="Y157" s="36">
        <v>231.29065909194662</v>
      </c>
      <c r="Z157" s="36">
        <v>450.62410327877541</v>
      </c>
      <c r="AA157" s="36">
        <v>444.94384449427542</v>
      </c>
      <c r="AB157" s="36">
        <v>275.66655424931992</v>
      </c>
      <c r="AC157" s="36">
        <v>28.609833796324274</v>
      </c>
      <c r="AD157" s="36">
        <v>42.250141847673795</v>
      </c>
      <c r="AE157" s="36">
        <v>202.89094719119663</v>
      </c>
      <c r="AF157" s="36">
        <v>41.981786725069632</v>
      </c>
      <c r="AG157" s="36">
        <v>132.59650889328159</v>
      </c>
      <c r="AH157" s="36">
        <v>313.27538915361771</v>
      </c>
      <c r="AI157" s="36">
        <v>126.92617701888466</v>
      </c>
      <c r="AJ157" s="36">
        <v>6.0153798412128747</v>
      </c>
      <c r="AK157" s="36">
        <v>2035.4426500899369</v>
      </c>
      <c r="AL157" s="36">
        <v>6450.8351569886836</v>
      </c>
      <c r="AM157" s="36">
        <v>7473.6519822436067</v>
      </c>
      <c r="AN157" s="36">
        <v>5206.6964259199895</v>
      </c>
      <c r="AO157" s="36">
        <v>1198.7661783250267</v>
      </c>
      <c r="AP157" s="36">
        <v>461.26232939786439</v>
      </c>
      <c r="AQ157" s="36">
        <v>8.4159459720725849</v>
      </c>
      <c r="AR157" s="36">
        <v>135.87541896029066</v>
      </c>
      <c r="AS157" s="36">
        <v>739.06108294241881</v>
      </c>
      <c r="AT157" s="36">
        <v>582.50849047150109</v>
      </c>
      <c r="AU157" s="36">
        <v>28417.762339223638</v>
      </c>
      <c r="AV157" s="36">
        <v>0</v>
      </c>
      <c r="AW157" s="36">
        <v>86488.93655575889</v>
      </c>
      <c r="AX157" s="36">
        <v>1117.692921250426</v>
      </c>
      <c r="AY157" s="36">
        <v>211.21222646335769</v>
      </c>
      <c r="AZ157" s="36">
        <v>215.2548159727169</v>
      </c>
      <c r="BA157" s="36">
        <v>23.524057101879109</v>
      </c>
      <c r="BB157" s="36">
        <v>4132.3775484473026</v>
      </c>
      <c r="BC157" s="36">
        <v>2298.2339607037538</v>
      </c>
      <c r="BD157" s="36">
        <v>0</v>
      </c>
      <c r="BE157" s="36">
        <v>1263.1892728517444</v>
      </c>
      <c r="BF157" s="36">
        <v>30.892610944421548</v>
      </c>
      <c r="BG157" s="36">
        <v>66.436948499305373</v>
      </c>
      <c r="BH157" s="36">
        <v>485.93011485063977</v>
      </c>
      <c r="BI157" s="36">
        <v>179.9146831698084</v>
      </c>
      <c r="BJ157" s="36">
        <v>1037.9651500978823</v>
      </c>
      <c r="BK157" s="36">
        <v>0</v>
      </c>
      <c r="BL157" s="36">
        <v>0</v>
      </c>
      <c r="BM157" s="36">
        <v>0</v>
      </c>
      <c r="BN157" s="36">
        <v>0</v>
      </c>
      <c r="BO157" s="36">
        <v>0</v>
      </c>
      <c r="BP157" s="36">
        <v>0</v>
      </c>
      <c r="BQ157" s="36">
        <v>0</v>
      </c>
      <c r="BR157" s="36">
        <v>0</v>
      </c>
      <c r="BS157" s="36">
        <v>0</v>
      </c>
      <c r="BT157" s="36">
        <v>0</v>
      </c>
      <c r="BU157" s="36">
        <v>0</v>
      </c>
      <c r="BV157" s="36">
        <v>0</v>
      </c>
      <c r="BW157" s="36">
        <v>0</v>
      </c>
      <c r="BX157" s="36">
        <v>0</v>
      </c>
      <c r="BY157" s="36">
        <v>0</v>
      </c>
      <c r="BZ157" s="36">
        <v>0</v>
      </c>
      <c r="CA157" s="36">
        <v>0</v>
      </c>
      <c r="CB157" s="36">
        <v>0</v>
      </c>
      <c r="CC157" s="36">
        <v>0</v>
      </c>
      <c r="CD157" s="36">
        <v>0</v>
      </c>
      <c r="CE157" s="36">
        <v>0</v>
      </c>
      <c r="CF157" s="36">
        <v>0</v>
      </c>
      <c r="CG157" s="36">
        <v>0</v>
      </c>
      <c r="CH157" s="36">
        <v>0</v>
      </c>
      <c r="CI157" s="36">
        <v>0</v>
      </c>
      <c r="CJ157" s="36">
        <v>0</v>
      </c>
      <c r="CK157" s="36">
        <v>0</v>
      </c>
      <c r="CL157" s="36">
        <v>0</v>
      </c>
      <c r="CM157" s="36">
        <v>0</v>
      </c>
      <c r="CN157" s="36">
        <v>0</v>
      </c>
      <c r="CO157" s="36">
        <v>0</v>
      </c>
      <c r="CP157" s="36">
        <v>0</v>
      </c>
      <c r="CQ157" s="36">
        <v>0</v>
      </c>
      <c r="CR157" s="36">
        <v>0</v>
      </c>
      <c r="CS157" s="36">
        <v>0</v>
      </c>
      <c r="CT157" s="36">
        <v>0</v>
      </c>
      <c r="CU157" s="36">
        <v>0</v>
      </c>
      <c r="CV157" s="36">
        <v>0</v>
      </c>
      <c r="CW157" s="36">
        <v>0</v>
      </c>
      <c r="CX157" s="36">
        <v>0</v>
      </c>
      <c r="CY157" s="36">
        <v>0</v>
      </c>
      <c r="CZ157" s="36">
        <v>0</v>
      </c>
      <c r="DA157" s="36">
        <v>0</v>
      </c>
      <c r="DB157" s="36">
        <v>0</v>
      </c>
      <c r="DC157" s="36">
        <v>0</v>
      </c>
      <c r="DD157" s="36">
        <v>0</v>
      </c>
      <c r="DE157" s="36">
        <v>0</v>
      </c>
      <c r="DF157" s="36">
        <v>0</v>
      </c>
      <c r="DG157" s="36">
        <v>0</v>
      </c>
      <c r="DH157" s="36">
        <v>0</v>
      </c>
      <c r="DI157" s="36">
        <v>0</v>
      </c>
      <c r="DJ157" s="36">
        <v>0</v>
      </c>
      <c r="DK157" s="36">
        <v>0</v>
      </c>
      <c r="DL157" s="36">
        <v>0</v>
      </c>
      <c r="DM157" s="36">
        <v>0</v>
      </c>
      <c r="DN157" s="36">
        <v>0</v>
      </c>
      <c r="DO157" s="36">
        <v>0</v>
      </c>
      <c r="DP157" s="36">
        <v>0</v>
      </c>
      <c r="DQ157" s="36">
        <v>0</v>
      </c>
      <c r="DR157" s="36">
        <v>0</v>
      </c>
      <c r="DS157" s="36">
        <v>0</v>
      </c>
      <c r="DT157" s="36">
        <v>0</v>
      </c>
      <c r="DU157" s="36">
        <v>0</v>
      </c>
      <c r="DV157" s="36">
        <v>0</v>
      </c>
      <c r="DW157" s="36">
        <v>0</v>
      </c>
      <c r="DX157" s="36">
        <v>0</v>
      </c>
      <c r="DY157" s="36">
        <v>0</v>
      </c>
      <c r="DZ157" s="36">
        <v>0</v>
      </c>
      <c r="EA157" s="36">
        <v>0</v>
      </c>
      <c r="EB157" s="36">
        <v>0</v>
      </c>
      <c r="EC157" s="36">
        <v>0</v>
      </c>
      <c r="ED157" s="36">
        <v>0</v>
      </c>
      <c r="EE157" s="36">
        <v>0</v>
      </c>
      <c r="EF157" s="36">
        <v>0</v>
      </c>
      <c r="EG157" s="36">
        <v>0</v>
      </c>
      <c r="EH157" s="36">
        <v>0</v>
      </c>
      <c r="EI157" s="36">
        <v>0</v>
      </c>
      <c r="EJ157" s="36">
        <v>0</v>
      </c>
      <c r="EK157" s="36">
        <v>0</v>
      </c>
      <c r="EL157" s="36">
        <v>0</v>
      </c>
      <c r="EM157" s="36">
        <v>0</v>
      </c>
      <c r="EN157" s="36">
        <v>0</v>
      </c>
      <c r="EO157" s="36">
        <v>0</v>
      </c>
      <c r="EP157" s="36">
        <v>0</v>
      </c>
      <c r="EQ157" s="36">
        <v>0</v>
      </c>
      <c r="ER157" s="36">
        <v>0</v>
      </c>
      <c r="ES157" s="36">
        <v>0</v>
      </c>
      <c r="ET157" s="36">
        <v>0</v>
      </c>
      <c r="EU157" s="36">
        <v>0</v>
      </c>
      <c r="EV157" s="36">
        <v>0</v>
      </c>
      <c r="EW157" s="36">
        <v>0</v>
      </c>
      <c r="EX157" s="36">
        <v>0</v>
      </c>
      <c r="EY157" s="36">
        <v>0</v>
      </c>
      <c r="EZ157" s="36">
        <v>0</v>
      </c>
      <c r="FA157" s="36">
        <v>0</v>
      </c>
      <c r="FB157" s="36">
        <v>0</v>
      </c>
      <c r="FC157" s="36">
        <v>0</v>
      </c>
      <c r="FD157" s="36">
        <v>0</v>
      </c>
      <c r="FE157" s="36">
        <v>0</v>
      </c>
      <c r="FF157" s="36">
        <v>0</v>
      </c>
      <c r="FG157" s="36">
        <v>0</v>
      </c>
      <c r="FH157" s="36">
        <v>0</v>
      </c>
      <c r="FI157" s="36">
        <v>0</v>
      </c>
      <c r="FJ157" s="36">
        <v>0</v>
      </c>
      <c r="FK157" s="36">
        <v>0</v>
      </c>
      <c r="FL157" s="36">
        <v>0</v>
      </c>
      <c r="FM157" s="36">
        <v>0</v>
      </c>
      <c r="FN157" s="36">
        <v>0</v>
      </c>
      <c r="FO157" s="36">
        <v>0</v>
      </c>
      <c r="FP157" s="36">
        <v>0</v>
      </c>
      <c r="FQ157" s="36">
        <v>0</v>
      </c>
      <c r="FR157" s="36">
        <v>0</v>
      </c>
      <c r="FS157" s="36">
        <v>0</v>
      </c>
      <c r="FT157" s="36">
        <v>0</v>
      </c>
      <c r="FU157" s="36">
        <v>0</v>
      </c>
      <c r="FV157" s="36">
        <v>0</v>
      </c>
      <c r="FW157" s="36">
        <v>0</v>
      </c>
      <c r="FX157" s="36">
        <v>0</v>
      </c>
      <c r="FY157" s="36">
        <v>0</v>
      </c>
      <c r="FZ157" s="36">
        <v>0</v>
      </c>
      <c r="GA157" s="36">
        <v>0</v>
      </c>
      <c r="GB157" s="36">
        <v>0</v>
      </c>
      <c r="GC157" s="36">
        <v>0</v>
      </c>
      <c r="GD157" s="36">
        <v>0</v>
      </c>
      <c r="GE157" s="36">
        <v>0</v>
      </c>
      <c r="GF157" s="36">
        <v>0</v>
      </c>
      <c r="GG157" s="42">
        <v>93.984457111622206</v>
      </c>
      <c r="GH157" s="42">
        <v>144.48738473698623</v>
      </c>
      <c r="GI157" s="42">
        <v>166.3784861592755</v>
      </c>
      <c r="GJ157" s="42">
        <v>191.83683571017062</v>
      </c>
      <c r="GK157" s="42">
        <v>262.96647809756547</v>
      </c>
      <c r="GL157" s="42">
        <v>393.54475902982853</v>
      </c>
      <c r="GM157" s="42">
        <v>738.7953364933885</v>
      </c>
      <c r="GN157" s="42">
        <v>1635.0843593419804</v>
      </c>
      <c r="GO157" s="42">
        <v>4592.6553721208202</v>
      </c>
      <c r="GP157" s="42">
        <v>1558.6172095600818</v>
      </c>
      <c r="GQ157" s="42">
        <v>1700.3675069077315</v>
      </c>
      <c r="GR157" s="42">
        <v>2041.8063486080744</v>
      </c>
      <c r="GS157" s="42">
        <v>2262.6310393159802</v>
      </c>
      <c r="GT157" s="42">
        <v>3412.224426806496</v>
      </c>
      <c r="GU157" s="36">
        <v>0</v>
      </c>
      <c r="GV157" s="36">
        <v>0</v>
      </c>
      <c r="GW157" s="36">
        <v>0</v>
      </c>
      <c r="GX157" s="36">
        <v>0</v>
      </c>
      <c r="GY157" s="36">
        <v>0</v>
      </c>
      <c r="GZ157" s="36">
        <v>0</v>
      </c>
      <c r="HA157" s="38">
        <v>8.1041249941335991E-2</v>
      </c>
      <c r="HB157" s="36">
        <v>7179.1738037892692</v>
      </c>
      <c r="HC157" s="36">
        <f t="shared" si="2"/>
        <v>182559.01537048473</v>
      </c>
      <c r="HD157" s="36">
        <f>SUM(EX$5:EX$213)</f>
        <v>182559.01537048473</v>
      </c>
      <c r="HE157" s="41">
        <v>0</v>
      </c>
      <c r="HG157" s="43"/>
      <c r="HH157" s="43"/>
      <c r="HI157" s="43"/>
      <c r="HJ157" s="43"/>
      <c r="HK157" s="43"/>
      <c r="HL157" s="43"/>
      <c r="HM157" s="43"/>
      <c r="HN157" s="43"/>
      <c r="HO157" s="43"/>
      <c r="HP157" s="43"/>
      <c r="HQ157" s="43"/>
      <c r="HR157" s="43"/>
      <c r="HS157" s="43"/>
      <c r="HT157" s="43"/>
    </row>
    <row r="158" spans="1:228" hidden="1" outlineLevel="1" x14ac:dyDescent="0.2">
      <c r="A158" s="9" t="s">
        <v>1183</v>
      </c>
      <c r="B158" s="36">
        <v>0</v>
      </c>
      <c r="C158" s="36">
        <v>0</v>
      </c>
      <c r="D158" s="36">
        <v>0</v>
      </c>
      <c r="E158" s="36">
        <v>0</v>
      </c>
      <c r="F158" s="36">
        <v>0</v>
      </c>
      <c r="G158" s="36">
        <v>0</v>
      </c>
      <c r="H158" s="36">
        <v>0</v>
      </c>
      <c r="I158" s="36">
        <v>0</v>
      </c>
      <c r="J158" s="36">
        <v>0</v>
      </c>
      <c r="K158" s="36">
        <v>0</v>
      </c>
      <c r="L158" s="36">
        <v>0</v>
      </c>
      <c r="M158" s="36">
        <v>0</v>
      </c>
      <c r="N158" s="36">
        <v>0</v>
      </c>
      <c r="O158" s="36">
        <v>0</v>
      </c>
      <c r="P158" s="36">
        <v>0</v>
      </c>
      <c r="Q158" s="36">
        <v>0</v>
      </c>
      <c r="R158" s="36">
        <v>0</v>
      </c>
      <c r="S158" s="36">
        <v>0</v>
      </c>
      <c r="T158" s="36">
        <v>0</v>
      </c>
      <c r="U158" s="36">
        <v>0</v>
      </c>
      <c r="V158" s="36">
        <v>0</v>
      </c>
      <c r="W158" s="36">
        <v>0</v>
      </c>
      <c r="X158" s="36">
        <v>0</v>
      </c>
      <c r="Y158" s="36">
        <v>0</v>
      </c>
      <c r="Z158" s="36">
        <v>0</v>
      </c>
      <c r="AA158" s="36">
        <v>0</v>
      </c>
      <c r="AB158" s="36">
        <v>0</v>
      </c>
      <c r="AC158" s="36">
        <v>0</v>
      </c>
      <c r="AD158" s="36">
        <v>0</v>
      </c>
      <c r="AE158" s="36">
        <v>0</v>
      </c>
      <c r="AF158" s="36">
        <v>0</v>
      </c>
      <c r="AG158" s="36">
        <v>0</v>
      </c>
      <c r="AH158" s="36">
        <v>0</v>
      </c>
      <c r="AI158" s="36">
        <v>0</v>
      </c>
      <c r="AJ158" s="36">
        <v>0</v>
      </c>
      <c r="AK158" s="36">
        <v>0</v>
      </c>
      <c r="AL158" s="36">
        <v>0</v>
      </c>
      <c r="AM158" s="36">
        <v>0</v>
      </c>
      <c r="AN158" s="36">
        <v>0</v>
      </c>
      <c r="AO158" s="36">
        <v>0</v>
      </c>
      <c r="AP158" s="36">
        <v>0</v>
      </c>
      <c r="AQ158" s="36">
        <v>0</v>
      </c>
      <c r="AR158" s="36">
        <v>0</v>
      </c>
      <c r="AS158" s="36">
        <v>0</v>
      </c>
      <c r="AT158" s="36">
        <v>0</v>
      </c>
      <c r="AU158" s="36">
        <v>0</v>
      </c>
      <c r="AV158" s="36">
        <v>0</v>
      </c>
      <c r="AW158" s="36">
        <v>0</v>
      </c>
      <c r="AX158" s="36">
        <v>0</v>
      </c>
      <c r="AY158" s="36">
        <v>0</v>
      </c>
      <c r="AZ158" s="36">
        <v>0</v>
      </c>
      <c r="BA158" s="36">
        <v>0</v>
      </c>
      <c r="BB158" s="36">
        <v>0</v>
      </c>
      <c r="BC158" s="36">
        <v>0</v>
      </c>
      <c r="BD158" s="36">
        <v>0</v>
      </c>
      <c r="BE158" s="36">
        <v>0</v>
      </c>
      <c r="BF158" s="36">
        <v>0</v>
      </c>
      <c r="BG158" s="36">
        <v>0</v>
      </c>
      <c r="BH158" s="36">
        <v>0</v>
      </c>
      <c r="BI158" s="36">
        <v>0</v>
      </c>
      <c r="BJ158" s="36">
        <v>0</v>
      </c>
      <c r="BK158" s="36">
        <v>0</v>
      </c>
      <c r="BL158" s="36">
        <v>0</v>
      </c>
      <c r="BM158" s="36">
        <v>0</v>
      </c>
      <c r="BN158" s="36">
        <v>0</v>
      </c>
      <c r="BO158" s="36">
        <v>0</v>
      </c>
      <c r="BP158" s="36">
        <v>0</v>
      </c>
      <c r="BQ158" s="36">
        <v>0</v>
      </c>
      <c r="BR158" s="36">
        <v>0</v>
      </c>
      <c r="BS158" s="36">
        <v>0</v>
      </c>
      <c r="BT158" s="36">
        <v>0</v>
      </c>
      <c r="BU158" s="36">
        <v>0</v>
      </c>
      <c r="BV158" s="36">
        <v>0</v>
      </c>
      <c r="BW158" s="36">
        <v>0</v>
      </c>
      <c r="BX158" s="36">
        <v>0</v>
      </c>
      <c r="BY158" s="36">
        <v>0</v>
      </c>
      <c r="BZ158" s="36">
        <v>0</v>
      </c>
      <c r="CA158" s="36">
        <v>0</v>
      </c>
      <c r="CB158" s="36">
        <v>0</v>
      </c>
      <c r="CC158" s="36">
        <v>0</v>
      </c>
      <c r="CD158" s="36">
        <v>0</v>
      </c>
      <c r="CE158" s="36">
        <v>0</v>
      </c>
      <c r="CF158" s="36">
        <v>0</v>
      </c>
      <c r="CG158" s="36">
        <v>0</v>
      </c>
      <c r="CH158" s="36">
        <v>0</v>
      </c>
      <c r="CI158" s="36">
        <v>0</v>
      </c>
      <c r="CJ158" s="36">
        <v>0</v>
      </c>
      <c r="CK158" s="36">
        <v>0</v>
      </c>
      <c r="CL158" s="36">
        <v>0</v>
      </c>
      <c r="CM158" s="36">
        <v>0</v>
      </c>
      <c r="CN158" s="36">
        <v>0</v>
      </c>
      <c r="CO158" s="36">
        <v>0</v>
      </c>
      <c r="CP158" s="36">
        <v>0</v>
      </c>
      <c r="CQ158" s="36">
        <v>0</v>
      </c>
      <c r="CR158" s="36">
        <v>0</v>
      </c>
      <c r="CS158" s="36">
        <v>0</v>
      </c>
      <c r="CT158" s="36">
        <v>0</v>
      </c>
      <c r="CU158" s="36">
        <v>0</v>
      </c>
      <c r="CV158" s="36">
        <v>0</v>
      </c>
      <c r="CW158" s="36">
        <v>0</v>
      </c>
      <c r="CX158" s="36">
        <v>0</v>
      </c>
      <c r="CY158" s="36">
        <v>0</v>
      </c>
      <c r="CZ158" s="36">
        <v>0</v>
      </c>
      <c r="DA158" s="36">
        <v>0</v>
      </c>
      <c r="DB158" s="36">
        <v>0</v>
      </c>
      <c r="DC158" s="36">
        <v>0</v>
      </c>
      <c r="DD158" s="36">
        <v>0</v>
      </c>
      <c r="DE158" s="36">
        <v>0</v>
      </c>
      <c r="DF158" s="36">
        <v>0</v>
      </c>
      <c r="DG158" s="36">
        <v>0</v>
      </c>
      <c r="DH158" s="36">
        <v>0</v>
      </c>
      <c r="DI158" s="36">
        <v>0</v>
      </c>
      <c r="DJ158" s="36">
        <v>0</v>
      </c>
      <c r="DK158" s="36">
        <v>0</v>
      </c>
      <c r="DL158" s="36">
        <v>0</v>
      </c>
      <c r="DM158" s="36">
        <v>0</v>
      </c>
      <c r="DN158" s="36">
        <v>0</v>
      </c>
      <c r="DO158" s="36">
        <v>0</v>
      </c>
      <c r="DP158" s="36">
        <v>0</v>
      </c>
      <c r="DQ158" s="36">
        <v>0</v>
      </c>
      <c r="DR158" s="36">
        <v>0</v>
      </c>
      <c r="DS158" s="36">
        <v>0</v>
      </c>
      <c r="DT158" s="36">
        <v>0</v>
      </c>
      <c r="DU158" s="36">
        <v>0</v>
      </c>
      <c r="DV158" s="36">
        <v>0</v>
      </c>
      <c r="DW158" s="36">
        <v>0</v>
      </c>
      <c r="DX158" s="36">
        <v>0</v>
      </c>
      <c r="DY158" s="36">
        <v>0</v>
      </c>
      <c r="DZ158" s="36">
        <v>0</v>
      </c>
      <c r="EA158" s="36">
        <v>0</v>
      </c>
      <c r="EB158" s="36">
        <v>0</v>
      </c>
      <c r="EC158" s="36">
        <v>0</v>
      </c>
      <c r="ED158" s="36">
        <v>0</v>
      </c>
      <c r="EE158" s="36">
        <v>0</v>
      </c>
      <c r="EF158" s="36">
        <v>0</v>
      </c>
      <c r="EG158" s="36">
        <v>0</v>
      </c>
      <c r="EH158" s="36">
        <v>0</v>
      </c>
      <c r="EI158" s="36">
        <v>0</v>
      </c>
      <c r="EJ158" s="36">
        <v>0</v>
      </c>
      <c r="EK158" s="36">
        <v>0</v>
      </c>
      <c r="EL158" s="36">
        <v>0</v>
      </c>
      <c r="EM158" s="36">
        <v>0</v>
      </c>
      <c r="EN158" s="36">
        <v>0</v>
      </c>
      <c r="EO158" s="36">
        <v>0</v>
      </c>
      <c r="EP158" s="36">
        <v>0</v>
      </c>
      <c r="EQ158" s="36">
        <v>0</v>
      </c>
      <c r="ER158" s="36">
        <v>0</v>
      </c>
      <c r="ES158" s="36">
        <v>0</v>
      </c>
      <c r="ET158" s="36">
        <v>0</v>
      </c>
      <c r="EU158" s="36">
        <v>0</v>
      </c>
      <c r="EV158" s="36">
        <v>0</v>
      </c>
      <c r="EW158" s="36">
        <v>0</v>
      </c>
      <c r="EX158" s="36">
        <v>0</v>
      </c>
      <c r="EY158" s="36">
        <v>0</v>
      </c>
      <c r="EZ158" s="36">
        <v>0</v>
      </c>
      <c r="FA158" s="36">
        <v>0</v>
      </c>
      <c r="FB158" s="36">
        <v>0</v>
      </c>
      <c r="FC158" s="36">
        <v>0</v>
      </c>
      <c r="FD158" s="36">
        <v>0</v>
      </c>
      <c r="FE158" s="36">
        <v>0</v>
      </c>
      <c r="FF158" s="36">
        <v>0</v>
      </c>
      <c r="FG158" s="36">
        <v>0</v>
      </c>
      <c r="FH158" s="36">
        <v>0</v>
      </c>
      <c r="FI158" s="36">
        <v>0</v>
      </c>
      <c r="FJ158" s="36">
        <v>0</v>
      </c>
      <c r="FK158" s="36">
        <v>0</v>
      </c>
      <c r="FL158" s="36">
        <v>0</v>
      </c>
      <c r="FM158" s="36">
        <v>0</v>
      </c>
      <c r="FN158" s="36">
        <v>0</v>
      </c>
      <c r="FO158" s="36">
        <v>0</v>
      </c>
      <c r="FP158" s="36">
        <v>0</v>
      </c>
      <c r="FQ158" s="36">
        <v>0</v>
      </c>
      <c r="FR158" s="36">
        <v>0</v>
      </c>
      <c r="FS158" s="36">
        <v>0</v>
      </c>
      <c r="FT158" s="36">
        <v>0</v>
      </c>
      <c r="FU158" s="36">
        <v>0</v>
      </c>
      <c r="FV158" s="36">
        <v>0</v>
      </c>
      <c r="FW158" s="36">
        <v>0</v>
      </c>
      <c r="FX158" s="36">
        <v>0</v>
      </c>
      <c r="FY158" s="36">
        <v>0</v>
      </c>
      <c r="FZ158" s="36">
        <v>0</v>
      </c>
      <c r="GA158" s="36">
        <v>0</v>
      </c>
      <c r="GB158" s="36">
        <v>0</v>
      </c>
      <c r="GC158" s="36">
        <v>0</v>
      </c>
      <c r="GD158" s="36">
        <v>0</v>
      </c>
      <c r="GE158" s="36">
        <v>0</v>
      </c>
      <c r="GF158" s="36">
        <v>0</v>
      </c>
      <c r="GG158" s="42">
        <v>2981.5219154671822</v>
      </c>
      <c r="GH158" s="42">
        <v>4553.569286035161</v>
      </c>
      <c r="GI158" s="42">
        <v>6083.165842552984</v>
      </c>
      <c r="GJ158" s="42">
        <v>8021.3738290039737</v>
      </c>
      <c r="GK158" s="42">
        <v>10111.38781271621</v>
      </c>
      <c r="GL158" s="42">
        <v>13653.823170177615</v>
      </c>
      <c r="GM158" s="42">
        <v>17971.264010982817</v>
      </c>
      <c r="GN158" s="42">
        <v>33210.863609131055</v>
      </c>
      <c r="GO158" s="42">
        <v>60581.995574365377</v>
      </c>
      <c r="GP158" s="42">
        <v>19798.678228644829</v>
      </c>
      <c r="GQ158" s="42">
        <v>17552.541026281629</v>
      </c>
      <c r="GR158" s="42">
        <v>20604.868970867668</v>
      </c>
      <c r="GS158" s="42">
        <v>31348.115969935989</v>
      </c>
      <c r="GT158" s="42">
        <v>42036.510634301747</v>
      </c>
      <c r="GU158" s="36">
        <v>0</v>
      </c>
      <c r="GV158" s="36">
        <v>0</v>
      </c>
      <c r="GW158" s="36">
        <v>0</v>
      </c>
      <c r="GX158" s="36">
        <v>0</v>
      </c>
      <c r="GY158" s="36">
        <v>0</v>
      </c>
      <c r="GZ158" s="36">
        <v>0</v>
      </c>
      <c r="HA158" s="38">
        <v>0</v>
      </c>
      <c r="HB158" s="36">
        <v>0</v>
      </c>
      <c r="HC158" s="36">
        <f t="shared" si="2"/>
        <v>288509.67988046422</v>
      </c>
      <c r="HD158" s="36">
        <f>SUM(EY$5:EY$213)</f>
        <v>288509.67988046427</v>
      </c>
      <c r="HE158" s="41">
        <v>0</v>
      </c>
      <c r="HG158" s="43"/>
      <c r="HH158" s="43"/>
      <c r="HI158" s="43"/>
      <c r="HJ158" s="43"/>
      <c r="HK158" s="43"/>
      <c r="HL158" s="43"/>
      <c r="HM158" s="43"/>
      <c r="HN158" s="43"/>
      <c r="HO158" s="43"/>
      <c r="HP158" s="43"/>
      <c r="HQ158" s="43"/>
      <c r="HR158" s="43"/>
      <c r="HS158" s="43"/>
      <c r="HT158" s="43"/>
    </row>
    <row r="159" spans="1:228" hidden="1" outlineLevel="1" x14ac:dyDescent="0.2">
      <c r="A159" s="9" t="s">
        <v>1514</v>
      </c>
      <c r="B159" s="36">
        <v>6082.4613918722271</v>
      </c>
      <c r="C159" s="36">
        <v>123.89104470912289</v>
      </c>
      <c r="D159" s="36">
        <v>33.245552682286046</v>
      </c>
      <c r="E159" s="36">
        <v>245.23775805218946</v>
      </c>
      <c r="F159" s="36">
        <v>113.25408690782794</v>
      </c>
      <c r="G159" s="36">
        <v>269.52762533075986</v>
      </c>
      <c r="H159" s="36">
        <v>456.31522221410637</v>
      </c>
      <c r="I159" s="36">
        <v>1211.9811959521799</v>
      </c>
      <c r="J159" s="36">
        <v>458.34099703728486</v>
      </c>
      <c r="K159" s="36">
        <v>288.71863991921128</v>
      </c>
      <c r="L159" s="36">
        <v>396.33934256781464</v>
      </c>
      <c r="M159" s="36">
        <v>36.362098421570757</v>
      </c>
      <c r="N159" s="36">
        <v>109.82815482906193</v>
      </c>
      <c r="O159" s="36">
        <v>336.19340002317171</v>
      </c>
      <c r="P159" s="36">
        <v>687.5045756029142</v>
      </c>
      <c r="Q159" s="36">
        <v>860.13672509415892</v>
      </c>
      <c r="R159" s="36">
        <v>232.45040117926638</v>
      </c>
      <c r="S159" s="36">
        <v>515.29613353185846</v>
      </c>
      <c r="T159" s="36">
        <v>816.87686681730383</v>
      </c>
      <c r="U159" s="36">
        <v>109.90367417748058</v>
      </c>
      <c r="V159" s="36">
        <v>674.98901786920305</v>
      </c>
      <c r="W159" s="36">
        <v>126.48693235081116</v>
      </c>
      <c r="X159" s="36">
        <v>461.82057243387737</v>
      </c>
      <c r="Y159" s="36">
        <v>249.00007889790351</v>
      </c>
      <c r="Z159" s="36">
        <v>1168.5937618312944</v>
      </c>
      <c r="AA159" s="36">
        <v>1137.9837789917028</v>
      </c>
      <c r="AB159" s="36">
        <v>350.12067411018916</v>
      </c>
      <c r="AC159" s="36">
        <v>143.47003145868797</v>
      </c>
      <c r="AD159" s="36">
        <v>185.16942829680892</v>
      </c>
      <c r="AE159" s="36">
        <v>434.0901755271899</v>
      </c>
      <c r="AF159" s="36">
        <v>287.19873094362475</v>
      </c>
      <c r="AG159" s="36">
        <v>540.96952233567504</v>
      </c>
      <c r="AH159" s="36">
        <v>355.43067473633408</v>
      </c>
      <c r="AI159" s="36">
        <v>914.14997455271543</v>
      </c>
      <c r="AJ159" s="36">
        <v>884.02543275308233</v>
      </c>
      <c r="AK159" s="36">
        <v>2251.8970141814352</v>
      </c>
      <c r="AL159" s="36">
        <v>9969.3582344338047</v>
      </c>
      <c r="AM159" s="36">
        <v>23521.290410412203</v>
      </c>
      <c r="AN159" s="36">
        <v>8085.157957647707</v>
      </c>
      <c r="AO159" s="36">
        <v>7088.1455211892408</v>
      </c>
      <c r="AP159" s="36">
        <v>2818.5595316760246</v>
      </c>
      <c r="AQ159" s="36">
        <v>26.94188097666893</v>
      </c>
      <c r="AR159" s="36">
        <v>257.31901928122187</v>
      </c>
      <c r="AS159" s="36">
        <v>13974.83708521177</v>
      </c>
      <c r="AT159" s="36">
        <v>6291.6407387020718</v>
      </c>
      <c r="AU159" s="36">
        <v>12964.09565259382</v>
      </c>
      <c r="AV159" s="36">
        <v>3087.7230188947201</v>
      </c>
      <c r="AW159" s="36">
        <v>4588.8939031846849</v>
      </c>
      <c r="AX159" s="36">
        <v>18080.384149812151</v>
      </c>
      <c r="AY159" s="36">
        <v>769.2950112599259</v>
      </c>
      <c r="AZ159" s="36">
        <v>2177.866867045374</v>
      </c>
      <c r="BA159" s="36">
        <v>227.98966864190982</v>
      </c>
      <c r="BB159" s="36">
        <v>17162.189849752402</v>
      </c>
      <c r="BC159" s="36">
        <v>22897.339838984662</v>
      </c>
      <c r="BD159" s="36">
        <v>415.933546506624</v>
      </c>
      <c r="BE159" s="36">
        <v>6297.9513669459484</v>
      </c>
      <c r="BF159" s="36">
        <v>559.16831600937155</v>
      </c>
      <c r="BG159" s="36">
        <v>281.19192265707443</v>
      </c>
      <c r="BH159" s="36">
        <v>1177.4943966735107</v>
      </c>
      <c r="BI159" s="36">
        <v>284.60647740907802</v>
      </c>
      <c r="BJ159" s="36">
        <v>1092.6915808084514</v>
      </c>
      <c r="BK159" s="36">
        <v>0</v>
      </c>
      <c r="BL159" s="36">
        <v>0</v>
      </c>
      <c r="BM159" s="36">
        <v>0</v>
      </c>
      <c r="BN159" s="36">
        <v>0</v>
      </c>
      <c r="BO159" s="36">
        <v>0</v>
      </c>
      <c r="BP159" s="36">
        <v>0</v>
      </c>
      <c r="BQ159" s="36">
        <v>0</v>
      </c>
      <c r="BR159" s="36">
        <v>0</v>
      </c>
      <c r="BS159" s="36">
        <v>0</v>
      </c>
      <c r="BT159" s="36">
        <v>0</v>
      </c>
      <c r="BU159" s="36">
        <v>0</v>
      </c>
      <c r="BV159" s="36">
        <v>0</v>
      </c>
      <c r="BW159" s="36">
        <v>0</v>
      </c>
      <c r="BX159" s="36">
        <v>0</v>
      </c>
      <c r="BY159" s="36">
        <v>0</v>
      </c>
      <c r="BZ159" s="36">
        <v>0</v>
      </c>
      <c r="CA159" s="36">
        <v>0</v>
      </c>
      <c r="CB159" s="36">
        <v>0</v>
      </c>
      <c r="CC159" s="36">
        <v>0</v>
      </c>
      <c r="CD159" s="36">
        <v>0</v>
      </c>
      <c r="CE159" s="36">
        <v>0</v>
      </c>
      <c r="CF159" s="36">
        <v>0</v>
      </c>
      <c r="CG159" s="36">
        <v>0</v>
      </c>
      <c r="CH159" s="36">
        <v>0</v>
      </c>
      <c r="CI159" s="36">
        <v>0</v>
      </c>
      <c r="CJ159" s="36">
        <v>0</v>
      </c>
      <c r="CK159" s="36">
        <v>0</v>
      </c>
      <c r="CL159" s="36">
        <v>0</v>
      </c>
      <c r="CM159" s="36">
        <v>0</v>
      </c>
      <c r="CN159" s="36">
        <v>0</v>
      </c>
      <c r="CO159" s="36">
        <v>0</v>
      </c>
      <c r="CP159" s="36">
        <v>0</v>
      </c>
      <c r="CQ159" s="36">
        <v>0</v>
      </c>
      <c r="CR159" s="36">
        <v>0</v>
      </c>
      <c r="CS159" s="36">
        <v>0</v>
      </c>
      <c r="CT159" s="36">
        <v>0</v>
      </c>
      <c r="CU159" s="36">
        <v>0</v>
      </c>
      <c r="CV159" s="36">
        <v>0</v>
      </c>
      <c r="CW159" s="36">
        <v>0</v>
      </c>
      <c r="CX159" s="36">
        <v>0</v>
      </c>
      <c r="CY159" s="36">
        <v>0</v>
      </c>
      <c r="CZ159" s="36">
        <v>0</v>
      </c>
      <c r="DA159" s="36">
        <v>0</v>
      </c>
      <c r="DB159" s="36">
        <v>0</v>
      </c>
      <c r="DC159" s="36">
        <v>0</v>
      </c>
      <c r="DD159" s="36">
        <v>0</v>
      </c>
      <c r="DE159" s="36">
        <v>0</v>
      </c>
      <c r="DF159" s="36">
        <v>0</v>
      </c>
      <c r="DG159" s="36">
        <v>0</v>
      </c>
      <c r="DH159" s="36">
        <v>0</v>
      </c>
      <c r="DI159" s="36">
        <v>0</v>
      </c>
      <c r="DJ159" s="36">
        <v>0</v>
      </c>
      <c r="DK159" s="36">
        <v>0</v>
      </c>
      <c r="DL159" s="36">
        <v>0</v>
      </c>
      <c r="DM159" s="36">
        <v>0</v>
      </c>
      <c r="DN159" s="36">
        <v>0</v>
      </c>
      <c r="DO159" s="36">
        <v>0</v>
      </c>
      <c r="DP159" s="36">
        <v>0</v>
      </c>
      <c r="DQ159" s="36">
        <v>0</v>
      </c>
      <c r="DR159" s="36">
        <v>0</v>
      </c>
      <c r="DS159" s="36">
        <v>0</v>
      </c>
      <c r="DT159" s="36">
        <v>0</v>
      </c>
      <c r="DU159" s="36">
        <v>0</v>
      </c>
      <c r="DV159" s="36">
        <v>0</v>
      </c>
      <c r="DW159" s="36">
        <v>0</v>
      </c>
      <c r="DX159" s="36">
        <v>0</v>
      </c>
      <c r="DY159" s="36">
        <v>0</v>
      </c>
      <c r="DZ159" s="36">
        <v>0</v>
      </c>
      <c r="EA159" s="36">
        <v>0</v>
      </c>
      <c r="EB159" s="36">
        <v>0</v>
      </c>
      <c r="EC159" s="36">
        <v>0</v>
      </c>
      <c r="ED159" s="36">
        <v>0</v>
      </c>
      <c r="EE159" s="36">
        <v>0</v>
      </c>
      <c r="EF159" s="36">
        <v>0</v>
      </c>
      <c r="EG159" s="36">
        <v>0</v>
      </c>
      <c r="EH159" s="36">
        <v>0</v>
      </c>
      <c r="EI159" s="36">
        <v>0</v>
      </c>
      <c r="EJ159" s="36">
        <v>0</v>
      </c>
      <c r="EK159" s="36">
        <v>0</v>
      </c>
      <c r="EL159" s="36">
        <v>0</v>
      </c>
      <c r="EM159" s="36">
        <v>0</v>
      </c>
      <c r="EN159" s="36">
        <v>0</v>
      </c>
      <c r="EO159" s="36">
        <v>0</v>
      </c>
      <c r="EP159" s="36">
        <v>0</v>
      </c>
      <c r="EQ159" s="36">
        <v>0</v>
      </c>
      <c r="ER159" s="36">
        <v>0</v>
      </c>
      <c r="ES159" s="36">
        <v>0</v>
      </c>
      <c r="ET159" s="36">
        <v>0</v>
      </c>
      <c r="EU159" s="36">
        <v>0</v>
      </c>
      <c r="EV159" s="36">
        <v>0</v>
      </c>
      <c r="EW159" s="36">
        <v>0</v>
      </c>
      <c r="EX159" s="36">
        <v>0</v>
      </c>
      <c r="EY159" s="36">
        <v>0</v>
      </c>
      <c r="EZ159" s="36">
        <v>0</v>
      </c>
      <c r="FA159" s="36">
        <v>0</v>
      </c>
      <c r="FB159" s="36">
        <v>0</v>
      </c>
      <c r="FC159" s="36">
        <v>0</v>
      </c>
      <c r="FD159" s="36">
        <v>0</v>
      </c>
      <c r="FE159" s="36">
        <v>0</v>
      </c>
      <c r="FF159" s="36">
        <v>0</v>
      </c>
      <c r="FG159" s="36">
        <v>0</v>
      </c>
      <c r="FH159" s="36">
        <v>0</v>
      </c>
      <c r="FI159" s="36">
        <v>0</v>
      </c>
      <c r="FJ159" s="36">
        <v>0</v>
      </c>
      <c r="FK159" s="36">
        <v>0</v>
      </c>
      <c r="FL159" s="36">
        <v>0</v>
      </c>
      <c r="FM159" s="36">
        <v>0</v>
      </c>
      <c r="FN159" s="36">
        <v>0</v>
      </c>
      <c r="FO159" s="36">
        <v>0</v>
      </c>
      <c r="FP159" s="36">
        <v>0</v>
      </c>
      <c r="FQ159" s="36">
        <v>0</v>
      </c>
      <c r="FR159" s="36">
        <v>0</v>
      </c>
      <c r="FS159" s="36">
        <v>0</v>
      </c>
      <c r="FT159" s="36">
        <v>0</v>
      </c>
      <c r="FU159" s="36">
        <v>0</v>
      </c>
      <c r="FV159" s="36">
        <v>0</v>
      </c>
      <c r="FW159" s="36">
        <v>0</v>
      </c>
      <c r="FX159" s="36">
        <v>0</v>
      </c>
      <c r="FY159" s="36">
        <v>0</v>
      </c>
      <c r="FZ159" s="36">
        <v>0</v>
      </c>
      <c r="GA159" s="36">
        <v>0</v>
      </c>
      <c r="GB159" s="36">
        <v>0</v>
      </c>
      <c r="GC159" s="36">
        <v>0</v>
      </c>
      <c r="GD159" s="36">
        <v>0</v>
      </c>
      <c r="GE159" s="36">
        <v>0</v>
      </c>
      <c r="GF159" s="36">
        <v>0</v>
      </c>
      <c r="GG159" s="42">
        <v>776.48537432757314</v>
      </c>
      <c r="GH159" s="42">
        <v>1185.8976897842194</v>
      </c>
      <c r="GI159" s="42">
        <v>1584.254431217664</v>
      </c>
      <c r="GJ159" s="42">
        <v>2089.0268919118757</v>
      </c>
      <c r="GK159" s="42">
        <v>2633.3345765456029</v>
      </c>
      <c r="GL159" s="42">
        <v>3555.900072475772</v>
      </c>
      <c r="GM159" s="42">
        <v>4680.3022276363454</v>
      </c>
      <c r="GN159" s="42">
        <v>8649.1901090847277</v>
      </c>
      <c r="GO159" s="42">
        <v>15777.523977616478</v>
      </c>
      <c r="GP159" s="42">
        <v>5156.2203838946316</v>
      </c>
      <c r="GQ159" s="42">
        <v>4571.253130318436</v>
      </c>
      <c r="GR159" s="42">
        <v>5366.1786998160624</v>
      </c>
      <c r="GS159" s="42">
        <v>8164.0699795311793</v>
      </c>
      <c r="GT159" s="42">
        <v>10947.675925496675</v>
      </c>
      <c r="GU159" s="36">
        <v>0</v>
      </c>
      <c r="GV159" s="36">
        <v>0</v>
      </c>
      <c r="GW159" s="36">
        <v>0</v>
      </c>
      <c r="GX159" s="36">
        <v>0</v>
      </c>
      <c r="GY159" s="36">
        <v>0</v>
      </c>
      <c r="GZ159" s="36">
        <v>9759.4619766099986</v>
      </c>
      <c r="HA159" s="38">
        <v>-7.6679617282934487E-2</v>
      </c>
      <c r="HB159" s="36">
        <v>0</v>
      </c>
      <c r="HC159" s="36">
        <f t="shared" si="2"/>
        <v>272544.02540155267</v>
      </c>
      <c r="HD159" s="36">
        <f>SUM(EZ$5:EZ$213)</f>
        <v>272544.02540155267</v>
      </c>
      <c r="HE159" s="41">
        <v>0</v>
      </c>
      <c r="HG159" s="43"/>
      <c r="HH159" s="43"/>
      <c r="HI159" s="43"/>
      <c r="HJ159" s="43"/>
      <c r="HK159" s="43"/>
      <c r="HL159" s="43"/>
      <c r="HM159" s="43"/>
      <c r="HN159" s="43"/>
      <c r="HO159" s="43"/>
      <c r="HP159" s="43"/>
      <c r="HQ159" s="43"/>
      <c r="HR159" s="43"/>
      <c r="HS159" s="43"/>
      <c r="HT159" s="43"/>
    </row>
    <row r="160" spans="1:228" hidden="1" outlineLevel="1" x14ac:dyDescent="0.2">
      <c r="A160" s="9" t="s">
        <v>1190</v>
      </c>
      <c r="B160" s="36">
        <v>1824.9931560639861</v>
      </c>
      <c r="C160" s="36">
        <v>26.536823584998629</v>
      </c>
      <c r="D160" s="36">
        <v>30.124210890884797</v>
      </c>
      <c r="E160" s="36">
        <v>154.26943864287057</v>
      </c>
      <c r="F160" s="36">
        <v>26.861233418121756</v>
      </c>
      <c r="G160" s="36">
        <v>34.839586769903221</v>
      </c>
      <c r="H160" s="36">
        <v>154.11178412125051</v>
      </c>
      <c r="I160" s="36">
        <v>978.73001866811205</v>
      </c>
      <c r="J160" s="36">
        <v>693.90373743619352</v>
      </c>
      <c r="K160" s="36">
        <v>49.821199070944942</v>
      </c>
      <c r="L160" s="36">
        <v>232.57613023252219</v>
      </c>
      <c r="M160" s="36">
        <v>42.505483609564472</v>
      </c>
      <c r="N160" s="36">
        <v>40.228324741373385</v>
      </c>
      <c r="O160" s="36">
        <v>117.08783838393285</v>
      </c>
      <c r="P160" s="36">
        <v>176.12513132390018</v>
      </c>
      <c r="Q160" s="36">
        <v>548.57103704456586</v>
      </c>
      <c r="R160" s="36">
        <v>116.9199370918752</v>
      </c>
      <c r="S160" s="36">
        <v>328.59022507787466</v>
      </c>
      <c r="T160" s="36">
        <v>302.43026842613483</v>
      </c>
      <c r="U160" s="36">
        <v>55.785849884377662</v>
      </c>
      <c r="V160" s="36">
        <v>59.885594921304367</v>
      </c>
      <c r="W160" s="36">
        <v>19.09983170970354</v>
      </c>
      <c r="X160" s="36">
        <v>183.08703478523273</v>
      </c>
      <c r="Y160" s="36">
        <v>76.037770916876113</v>
      </c>
      <c r="Z160" s="36">
        <v>143.79218580932812</v>
      </c>
      <c r="AA160" s="36">
        <v>240.38811431649555</v>
      </c>
      <c r="AB160" s="36">
        <v>73.766480230493613</v>
      </c>
      <c r="AC160" s="36">
        <v>39.3464355401982</v>
      </c>
      <c r="AD160" s="36">
        <v>24.106253597166344</v>
      </c>
      <c r="AE160" s="36">
        <v>739.4136587337191</v>
      </c>
      <c r="AF160" s="36">
        <v>56.942081438812984</v>
      </c>
      <c r="AG160" s="36">
        <v>39.609156657513026</v>
      </c>
      <c r="AH160" s="36">
        <v>95.03345001767957</v>
      </c>
      <c r="AI160" s="36">
        <v>550.1727276216302</v>
      </c>
      <c r="AJ160" s="36">
        <v>458.38722266215581</v>
      </c>
      <c r="AK160" s="36">
        <v>2287.0917738473927</v>
      </c>
      <c r="AL160" s="36">
        <v>2941.5659997567259</v>
      </c>
      <c r="AM160" s="36">
        <v>1709.525628232072</v>
      </c>
      <c r="AN160" s="36">
        <v>1294.7833116045217</v>
      </c>
      <c r="AO160" s="36">
        <v>1303.0607908944296</v>
      </c>
      <c r="AP160" s="36">
        <v>912.04357903796722</v>
      </c>
      <c r="AQ160" s="36">
        <v>38.708082744750214</v>
      </c>
      <c r="AR160" s="36">
        <v>1888.5851083168573</v>
      </c>
      <c r="AS160" s="36">
        <v>1682.6670359627799</v>
      </c>
      <c r="AT160" s="36">
        <v>1604.4808194722302</v>
      </c>
      <c r="AU160" s="36">
        <v>0</v>
      </c>
      <c r="AV160" s="36">
        <v>141.94926846750414</v>
      </c>
      <c r="AW160" s="36">
        <v>2600.6561185782043</v>
      </c>
      <c r="AX160" s="36">
        <v>3247.0403768821407</v>
      </c>
      <c r="AY160" s="36">
        <v>1389.0683844341913</v>
      </c>
      <c r="AZ160" s="36">
        <v>6744.6330559916132</v>
      </c>
      <c r="BA160" s="36">
        <v>226.06048199489706</v>
      </c>
      <c r="BB160" s="36">
        <v>19281.839856472627</v>
      </c>
      <c r="BC160" s="36">
        <v>17323.924306308862</v>
      </c>
      <c r="BD160" s="36">
        <v>974.99952587932626</v>
      </c>
      <c r="BE160" s="36">
        <v>1899.519450176379</v>
      </c>
      <c r="BF160" s="36">
        <v>234.29806142111372</v>
      </c>
      <c r="BG160" s="36">
        <v>82.377350745997845</v>
      </c>
      <c r="BH160" s="36">
        <v>6014.9603709725343</v>
      </c>
      <c r="BI160" s="36">
        <v>43.096002997491681</v>
      </c>
      <c r="BJ160" s="36">
        <v>1149.7231731107836</v>
      </c>
      <c r="BK160" s="36">
        <v>0</v>
      </c>
      <c r="BL160" s="36">
        <v>0</v>
      </c>
      <c r="BM160" s="36">
        <v>0</v>
      </c>
      <c r="BN160" s="36">
        <v>0</v>
      </c>
      <c r="BO160" s="36">
        <v>0</v>
      </c>
      <c r="BP160" s="36">
        <v>0</v>
      </c>
      <c r="BQ160" s="36">
        <v>0</v>
      </c>
      <c r="BR160" s="36">
        <v>0</v>
      </c>
      <c r="BS160" s="36">
        <v>0</v>
      </c>
      <c r="BT160" s="36">
        <v>0</v>
      </c>
      <c r="BU160" s="36">
        <v>0</v>
      </c>
      <c r="BV160" s="36">
        <v>0</v>
      </c>
      <c r="BW160" s="36">
        <v>0</v>
      </c>
      <c r="BX160" s="36">
        <v>0</v>
      </c>
      <c r="BY160" s="36">
        <v>0</v>
      </c>
      <c r="BZ160" s="36">
        <v>0</v>
      </c>
      <c r="CA160" s="36">
        <v>0</v>
      </c>
      <c r="CB160" s="36">
        <v>0</v>
      </c>
      <c r="CC160" s="36">
        <v>0</v>
      </c>
      <c r="CD160" s="36">
        <v>0</v>
      </c>
      <c r="CE160" s="36">
        <v>0</v>
      </c>
      <c r="CF160" s="36">
        <v>0</v>
      </c>
      <c r="CG160" s="36">
        <v>0</v>
      </c>
      <c r="CH160" s="36">
        <v>0</v>
      </c>
      <c r="CI160" s="36">
        <v>0</v>
      </c>
      <c r="CJ160" s="36">
        <v>0</v>
      </c>
      <c r="CK160" s="36">
        <v>0</v>
      </c>
      <c r="CL160" s="36">
        <v>0</v>
      </c>
      <c r="CM160" s="36">
        <v>0</v>
      </c>
      <c r="CN160" s="36">
        <v>0</v>
      </c>
      <c r="CO160" s="36">
        <v>0</v>
      </c>
      <c r="CP160" s="36">
        <v>0</v>
      </c>
      <c r="CQ160" s="36">
        <v>0</v>
      </c>
      <c r="CR160" s="36">
        <v>0</v>
      </c>
      <c r="CS160" s="36">
        <v>0</v>
      </c>
      <c r="CT160" s="36">
        <v>0</v>
      </c>
      <c r="CU160" s="36">
        <v>0</v>
      </c>
      <c r="CV160" s="36">
        <v>0</v>
      </c>
      <c r="CW160" s="36">
        <v>0</v>
      </c>
      <c r="CX160" s="36">
        <v>0</v>
      </c>
      <c r="CY160" s="36">
        <v>0</v>
      </c>
      <c r="CZ160" s="36">
        <v>0</v>
      </c>
      <c r="DA160" s="36">
        <v>0</v>
      </c>
      <c r="DB160" s="36">
        <v>0</v>
      </c>
      <c r="DC160" s="36">
        <v>0</v>
      </c>
      <c r="DD160" s="36">
        <v>0</v>
      </c>
      <c r="DE160" s="36">
        <v>0</v>
      </c>
      <c r="DF160" s="36">
        <v>0</v>
      </c>
      <c r="DG160" s="36">
        <v>0</v>
      </c>
      <c r="DH160" s="36">
        <v>0</v>
      </c>
      <c r="DI160" s="36">
        <v>0</v>
      </c>
      <c r="DJ160" s="36">
        <v>0</v>
      </c>
      <c r="DK160" s="36">
        <v>0</v>
      </c>
      <c r="DL160" s="36">
        <v>0</v>
      </c>
      <c r="DM160" s="36">
        <v>0</v>
      </c>
      <c r="DN160" s="36">
        <v>0</v>
      </c>
      <c r="DO160" s="36">
        <v>0</v>
      </c>
      <c r="DP160" s="36">
        <v>0</v>
      </c>
      <c r="DQ160" s="36">
        <v>0</v>
      </c>
      <c r="DR160" s="36">
        <v>0</v>
      </c>
      <c r="DS160" s="36">
        <v>0</v>
      </c>
      <c r="DT160" s="36">
        <v>0</v>
      </c>
      <c r="DU160" s="36">
        <v>0</v>
      </c>
      <c r="DV160" s="36">
        <v>0</v>
      </c>
      <c r="DW160" s="36">
        <v>0</v>
      </c>
      <c r="DX160" s="36">
        <v>0</v>
      </c>
      <c r="DY160" s="36">
        <v>0</v>
      </c>
      <c r="DZ160" s="36">
        <v>0</v>
      </c>
      <c r="EA160" s="36">
        <v>0</v>
      </c>
      <c r="EB160" s="36">
        <v>0</v>
      </c>
      <c r="EC160" s="36">
        <v>0</v>
      </c>
      <c r="ED160" s="36">
        <v>0</v>
      </c>
      <c r="EE160" s="36">
        <v>0</v>
      </c>
      <c r="EF160" s="36">
        <v>0</v>
      </c>
      <c r="EG160" s="36">
        <v>0</v>
      </c>
      <c r="EH160" s="36">
        <v>0</v>
      </c>
      <c r="EI160" s="36">
        <v>0</v>
      </c>
      <c r="EJ160" s="36">
        <v>0</v>
      </c>
      <c r="EK160" s="36">
        <v>0</v>
      </c>
      <c r="EL160" s="36">
        <v>0</v>
      </c>
      <c r="EM160" s="36">
        <v>0</v>
      </c>
      <c r="EN160" s="36">
        <v>0</v>
      </c>
      <c r="EO160" s="36">
        <v>0</v>
      </c>
      <c r="EP160" s="36">
        <v>0</v>
      </c>
      <c r="EQ160" s="36">
        <v>0</v>
      </c>
      <c r="ER160" s="36">
        <v>0</v>
      </c>
      <c r="ES160" s="36">
        <v>0</v>
      </c>
      <c r="ET160" s="36">
        <v>0</v>
      </c>
      <c r="EU160" s="36">
        <v>0</v>
      </c>
      <c r="EV160" s="36">
        <v>0</v>
      </c>
      <c r="EW160" s="36">
        <v>0</v>
      </c>
      <c r="EX160" s="36">
        <v>0</v>
      </c>
      <c r="EY160" s="36">
        <v>0</v>
      </c>
      <c r="EZ160" s="36">
        <v>0</v>
      </c>
      <c r="FA160" s="36">
        <v>0</v>
      </c>
      <c r="FB160" s="36">
        <v>0</v>
      </c>
      <c r="FC160" s="36">
        <v>0</v>
      </c>
      <c r="FD160" s="36">
        <v>0</v>
      </c>
      <c r="FE160" s="36">
        <v>0</v>
      </c>
      <c r="FF160" s="36">
        <v>0</v>
      </c>
      <c r="FG160" s="36">
        <v>0</v>
      </c>
      <c r="FH160" s="36">
        <v>0</v>
      </c>
      <c r="FI160" s="36">
        <v>0</v>
      </c>
      <c r="FJ160" s="36">
        <v>0</v>
      </c>
      <c r="FK160" s="36">
        <v>0</v>
      </c>
      <c r="FL160" s="36">
        <v>0</v>
      </c>
      <c r="FM160" s="36">
        <v>0</v>
      </c>
      <c r="FN160" s="36">
        <v>0</v>
      </c>
      <c r="FO160" s="36">
        <v>0</v>
      </c>
      <c r="FP160" s="36">
        <v>0</v>
      </c>
      <c r="FQ160" s="36">
        <v>0</v>
      </c>
      <c r="FR160" s="36">
        <v>0</v>
      </c>
      <c r="FS160" s="36">
        <v>0</v>
      </c>
      <c r="FT160" s="36">
        <v>0</v>
      </c>
      <c r="FU160" s="36">
        <v>0</v>
      </c>
      <c r="FV160" s="36">
        <v>0</v>
      </c>
      <c r="FW160" s="36">
        <v>0</v>
      </c>
      <c r="FX160" s="36">
        <v>0</v>
      </c>
      <c r="FY160" s="36">
        <v>0</v>
      </c>
      <c r="FZ160" s="36">
        <v>0</v>
      </c>
      <c r="GA160" s="36">
        <v>0</v>
      </c>
      <c r="GB160" s="36">
        <v>0</v>
      </c>
      <c r="GC160" s="36">
        <v>0</v>
      </c>
      <c r="GD160" s="36">
        <v>0</v>
      </c>
      <c r="GE160" s="36">
        <v>0</v>
      </c>
      <c r="GF160" s="36">
        <v>0</v>
      </c>
      <c r="GG160" s="42">
        <v>89.344893923745005</v>
      </c>
      <c r="GH160" s="42">
        <v>118.57711006396602</v>
      </c>
      <c r="GI160" s="42">
        <v>253.38693482363337</v>
      </c>
      <c r="GJ160" s="42">
        <v>76.670812877717154</v>
      </c>
      <c r="GK160" s="42">
        <v>285.66656561886907</v>
      </c>
      <c r="GL160" s="42">
        <v>268.76050119697157</v>
      </c>
      <c r="GM160" s="42">
        <v>261.79063491199338</v>
      </c>
      <c r="GN160" s="42">
        <v>576.88116385894307</v>
      </c>
      <c r="GO160" s="42">
        <v>1155.404423210907</v>
      </c>
      <c r="GP160" s="42">
        <v>91.18009564717191</v>
      </c>
      <c r="GQ160" s="42">
        <v>224.51464287902533</v>
      </c>
      <c r="GR160" s="42">
        <v>118.88267725082488</v>
      </c>
      <c r="GS160" s="42">
        <v>262.40685150692553</v>
      </c>
      <c r="GT160" s="42">
        <v>197.75506753714274</v>
      </c>
      <c r="GU160" s="36">
        <v>0</v>
      </c>
      <c r="GV160" s="36">
        <v>0</v>
      </c>
      <c r="GW160" s="36">
        <v>0</v>
      </c>
      <c r="GX160" s="36">
        <v>0</v>
      </c>
      <c r="GY160" s="36">
        <v>0</v>
      </c>
      <c r="GZ160" s="36">
        <v>0</v>
      </c>
      <c r="HA160" s="38">
        <v>-1.1525116860866547E-8</v>
      </c>
      <c r="HB160" s="36">
        <v>1087.3697760570742</v>
      </c>
      <c r="HC160" s="36">
        <f t="shared" si="2"/>
        <v>90819.329479098466</v>
      </c>
      <c r="HD160" s="36">
        <f>SUM(FA$5:FA$213)</f>
        <v>90819.329479098466</v>
      </c>
      <c r="HE160" s="41">
        <v>0</v>
      </c>
      <c r="HG160" s="43"/>
      <c r="HH160" s="43"/>
      <c r="HI160" s="43"/>
      <c r="HJ160" s="43"/>
      <c r="HK160" s="43"/>
      <c r="HL160" s="43"/>
      <c r="HM160" s="43"/>
      <c r="HN160" s="43"/>
      <c r="HO160" s="43"/>
      <c r="HP160" s="43"/>
      <c r="HQ160" s="43"/>
      <c r="HR160" s="43"/>
      <c r="HS160" s="43"/>
      <c r="HT160" s="43"/>
    </row>
    <row r="161" spans="1:228" hidden="1" outlineLevel="1" x14ac:dyDescent="0.2">
      <c r="A161" s="9" t="s">
        <v>1197</v>
      </c>
      <c r="B161" s="36">
        <v>0</v>
      </c>
      <c r="C161" s="36">
        <v>0</v>
      </c>
      <c r="D161" s="36">
        <v>0</v>
      </c>
      <c r="E161" s="36">
        <v>0</v>
      </c>
      <c r="F161" s="36">
        <v>0</v>
      </c>
      <c r="G161" s="36">
        <v>0</v>
      </c>
      <c r="H161" s="36">
        <v>0</v>
      </c>
      <c r="I161" s="36">
        <v>0</v>
      </c>
      <c r="J161" s="36">
        <v>0</v>
      </c>
      <c r="K161" s="36">
        <v>0</v>
      </c>
      <c r="L161" s="36">
        <v>0</v>
      </c>
      <c r="M161" s="36">
        <v>0</v>
      </c>
      <c r="N161" s="36">
        <v>0</v>
      </c>
      <c r="O161" s="36">
        <v>0</v>
      </c>
      <c r="P161" s="36">
        <v>0</v>
      </c>
      <c r="Q161" s="36">
        <v>0</v>
      </c>
      <c r="R161" s="36">
        <v>0</v>
      </c>
      <c r="S161" s="36">
        <v>0</v>
      </c>
      <c r="T161" s="36">
        <v>0</v>
      </c>
      <c r="U161" s="36">
        <v>0</v>
      </c>
      <c r="V161" s="36">
        <v>0</v>
      </c>
      <c r="W161" s="36">
        <v>0</v>
      </c>
      <c r="X161" s="36">
        <v>0</v>
      </c>
      <c r="Y161" s="36">
        <v>0</v>
      </c>
      <c r="Z161" s="36">
        <v>0</v>
      </c>
      <c r="AA161" s="36">
        <v>0</v>
      </c>
      <c r="AB161" s="36">
        <v>0</v>
      </c>
      <c r="AC161" s="36">
        <v>0</v>
      </c>
      <c r="AD161" s="36">
        <v>0</v>
      </c>
      <c r="AE161" s="36">
        <v>0</v>
      </c>
      <c r="AF161" s="36">
        <v>0</v>
      </c>
      <c r="AG161" s="36">
        <v>0</v>
      </c>
      <c r="AH161" s="36">
        <v>0</v>
      </c>
      <c r="AI161" s="36">
        <v>327.64549602461756</v>
      </c>
      <c r="AJ161" s="36">
        <v>413.17299404603688</v>
      </c>
      <c r="AK161" s="36">
        <v>0</v>
      </c>
      <c r="AL161" s="36">
        <v>0</v>
      </c>
      <c r="AM161" s="36">
        <v>0</v>
      </c>
      <c r="AN161" s="36">
        <v>0</v>
      </c>
      <c r="AO161" s="36">
        <v>0</v>
      </c>
      <c r="AP161" s="36">
        <v>0</v>
      </c>
      <c r="AQ161" s="36">
        <v>0</v>
      </c>
      <c r="AR161" s="36">
        <v>0</v>
      </c>
      <c r="AS161" s="36">
        <v>0</v>
      </c>
      <c r="AT161" s="36">
        <v>0</v>
      </c>
      <c r="AU161" s="36">
        <v>0</v>
      </c>
      <c r="AV161" s="36">
        <v>0</v>
      </c>
      <c r="AW161" s="36">
        <v>0</v>
      </c>
      <c r="AX161" s="36">
        <v>0</v>
      </c>
      <c r="AY161" s="36">
        <v>0</v>
      </c>
      <c r="AZ161" s="36">
        <v>0</v>
      </c>
      <c r="BA161" s="36">
        <v>0</v>
      </c>
      <c r="BB161" s="36">
        <v>0</v>
      </c>
      <c r="BC161" s="36">
        <v>136.02430333860278</v>
      </c>
      <c r="BD161" s="36">
        <v>0.18999005411744255</v>
      </c>
      <c r="BE161" s="36">
        <v>1.8389703500374825</v>
      </c>
      <c r="BF161" s="36">
        <v>3.746185564080581</v>
      </c>
      <c r="BG161" s="36">
        <v>0</v>
      </c>
      <c r="BH161" s="36">
        <v>0.50867400570685484</v>
      </c>
      <c r="BI161" s="36">
        <v>0</v>
      </c>
      <c r="BJ161" s="36">
        <v>3.1492272510170496</v>
      </c>
      <c r="BK161" s="36">
        <v>0</v>
      </c>
      <c r="BL161" s="36">
        <v>0</v>
      </c>
      <c r="BM161" s="36">
        <v>0</v>
      </c>
      <c r="BN161" s="36">
        <v>0</v>
      </c>
      <c r="BO161" s="36">
        <v>0</v>
      </c>
      <c r="BP161" s="36">
        <v>0</v>
      </c>
      <c r="BQ161" s="36">
        <v>0</v>
      </c>
      <c r="BR161" s="36">
        <v>0</v>
      </c>
      <c r="BS161" s="36">
        <v>0</v>
      </c>
      <c r="BT161" s="36">
        <v>0</v>
      </c>
      <c r="BU161" s="36">
        <v>0</v>
      </c>
      <c r="BV161" s="36">
        <v>0</v>
      </c>
      <c r="BW161" s="36">
        <v>0</v>
      </c>
      <c r="BX161" s="36">
        <v>0</v>
      </c>
      <c r="BY161" s="36">
        <v>0</v>
      </c>
      <c r="BZ161" s="36">
        <v>0</v>
      </c>
      <c r="CA161" s="36">
        <v>0</v>
      </c>
      <c r="CB161" s="36">
        <v>0</v>
      </c>
      <c r="CC161" s="36">
        <v>0</v>
      </c>
      <c r="CD161" s="36">
        <v>0</v>
      </c>
      <c r="CE161" s="36">
        <v>0</v>
      </c>
      <c r="CF161" s="36">
        <v>0</v>
      </c>
      <c r="CG161" s="36">
        <v>0</v>
      </c>
      <c r="CH161" s="36">
        <v>0</v>
      </c>
      <c r="CI161" s="36">
        <v>0</v>
      </c>
      <c r="CJ161" s="36">
        <v>0</v>
      </c>
      <c r="CK161" s="36">
        <v>0</v>
      </c>
      <c r="CL161" s="36">
        <v>0</v>
      </c>
      <c r="CM161" s="36">
        <v>0</v>
      </c>
      <c r="CN161" s="36">
        <v>0</v>
      </c>
      <c r="CO161" s="36">
        <v>0</v>
      </c>
      <c r="CP161" s="36">
        <v>0</v>
      </c>
      <c r="CQ161" s="36">
        <v>0</v>
      </c>
      <c r="CR161" s="36">
        <v>0</v>
      </c>
      <c r="CS161" s="36">
        <v>0</v>
      </c>
      <c r="CT161" s="36">
        <v>0</v>
      </c>
      <c r="CU161" s="36">
        <v>0</v>
      </c>
      <c r="CV161" s="36">
        <v>0</v>
      </c>
      <c r="CW161" s="36">
        <v>0</v>
      </c>
      <c r="CX161" s="36">
        <v>0</v>
      </c>
      <c r="CY161" s="36">
        <v>0</v>
      </c>
      <c r="CZ161" s="36">
        <v>0</v>
      </c>
      <c r="DA161" s="36">
        <v>0</v>
      </c>
      <c r="DB161" s="36">
        <v>0</v>
      </c>
      <c r="DC161" s="36">
        <v>0</v>
      </c>
      <c r="DD161" s="36">
        <v>0</v>
      </c>
      <c r="DE161" s="36">
        <v>0</v>
      </c>
      <c r="DF161" s="36">
        <v>0</v>
      </c>
      <c r="DG161" s="36">
        <v>0</v>
      </c>
      <c r="DH161" s="36">
        <v>0</v>
      </c>
      <c r="DI161" s="36">
        <v>0</v>
      </c>
      <c r="DJ161" s="36">
        <v>0</v>
      </c>
      <c r="DK161" s="36">
        <v>0</v>
      </c>
      <c r="DL161" s="36">
        <v>0</v>
      </c>
      <c r="DM161" s="36">
        <v>0</v>
      </c>
      <c r="DN161" s="36">
        <v>0</v>
      </c>
      <c r="DO161" s="36">
        <v>0</v>
      </c>
      <c r="DP161" s="36">
        <v>0</v>
      </c>
      <c r="DQ161" s="36">
        <v>0</v>
      </c>
      <c r="DR161" s="36">
        <v>0</v>
      </c>
      <c r="DS161" s="36">
        <v>0</v>
      </c>
      <c r="DT161" s="36">
        <v>0</v>
      </c>
      <c r="DU161" s="36">
        <v>0</v>
      </c>
      <c r="DV161" s="36">
        <v>0</v>
      </c>
      <c r="DW161" s="36">
        <v>0</v>
      </c>
      <c r="DX161" s="36">
        <v>0</v>
      </c>
      <c r="DY161" s="36">
        <v>0</v>
      </c>
      <c r="DZ161" s="36">
        <v>0</v>
      </c>
      <c r="EA161" s="36">
        <v>0</v>
      </c>
      <c r="EB161" s="36">
        <v>0</v>
      </c>
      <c r="EC161" s="36">
        <v>0</v>
      </c>
      <c r="ED161" s="36">
        <v>0</v>
      </c>
      <c r="EE161" s="36">
        <v>0</v>
      </c>
      <c r="EF161" s="36">
        <v>0</v>
      </c>
      <c r="EG161" s="36">
        <v>0</v>
      </c>
      <c r="EH161" s="36">
        <v>0</v>
      </c>
      <c r="EI161" s="36">
        <v>0</v>
      </c>
      <c r="EJ161" s="36">
        <v>0</v>
      </c>
      <c r="EK161" s="36">
        <v>0</v>
      </c>
      <c r="EL161" s="36">
        <v>0</v>
      </c>
      <c r="EM161" s="36">
        <v>0</v>
      </c>
      <c r="EN161" s="36">
        <v>0</v>
      </c>
      <c r="EO161" s="36">
        <v>0</v>
      </c>
      <c r="EP161" s="36">
        <v>0</v>
      </c>
      <c r="EQ161" s="36">
        <v>0</v>
      </c>
      <c r="ER161" s="36">
        <v>0</v>
      </c>
      <c r="ES161" s="36">
        <v>0</v>
      </c>
      <c r="ET161" s="36">
        <v>0</v>
      </c>
      <c r="EU161" s="36">
        <v>0</v>
      </c>
      <c r="EV161" s="36">
        <v>0</v>
      </c>
      <c r="EW161" s="36">
        <v>0</v>
      </c>
      <c r="EX161" s="36">
        <v>0</v>
      </c>
      <c r="EY161" s="36">
        <v>0</v>
      </c>
      <c r="EZ161" s="36">
        <v>0</v>
      </c>
      <c r="FA161" s="36">
        <v>0</v>
      </c>
      <c r="FB161" s="36">
        <v>0</v>
      </c>
      <c r="FC161" s="36">
        <v>0</v>
      </c>
      <c r="FD161" s="36">
        <v>0</v>
      </c>
      <c r="FE161" s="36">
        <v>0</v>
      </c>
      <c r="FF161" s="36">
        <v>0</v>
      </c>
      <c r="FG161" s="36">
        <v>0</v>
      </c>
      <c r="FH161" s="36">
        <v>0</v>
      </c>
      <c r="FI161" s="36">
        <v>0</v>
      </c>
      <c r="FJ161" s="36">
        <v>0</v>
      </c>
      <c r="FK161" s="36">
        <v>0</v>
      </c>
      <c r="FL161" s="36">
        <v>0</v>
      </c>
      <c r="FM161" s="36">
        <v>0</v>
      </c>
      <c r="FN161" s="36">
        <v>0</v>
      </c>
      <c r="FO161" s="36">
        <v>0</v>
      </c>
      <c r="FP161" s="36">
        <v>0</v>
      </c>
      <c r="FQ161" s="36">
        <v>0</v>
      </c>
      <c r="FR161" s="36">
        <v>0</v>
      </c>
      <c r="FS161" s="36">
        <v>0</v>
      </c>
      <c r="FT161" s="36">
        <v>0</v>
      </c>
      <c r="FU161" s="36">
        <v>0</v>
      </c>
      <c r="FV161" s="36">
        <v>0</v>
      </c>
      <c r="FW161" s="36">
        <v>0</v>
      </c>
      <c r="FX161" s="36">
        <v>0</v>
      </c>
      <c r="FY161" s="36">
        <v>0</v>
      </c>
      <c r="FZ161" s="36">
        <v>0</v>
      </c>
      <c r="GA161" s="36">
        <v>0</v>
      </c>
      <c r="GB161" s="36">
        <v>0</v>
      </c>
      <c r="GC161" s="36">
        <v>0</v>
      </c>
      <c r="GD161" s="36">
        <v>0</v>
      </c>
      <c r="GE161" s="36">
        <v>0</v>
      </c>
      <c r="GF161" s="36">
        <v>0</v>
      </c>
      <c r="GG161" s="42">
        <v>0</v>
      </c>
      <c r="GH161" s="42">
        <v>0</v>
      </c>
      <c r="GI161" s="42">
        <v>0</v>
      </c>
      <c r="GJ161" s="42">
        <v>0</v>
      </c>
      <c r="GK161" s="42">
        <v>0</v>
      </c>
      <c r="GL161" s="42">
        <v>0</v>
      </c>
      <c r="GM161" s="42">
        <v>0</v>
      </c>
      <c r="GN161" s="42">
        <v>0</v>
      </c>
      <c r="GO161" s="42">
        <v>0</v>
      </c>
      <c r="GP161" s="42">
        <v>0</v>
      </c>
      <c r="GQ161" s="42">
        <v>0</v>
      </c>
      <c r="GR161" s="42">
        <v>0</v>
      </c>
      <c r="GS161" s="42">
        <v>0</v>
      </c>
      <c r="GT161" s="42">
        <v>0</v>
      </c>
      <c r="GU161" s="36">
        <v>0</v>
      </c>
      <c r="GV161" s="36">
        <v>0</v>
      </c>
      <c r="GW161" s="36">
        <v>0</v>
      </c>
      <c r="GX161" s="36">
        <v>0</v>
      </c>
      <c r="GY161" s="36">
        <v>0</v>
      </c>
      <c r="GZ161" s="36">
        <v>31081.299214852435</v>
      </c>
      <c r="HA161" s="38">
        <v>-0.30115812840813305</v>
      </c>
      <c r="HB161" s="36">
        <v>14774.523699172638</v>
      </c>
      <c r="HC161" s="36">
        <f t="shared" si="2"/>
        <v>46741.797596530887</v>
      </c>
      <c r="HD161" s="36">
        <f>SUM(FB$5:FB$213)</f>
        <v>46741.797596530887</v>
      </c>
      <c r="HE161" s="41">
        <v>0</v>
      </c>
      <c r="HG161" s="43"/>
      <c r="HH161" s="43"/>
      <c r="HI161" s="43"/>
      <c r="HJ161" s="43"/>
      <c r="HK161" s="43"/>
      <c r="HL161" s="43"/>
      <c r="HM161" s="43"/>
      <c r="HN161" s="43"/>
      <c r="HO161" s="43"/>
      <c r="HP161" s="43"/>
      <c r="HQ161" s="43"/>
      <c r="HR161" s="43"/>
      <c r="HS161" s="43"/>
      <c r="HT161" s="43"/>
    </row>
    <row r="162" spans="1:228" hidden="1" outlineLevel="1" x14ac:dyDescent="0.2">
      <c r="A162" s="9" t="s">
        <v>1204</v>
      </c>
      <c r="B162" s="36">
        <v>0</v>
      </c>
      <c r="C162" s="36">
        <v>0</v>
      </c>
      <c r="D162" s="36">
        <v>101.09924178840826</v>
      </c>
      <c r="E162" s="36">
        <v>3717.277176048724</v>
      </c>
      <c r="F162" s="36">
        <v>2972.8755749672027</v>
      </c>
      <c r="G162" s="36">
        <v>16774.272325273749</v>
      </c>
      <c r="H162" s="36">
        <v>1863.415839295563</v>
      </c>
      <c r="I162" s="36">
        <v>2687.0555143675961</v>
      </c>
      <c r="J162" s="36">
        <v>779.04656113229385</v>
      </c>
      <c r="K162" s="36">
        <v>172.32530624485727</v>
      </c>
      <c r="L162" s="36">
        <v>203.27822623328134</v>
      </c>
      <c r="M162" s="36">
        <v>30.547055629156407</v>
      </c>
      <c r="N162" s="36">
        <v>73.552197394739451</v>
      </c>
      <c r="O162" s="36">
        <v>195.46615808690586</v>
      </c>
      <c r="P162" s="36">
        <v>1431.264286522159</v>
      </c>
      <c r="Q162" s="36">
        <v>740.76936433586741</v>
      </c>
      <c r="R162" s="36">
        <v>653.86531403982849</v>
      </c>
      <c r="S162" s="36">
        <v>627.73226257337194</v>
      </c>
      <c r="T162" s="36">
        <v>1396.8188765519942</v>
      </c>
      <c r="U162" s="36">
        <v>188.27985374465385</v>
      </c>
      <c r="V162" s="36">
        <v>337.92295660903636</v>
      </c>
      <c r="W162" s="36">
        <v>39.999600732245099</v>
      </c>
      <c r="X162" s="36">
        <v>906.91124124483406</v>
      </c>
      <c r="Y162" s="36">
        <v>584.4065430553502</v>
      </c>
      <c r="Z162" s="36">
        <v>460.04264598899942</v>
      </c>
      <c r="AA162" s="36">
        <v>804.56984414105614</v>
      </c>
      <c r="AB162" s="36">
        <v>284.06985151418877</v>
      </c>
      <c r="AC162" s="36">
        <v>93.649577521316246</v>
      </c>
      <c r="AD162" s="36">
        <v>124.57319052408531</v>
      </c>
      <c r="AE162" s="36">
        <v>1026.2009267658618</v>
      </c>
      <c r="AF162" s="36">
        <v>172.08884637927454</v>
      </c>
      <c r="AG162" s="36">
        <v>166.17272353116113</v>
      </c>
      <c r="AH162" s="36">
        <v>169.88396768714449</v>
      </c>
      <c r="AI162" s="36">
        <v>714.69212774180289</v>
      </c>
      <c r="AJ162" s="36">
        <v>137.80877382672256</v>
      </c>
      <c r="AK162" s="36">
        <v>3121.5594987445893</v>
      </c>
      <c r="AL162" s="36">
        <v>12713.338016327731</v>
      </c>
      <c r="AM162" s="36">
        <v>5598.2538200992767</v>
      </c>
      <c r="AN162" s="36">
        <v>5030.2975729109903</v>
      </c>
      <c r="AO162" s="36">
        <v>3943.6105582647588</v>
      </c>
      <c r="AP162" s="36">
        <v>1783.3007670457332</v>
      </c>
      <c r="AQ162" s="36">
        <v>63.684506316520348</v>
      </c>
      <c r="AR162" s="36">
        <v>1642.8346278042802</v>
      </c>
      <c r="AS162" s="36">
        <v>1838.3276684693774</v>
      </c>
      <c r="AT162" s="36">
        <v>9540.0686786042879</v>
      </c>
      <c r="AU162" s="36">
        <v>1197.3274051467729</v>
      </c>
      <c r="AV162" s="36">
        <v>13675.932335998017</v>
      </c>
      <c r="AW162" s="36">
        <v>4480.5693459732011</v>
      </c>
      <c r="AX162" s="36">
        <v>2782.7169064917116</v>
      </c>
      <c r="AY162" s="36">
        <v>342.65917626000112</v>
      </c>
      <c r="AZ162" s="36">
        <v>1235.9547588920573</v>
      </c>
      <c r="BA162" s="36">
        <v>497.79007806975721</v>
      </c>
      <c r="BB162" s="36">
        <v>8674.3086769703041</v>
      </c>
      <c r="BC162" s="36">
        <v>6610.9712695164744</v>
      </c>
      <c r="BD162" s="36">
        <v>980.96369853094279</v>
      </c>
      <c r="BE162" s="36">
        <v>5313.0180040475761</v>
      </c>
      <c r="BF162" s="36">
        <v>166.37345505806292</v>
      </c>
      <c r="BG162" s="36">
        <v>535.04331374428068</v>
      </c>
      <c r="BH162" s="36">
        <v>2601.4863386371148</v>
      </c>
      <c r="BI162" s="36">
        <v>71.183197580772983</v>
      </c>
      <c r="BJ162" s="36">
        <v>2922.9202728441264</v>
      </c>
      <c r="BK162" s="36">
        <v>0</v>
      </c>
      <c r="BL162" s="36">
        <v>0</v>
      </c>
      <c r="BM162" s="36">
        <v>0</v>
      </c>
      <c r="BN162" s="36">
        <v>0</v>
      </c>
      <c r="BO162" s="36">
        <v>0</v>
      </c>
      <c r="BP162" s="36">
        <v>0</v>
      </c>
      <c r="BQ162" s="36">
        <v>0</v>
      </c>
      <c r="BR162" s="36">
        <v>0</v>
      </c>
      <c r="BS162" s="36">
        <v>0</v>
      </c>
      <c r="BT162" s="36">
        <v>0</v>
      </c>
      <c r="BU162" s="36">
        <v>0</v>
      </c>
      <c r="BV162" s="36">
        <v>0</v>
      </c>
      <c r="BW162" s="36">
        <v>0</v>
      </c>
      <c r="BX162" s="36">
        <v>0</v>
      </c>
      <c r="BY162" s="36">
        <v>0</v>
      </c>
      <c r="BZ162" s="36">
        <v>0</v>
      </c>
      <c r="CA162" s="36">
        <v>0</v>
      </c>
      <c r="CB162" s="36">
        <v>0</v>
      </c>
      <c r="CC162" s="36">
        <v>0</v>
      </c>
      <c r="CD162" s="36">
        <v>0</v>
      </c>
      <c r="CE162" s="36">
        <v>0</v>
      </c>
      <c r="CF162" s="36">
        <v>0</v>
      </c>
      <c r="CG162" s="36">
        <v>0</v>
      </c>
      <c r="CH162" s="36">
        <v>0</v>
      </c>
      <c r="CI162" s="36">
        <v>0</v>
      </c>
      <c r="CJ162" s="36">
        <v>0</v>
      </c>
      <c r="CK162" s="36">
        <v>0</v>
      </c>
      <c r="CL162" s="36">
        <v>0</v>
      </c>
      <c r="CM162" s="36">
        <v>0</v>
      </c>
      <c r="CN162" s="36">
        <v>0</v>
      </c>
      <c r="CO162" s="36">
        <v>0</v>
      </c>
      <c r="CP162" s="36">
        <v>0</v>
      </c>
      <c r="CQ162" s="36">
        <v>0</v>
      </c>
      <c r="CR162" s="36">
        <v>0</v>
      </c>
      <c r="CS162" s="36">
        <v>0</v>
      </c>
      <c r="CT162" s="36">
        <v>0</v>
      </c>
      <c r="CU162" s="36">
        <v>0</v>
      </c>
      <c r="CV162" s="36">
        <v>0</v>
      </c>
      <c r="CW162" s="36">
        <v>0</v>
      </c>
      <c r="CX162" s="36">
        <v>0</v>
      </c>
      <c r="CY162" s="36">
        <v>0</v>
      </c>
      <c r="CZ162" s="36">
        <v>0</v>
      </c>
      <c r="DA162" s="36">
        <v>0</v>
      </c>
      <c r="DB162" s="36">
        <v>0</v>
      </c>
      <c r="DC162" s="36">
        <v>0</v>
      </c>
      <c r="DD162" s="36">
        <v>0</v>
      </c>
      <c r="DE162" s="36">
        <v>0</v>
      </c>
      <c r="DF162" s="36">
        <v>0</v>
      </c>
      <c r="DG162" s="36">
        <v>0</v>
      </c>
      <c r="DH162" s="36">
        <v>0</v>
      </c>
      <c r="DI162" s="36">
        <v>0</v>
      </c>
      <c r="DJ162" s="36">
        <v>0</v>
      </c>
      <c r="DK162" s="36">
        <v>0</v>
      </c>
      <c r="DL162" s="36">
        <v>0</v>
      </c>
      <c r="DM162" s="36">
        <v>0</v>
      </c>
      <c r="DN162" s="36">
        <v>0</v>
      </c>
      <c r="DO162" s="36">
        <v>0</v>
      </c>
      <c r="DP162" s="36">
        <v>0</v>
      </c>
      <c r="DQ162" s="36">
        <v>0</v>
      </c>
      <c r="DR162" s="36">
        <v>0</v>
      </c>
      <c r="DS162" s="36">
        <v>0</v>
      </c>
      <c r="DT162" s="36">
        <v>0</v>
      </c>
      <c r="DU162" s="36">
        <v>0</v>
      </c>
      <c r="DV162" s="36">
        <v>0</v>
      </c>
      <c r="DW162" s="36">
        <v>0</v>
      </c>
      <c r="DX162" s="36">
        <v>0</v>
      </c>
      <c r="DY162" s="36">
        <v>0</v>
      </c>
      <c r="DZ162" s="36">
        <v>0</v>
      </c>
      <c r="EA162" s="36">
        <v>0</v>
      </c>
      <c r="EB162" s="36">
        <v>0</v>
      </c>
      <c r="EC162" s="36">
        <v>0</v>
      </c>
      <c r="ED162" s="36">
        <v>0</v>
      </c>
      <c r="EE162" s="36">
        <v>0</v>
      </c>
      <c r="EF162" s="36">
        <v>0</v>
      </c>
      <c r="EG162" s="36">
        <v>0</v>
      </c>
      <c r="EH162" s="36">
        <v>0</v>
      </c>
      <c r="EI162" s="36">
        <v>0</v>
      </c>
      <c r="EJ162" s="36">
        <v>0</v>
      </c>
      <c r="EK162" s="36">
        <v>0</v>
      </c>
      <c r="EL162" s="36">
        <v>0</v>
      </c>
      <c r="EM162" s="36">
        <v>0</v>
      </c>
      <c r="EN162" s="36">
        <v>0</v>
      </c>
      <c r="EO162" s="36">
        <v>0</v>
      </c>
      <c r="EP162" s="36">
        <v>0</v>
      </c>
      <c r="EQ162" s="36">
        <v>0</v>
      </c>
      <c r="ER162" s="36">
        <v>0</v>
      </c>
      <c r="ES162" s="36">
        <v>0</v>
      </c>
      <c r="ET162" s="36">
        <v>0</v>
      </c>
      <c r="EU162" s="36">
        <v>0</v>
      </c>
      <c r="EV162" s="36">
        <v>0</v>
      </c>
      <c r="EW162" s="36">
        <v>0</v>
      </c>
      <c r="EX162" s="36">
        <v>0</v>
      </c>
      <c r="EY162" s="36">
        <v>0</v>
      </c>
      <c r="EZ162" s="36">
        <v>0</v>
      </c>
      <c r="FA162" s="36">
        <v>0</v>
      </c>
      <c r="FB162" s="36">
        <v>0</v>
      </c>
      <c r="FC162" s="36">
        <v>0</v>
      </c>
      <c r="FD162" s="36">
        <v>0</v>
      </c>
      <c r="FE162" s="36">
        <v>0</v>
      </c>
      <c r="FF162" s="36">
        <v>0</v>
      </c>
      <c r="FG162" s="36">
        <v>0</v>
      </c>
      <c r="FH162" s="36">
        <v>0</v>
      </c>
      <c r="FI162" s="36">
        <v>0</v>
      </c>
      <c r="FJ162" s="36">
        <v>0</v>
      </c>
      <c r="FK162" s="36">
        <v>0</v>
      </c>
      <c r="FL162" s="36">
        <v>0</v>
      </c>
      <c r="FM162" s="36">
        <v>0</v>
      </c>
      <c r="FN162" s="36">
        <v>0</v>
      </c>
      <c r="FO162" s="36">
        <v>0</v>
      </c>
      <c r="FP162" s="36">
        <v>0</v>
      </c>
      <c r="FQ162" s="36">
        <v>0</v>
      </c>
      <c r="FR162" s="36">
        <v>0</v>
      </c>
      <c r="FS162" s="36">
        <v>0</v>
      </c>
      <c r="FT162" s="36">
        <v>0</v>
      </c>
      <c r="FU162" s="36">
        <v>0</v>
      </c>
      <c r="FV162" s="36">
        <v>0</v>
      </c>
      <c r="FW162" s="36">
        <v>0</v>
      </c>
      <c r="FX162" s="36">
        <v>0</v>
      </c>
      <c r="FY162" s="36">
        <v>0</v>
      </c>
      <c r="FZ162" s="36">
        <v>0</v>
      </c>
      <c r="GA162" s="36">
        <v>0</v>
      </c>
      <c r="GB162" s="36">
        <v>0</v>
      </c>
      <c r="GC162" s="36">
        <v>0</v>
      </c>
      <c r="GD162" s="36">
        <v>0</v>
      </c>
      <c r="GE162" s="36">
        <v>0</v>
      </c>
      <c r="GF162" s="36">
        <v>0</v>
      </c>
      <c r="GG162" s="42">
        <v>0</v>
      </c>
      <c r="GH162" s="42">
        <v>0</v>
      </c>
      <c r="GI162" s="42">
        <v>0</v>
      </c>
      <c r="GJ162" s="42">
        <v>0</v>
      </c>
      <c r="GK162" s="42">
        <v>0</v>
      </c>
      <c r="GL162" s="42">
        <v>0</v>
      </c>
      <c r="GM162" s="42">
        <v>0</v>
      </c>
      <c r="GN162" s="42">
        <v>0</v>
      </c>
      <c r="GO162" s="42">
        <v>0</v>
      </c>
      <c r="GP162" s="42">
        <v>0</v>
      </c>
      <c r="GQ162" s="42">
        <v>0</v>
      </c>
      <c r="GR162" s="42">
        <v>0</v>
      </c>
      <c r="GS162" s="42">
        <v>0</v>
      </c>
      <c r="GT162" s="42">
        <v>0</v>
      </c>
      <c r="GU162" s="36">
        <v>0</v>
      </c>
      <c r="GV162" s="36">
        <v>0</v>
      </c>
      <c r="GW162" s="36">
        <v>0</v>
      </c>
      <c r="GX162" s="36">
        <v>0</v>
      </c>
      <c r="GY162" s="36">
        <v>0</v>
      </c>
      <c r="GZ162" s="36">
        <v>5177.8397581617637</v>
      </c>
      <c r="HA162" s="38">
        <v>0.30115813869633712</v>
      </c>
      <c r="HB162" s="36">
        <v>11626.193848163155</v>
      </c>
      <c r="HC162" s="36">
        <f t="shared" si="2"/>
        <v>154800.76266430577</v>
      </c>
      <c r="HD162" s="36">
        <f>SUM(FC$5:FC$213)</f>
        <v>154800.76266430577</v>
      </c>
      <c r="HE162" s="41">
        <v>0</v>
      </c>
      <c r="HG162" s="43"/>
      <c r="HH162" s="43"/>
      <c r="HI162" s="43"/>
      <c r="HJ162" s="43"/>
      <c r="HK162" s="43"/>
      <c r="HL162" s="43"/>
      <c r="HM162" s="43"/>
      <c r="HN162" s="43"/>
      <c r="HO162" s="43"/>
      <c r="HP162" s="43"/>
      <c r="HQ162" s="43"/>
      <c r="HR162" s="43"/>
      <c r="HS162" s="43"/>
      <c r="HT162" s="43"/>
    </row>
    <row r="163" spans="1:228" hidden="1" outlineLevel="1" x14ac:dyDescent="0.2">
      <c r="A163" s="9" t="s">
        <v>1211</v>
      </c>
      <c r="B163" s="36">
        <v>29673.49924373029</v>
      </c>
      <c r="C163" s="36">
        <v>11.135795038767128</v>
      </c>
      <c r="D163" s="36">
        <v>219.71897574315418</v>
      </c>
      <c r="E163" s="36">
        <v>6064.5566431775087</v>
      </c>
      <c r="F163" s="36">
        <v>4381.6862529033206</v>
      </c>
      <c r="G163" s="36">
        <v>24321.994315736447</v>
      </c>
      <c r="H163" s="36">
        <v>4286.800333645956</v>
      </c>
      <c r="I163" s="36">
        <v>9053.618067575946</v>
      </c>
      <c r="J163" s="36">
        <v>7363.3260000121609</v>
      </c>
      <c r="K163" s="36">
        <v>887.07216748671487</v>
      </c>
      <c r="L163" s="36">
        <v>1045.209784127537</v>
      </c>
      <c r="M163" s="36">
        <v>72.407492598434573</v>
      </c>
      <c r="N163" s="36">
        <v>188.98769676266411</v>
      </c>
      <c r="O163" s="36">
        <v>832.92243739683113</v>
      </c>
      <c r="P163" s="36">
        <v>3002.8932779579504</v>
      </c>
      <c r="Q163" s="36">
        <v>2364.0763116874905</v>
      </c>
      <c r="R163" s="36">
        <v>2671.7735367175173</v>
      </c>
      <c r="S163" s="36">
        <v>2313.3347772659235</v>
      </c>
      <c r="T163" s="36">
        <v>7038.6817374104467</v>
      </c>
      <c r="U163" s="36">
        <v>568.22976014697429</v>
      </c>
      <c r="V163" s="36">
        <v>961.51965277101078</v>
      </c>
      <c r="W163" s="36">
        <v>524.36195602963289</v>
      </c>
      <c r="X163" s="36">
        <v>2606.9662540477434</v>
      </c>
      <c r="Y163" s="36">
        <v>1909.2919774522259</v>
      </c>
      <c r="Z163" s="36">
        <v>2328.8053900201239</v>
      </c>
      <c r="AA163" s="36">
        <v>3156.2022469834037</v>
      </c>
      <c r="AB163" s="36">
        <v>787.5058730075807</v>
      </c>
      <c r="AC163" s="36">
        <v>331.32278969574077</v>
      </c>
      <c r="AD163" s="36">
        <v>447.67108737729654</v>
      </c>
      <c r="AE163" s="36">
        <v>3407.8993633721807</v>
      </c>
      <c r="AF163" s="36">
        <v>650.1545419152784</v>
      </c>
      <c r="AG163" s="36">
        <v>501.49430914327149</v>
      </c>
      <c r="AH163" s="36">
        <v>545.44625263402997</v>
      </c>
      <c r="AI163" s="36">
        <v>7726.9431322267983</v>
      </c>
      <c r="AJ163" s="36">
        <v>1963.7918624607632</v>
      </c>
      <c r="AK163" s="36">
        <v>5495.8903777566611</v>
      </c>
      <c r="AL163" s="36">
        <v>37093.237435398092</v>
      </c>
      <c r="AM163" s="36">
        <v>18275.083853670687</v>
      </c>
      <c r="AN163" s="36">
        <v>15867.489084240362</v>
      </c>
      <c r="AO163" s="36">
        <v>14895.553470285395</v>
      </c>
      <c r="AP163" s="36">
        <v>4644.5077161511681</v>
      </c>
      <c r="AQ163" s="36">
        <v>427.20736615308942</v>
      </c>
      <c r="AR163" s="36">
        <v>1951.0780840799634</v>
      </c>
      <c r="AS163" s="36">
        <v>8042.5364460796081</v>
      </c>
      <c r="AT163" s="36">
        <v>22179.753413808678</v>
      </c>
      <c r="AU163" s="36">
        <v>30381.102113329631</v>
      </c>
      <c r="AV163" s="36">
        <v>23740.136339626308</v>
      </c>
      <c r="AW163" s="36">
        <v>26048.049930688281</v>
      </c>
      <c r="AX163" s="36">
        <v>17035.798872081214</v>
      </c>
      <c r="AY163" s="36">
        <v>9462.4836315350985</v>
      </c>
      <c r="AZ163" s="36">
        <v>34569.231612178628</v>
      </c>
      <c r="BA163" s="36">
        <v>2988.762655153379</v>
      </c>
      <c r="BB163" s="36">
        <v>115291.74707190528</v>
      </c>
      <c r="BC163" s="36">
        <v>23795.723737834844</v>
      </c>
      <c r="BD163" s="36">
        <v>2442.4741991422725</v>
      </c>
      <c r="BE163" s="36">
        <v>10725.381870208139</v>
      </c>
      <c r="BF163" s="36">
        <v>2128.0173856551396</v>
      </c>
      <c r="BG163" s="36">
        <v>3783.1422623771714</v>
      </c>
      <c r="BH163" s="36">
        <v>6663.0601687961243</v>
      </c>
      <c r="BI163" s="36">
        <v>207.14481509539044</v>
      </c>
      <c r="BJ163" s="36">
        <v>8925.9987738023265</v>
      </c>
      <c r="BK163" s="36">
        <v>0</v>
      </c>
      <c r="BL163" s="36">
        <v>0</v>
      </c>
      <c r="BM163" s="36">
        <v>0</v>
      </c>
      <c r="BN163" s="36">
        <v>0</v>
      </c>
      <c r="BO163" s="36">
        <v>0</v>
      </c>
      <c r="BP163" s="36">
        <v>0</v>
      </c>
      <c r="BQ163" s="36">
        <v>0</v>
      </c>
      <c r="BR163" s="36">
        <v>0</v>
      </c>
      <c r="BS163" s="36">
        <v>0</v>
      </c>
      <c r="BT163" s="36">
        <v>0</v>
      </c>
      <c r="BU163" s="36">
        <v>0</v>
      </c>
      <c r="BV163" s="36">
        <v>0</v>
      </c>
      <c r="BW163" s="36">
        <v>0</v>
      </c>
      <c r="BX163" s="36">
        <v>0</v>
      </c>
      <c r="BY163" s="36">
        <v>0</v>
      </c>
      <c r="BZ163" s="36">
        <v>0</v>
      </c>
      <c r="CA163" s="36">
        <v>0</v>
      </c>
      <c r="CB163" s="36">
        <v>0</v>
      </c>
      <c r="CC163" s="36">
        <v>0</v>
      </c>
      <c r="CD163" s="36">
        <v>0</v>
      </c>
      <c r="CE163" s="36">
        <v>0</v>
      </c>
      <c r="CF163" s="36">
        <v>0</v>
      </c>
      <c r="CG163" s="36">
        <v>0</v>
      </c>
      <c r="CH163" s="36">
        <v>0</v>
      </c>
      <c r="CI163" s="36">
        <v>0</v>
      </c>
      <c r="CJ163" s="36">
        <v>0</v>
      </c>
      <c r="CK163" s="36">
        <v>0</v>
      </c>
      <c r="CL163" s="36">
        <v>0</v>
      </c>
      <c r="CM163" s="36">
        <v>0</v>
      </c>
      <c r="CN163" s="36">
        <v>0</v>
      </c>
      <c r="CO163" s="36">
        <v>0</v>
      </c>
      <c r="CP163" s="36">
        <v>0</v>
      </c>
      <c r="CQ163" s="36">
        <v>0</v>
      </c>
      <c r="CR163" s="36">
        <v>0</v>
      </c>
      <c r="CS163" s="36">
        <v>0</v>
      </c>
      <c r="CT163" s="36">
        <v>0</v>
      </c>
      <c r="CU163" s="36">
        <v>0</v>
      </c>
      <c r="CV163" s="36">
        <v>0</v>
      </c>
      <c r="CW163" s="36">
        <v>0</v>
      </c>
      <c r="CX163" s="36">
        <v>0</v>
      </c>
      <c r="CY163" s="36">
        <v>0</v>
      </c>
      <c r="CZ163" s="36">
        <v>0</v>
      </c>
      <c r="DA163" s="36">
        <v>0</v>
      </c>
      <c r="DB163" s="36">
        <v>0</v>
      </c>
      <c r="DC163" s="36">
        <v>0</v>
      </c>
      <c r="DD163" s="36">
        <v>0</v>
      </c>
      <c r="DE163" s="36">
        <v>0</v>
      </c>
      <c r="DF163" s="36">
        <v>0</v>
      </c>
      <c r="DG163" s="36">
        <v>0</v>
      </c>
      <c r="DH163" s="36">
        <v>0</v>
      </c>
      <c r="DI163" s="36">
        <v>0</v>
      </c>
      <c r="DJ163" s="36">
        <v>0</v>
      </c>
      <c r="DK163" s="36">
        <v>0</v>
      </c>
      <c r="DL163" s="36">
        <v>0</v>
      </c>
      <c r="DM163" s="36">
        <v>0</v>
      </c>
      <c r="DN163" s="36">
        <v>0</v>
      </c>
      <c r="DO163" s="36">
        <v>0</v>
      </c>
      <c r="DP163" s="36">
        <v>0</v>
      </c>
      <c r="DQ163" s="36">
        <v>0</v>
      </c>
      <c r="DR163" s="36">
        <v>0</v>
      </c>
      <c r="DS163" s="36">
        <v>0</v>
      </c>
      <c r="DT163" s="36">
        <v>0</v>
      </c>
      <c r="DU163" s="36">
        <v>0</v>
      </c>
      <c r="DV163" s="36">
        <v>0</v>
      </c>
      <c r="DW163" s="36">
        <v>0</v>
      </c>
      <c r="DX163" s="36">
        <v>0</v>
      </c>
      <c r="DY163" s="36">
        <v>0</v>
      </c>
      <c r="DZ163" s="36">
        <v>0</v>
      </c>
      <c r="EA163" s="36">
        <v>0</v>
      </c>
      <c r="EB163" s="36">
        <v>0</v>
      </c>
      <c r="EC163" s="36">
        <v>0</v>
      </c>
      <c r="ED163" s="36">
        <v>0</v>
      </c>
      <c r="EE163" s="36">
        <v>0</v>
      </c>
      <c r="EF163" s="36">
        <v>0</v>
      </c>
      <c r="EG163" s="36">
        <v>0</v>
      </c>
      <c r="EH163" s="36">
        <v>0</v>
      </c>
      <c r="EI163" s="36">
        <v>0</v>
      </c>
      <c r="EJ163" s="36">
        <v>0</v>
      </c>
      <c r="EK163" s="36">
        <v>0</v>
      </c>
      <c r="EL163" s="36">
        <v>0</v>
      </c>
      <c r="EM163" s="36">
        <v>0</v>
      </c>
      <c r="EN163" s="36">
        <v>0</v>
      </c>
      <c r="EO163" s="36">
        <v>0</v>
      </c>
      <c r="EP163" s="36">
        <v>0</v>
      </c>
      <c r="EQ163" s="36">
        <v>0</v>
      </c>
      <c r="ER163" s="36">
        <v>0</v>
      </c>
      <c r="ES163" s="36">
        <v>0</v>
      </c>
      <c r="ET163" s="36">
        <v>0</v>
      </c>
      <c r="EU163" s="36">
        <v>0</v>
      </c>
      <c r="EV163" s="36">
        <v>0</v>
      </c>
      <c r="EW163" s="36">
        <v>0</v>
      </c>
      <c r="EX163" s="36">
        <v>0</v>
      </c>
      <c r="EY163" s="36">
        <v>0</v>
      </c>
      <c r="EZ163" s="36">
        <v>0</v>
      </c>
      <c r="FA163" s="36">
        <v>0</v>
      </c>
      <c r="FB163" s="36">
        <v>0</v>
      </c>
      <c r="FC163" s="36">
        <v>0</v>
      </c>
      <c r="FD163" s="36">
        <v>0</v>
      </c>
      <c r="FE163" s="36">
        <v>0</v>
      </c>
      <c r="FF163" s="36">
        <v>0</v>
      </c>
      <c r="FG163" s="36">
        <v>0</v>
      </c>
      <c r="FH163" s="36">
        <v>0</v>
      </c>
      <c r="FI163" s="36">
        <v>0</v>
      </c>
      <c r="FJ163" s="36">
        <v>0</v>
      </c>
      <c r="FK163" s="36">
        <v>0</v>
      </c>
      <c r="FL163" s="36">
        <v>0</v>
      </c>
      <c r="FM163" s="36">
        <v>0</v>
      </c>
      <c r="FN163" s="36">
        <v>0</v>
      </c>
      <c r="FO163" s="36">
        <v>0</v>
      </c>
      <c r="FP163" s="36">
        <v>0</v>
      </c>
      <c r="FQ163" s="36">
        <v>0</v>
      </c>
      <c r="FR163" s="36">
        <v>0</v>
      </c>
      <c r="FS163" s="36">
        <v>0</v>
      </c>
      <c r="FT163" s="36">
        <v>0</v>
      </c>
      <c r="FU163" s="36">
        <v>0</v>
      </c>
      <c r="FV163" s="36">
        <v>0</v>
      </c>
      <c r="FW163" s="36">
        <v>0</v>
      </c>
      <c r="FX163" s="36">
        <v>0</v>
      </c>
      <c r="FY163" s="36">
        <v>0</v>
      </c>
      <c r="FZ163" s="36">
        <v>0</v>
      </c>
      <c r="GA163" s="36">
        <v>0</v>
      </c>
      <c r="GB163" s="36">
        <v>0</v>
      </c>
      <c r="GC163" s="36">
        <v>0</v>
      </c>
      <c r="GD163" s="36">
        <v>0</v>
      </c>
      <c r="GE163" s="36">
        <v>0</v>
      </c>
      <c r="GF163" s="36">
        <v>0</v>
      </c>
      <c r="GG163" s="42">
        <v>4.1564151748664004</v>
      </c>
      <c r="GH163" s="42">
        <v>12.109698556864894</v>
      </c>
      <c r="GI163" s="42">
        <v>19.401747980770693</v>
      </c>
      <c r="GJ163" s="42">
        <v>30.29332896731087</v>
      </c>
      <c r="GK163" s="42">
        <v>103.32359936221661</v>
      </c>
      <c r="GL163" s="42">
        <v>167.02650173874349</v>
      </c>
      <c r="GM163" s="42">
        <v>260.24948966470015</v>
      </c>
      <c r="GN163" s="42">
        <v>501.12119982827323</v>
      </c>
      <c r="GO163" s="42">
        <v>1488.0934874936506</v>
      </c>
      <c r="GP163" s="42">
        <v>334.8781867936558</v>
      </c>
      <c r="GQ163" s="42">
        <v>366.62165253100437</v>
      </c>
      <c r="GR163" s="42">
        <v>1324.6637017323633</v>
      </c>
      <c r="GS163" s="42">
        <v>781.89974564207432</v>
      </c>
      <c r="GT163" s="42">
        <v>1841.836472877852</v>
      </c>
      <c r="GU163" s="36">
        <v>0</v>
      </c>
      <c r="GV163" s="36">
        <v>0</v>
      </c>
      <c r="GW163" s="36">
        <v>0</v>
      </c>
      <c r="GX163" s="36">
        <v>0</v>
      </c>
      <c r="GY163" s="36">
        <v>0</v>
      </c>
      <c r="GZ163" s="36">
        <v>0</v>
      </c>
      <c r="HA163" s="38">
        <v>7.2177499532699585E-9</v>
      </c>
      <c r="HB163" s="36">
        <v>22504.811808213544</v>
      </c>
      <c r="HC163" s="36">
        <f t="shared" si="2"/>
        <v>611012.38101985713</v>
      </c>
      <c r="HD163" s="36">
        <f>SUM(FD$5:FD$213)</f>
        <v>611012.38101985713</v>
      </c>
      <c r="HE163" s="41">
        <v>0</v>
      </c>
      <c r="HG163" s="43"/>
      <c r="HH163" s="43"/>
      <c r="HI163" s="43"/>
      <c r="HJ163" s="43"/>
      <c r="HK163" s="43"/>
      <c r="HL163" s="43"/>
      <c r="HM163" s="43"/>
      <c r="HN163" s="43"/>
      <c r="HO163" s="43"/>
      <c r="HP163" s="43"/>
      <c r="HQ163" s="43"/>
      <c r="HR163" s="43"/>
      <c r="HS163" s="43"/>
      <c r="HT163" s="43"/>
    </row>
    <row r="164" spans="1:228" hidden="1" outlineLevel="1" x14ac:dyDescent="0.2">
      <c r="A164" s="9" t="s">
        <v>1218</v>
      </c>
      <c r="B164" s="36">
        <v>1118.8538427124995</v>
      </c>
      <c r="C164" s="36">
        <v>26.908314068483751</v>
      </c>
      <c r="D164" s="36">
        <v>29.582459305133337</v>
      </c>
      <c r="E164" s="36">
        <v>221.72953557278447</v>
      </c>
      <c r="F164" s="36">
        <v>56.953035015311244</v>
      </c>
      <c r="G164" s="36">
        <v>105.76663972475593</v>
      </c>
      <c r="H164" s="36">
        <v>243.32474845632623</v>
      </c>
      <c r="I164" s="36">
        <v>801.21138269641847</v>
      </c>
      <c r="J164" s="36">
        <v>212.71329492058359</v>
      </c>
      <c r="K164" s="36">
        <v>108.00901726381473</v>
      </c>
      <c r="L164" s="36">
        <v>114.48722440646921</v>
      </c>
      <c r="M164" s="36">
        <v>16.863169849026157</v>
      </c>
      <c r="N164" s="36">
        <v>27.768232085274704</v>
      </c>
      <c r="O164" s="36">
        <v>152.68679485527548</v>
      </c>
      <c r="P164" s="36">
        <v>393.50207195847975</v>
      </c>
      <c r="Q164" s="36">
        <v>372.9884917110216</v>
      </c>
      <c r="R164" s="36">
        <v>183.77685091183355</v>
      </c>
      <c r="S164" s="36">
        <v>217.83688193161635</v>
      </c>
      <c r="T164" s="36">
        <v>508.93578957147747</v>
      </c>
      <c r="U164" s="36">
        <v>78.145785037207048</v>
      </c>
      <c r="V164" s="36">
        <v>237.37197515176146</v>
      </c>
      <c r="W164" s="36">
        <v>43.220654150020017</v>
      </c>
      <c r="X164" s="36">
        <v>316.04639902859941</v>
      </c>
      <c r="Y164" s="36">
        <v>165.45947620368602</v>
      </c>
      <c r="Z164" s="36">
        <v>357.17435635609286</v>
      </c>
      <c r="AA164" s="36">
        <v>544.1590949435116</v>
      </c>
      <c r="AB164" s="36">
        <v>185.3558942204574</v>
      </c>
      <c r="AC164" s="36">
        <v>71.805641111585999</v>
      </c>
      <c r="AD164" s="36">
        <v>87.614797115897431</v>
      </c>
      <c r="AE164" s="36">
        <v>297.50011855170885</v>
      </c>
      <c r="AF164" s="36">
        <v>78.635597255721436</v>
      </c>
      <c r="AG164" s="36">
        <v>104.37732217173064</v>
      </c>
      <c r="AH164" s="36">
        <v>119.56026874805158</v>
      </c>
      <c r="AI164" s="36">
        <v>1054.6133187949517</v>
      </c>
      <c r="AJ164" s="36">
        <v>427.1660313120509</v>
      </c>
      <c r="AK164" s="36">
        <v>1807.7451659517201</v>
      </c>
      <c r="AL164" s="36">
        <v>5503.951452375446</v>
      </c>
      <c r="AM164" s="36">
        <v>3568.8940076222289</v>
      </c>
      <c r="AN164" s="36">
        <v>2717.8338766932384</v>
      </c>
      <c r="AO164" s="36">
        <v>1392.6613957182092</v>
      </c>
      <c r="AP164" s="36">
        <v>1285.2769357186166</v>
      </c>
      <c r="AQ164" s="36">
        <v>31.760503679352439</v>
      </c>
      <c r="AR164" s="36">
        <v>516.12642697146759</v>
      </c>
      <c r="AS164" s="36">
        <v>3483.8922840072596</v>
      </c>
      <c r="AT164" s="36">
        <v>91015.691558653809</v>
      </c>
      <c r="AU164" s="36">
        <v>5513.30682604098</v>
      </c>
      <c r="AV164" s="36">
        <v>981.08716690940253</v>
      </c>
      <c r="AW164" s="36">
        <v>1374.3966529710601</v>
      </c>
      <c r="AX164" s="36">
        <v>2540.8611087609697</v>
      </c>
      <c r="AY164" s="36">
        <v>658.04958093666642</v>
      </c>
      <c r="AZ164" s="36">
        <v>2234.1187028535333</v>
      </c>
      <c r="BA164" s="36">
        <v>244.05185625585685</v>
      </c>
      <c r="BB164" s="36">
        <v>7679.6651869272628</v>
      </c>
      <c r="BC164" s="36">
        <v>20660.974675723035</v>
      </c>
      <c r="BD164" s="36">
        <v>355.20172292186191</v>
      </c>
      <c r="BE164" s="36">
        <v>4060.8572243240546</v>
      </c>
      <c r="BF164" s="36">
        <v>611.2099055043949</v>
      </c>
      <c r="BG164" s="36">
        <v>252.3180608915203</v>
      </c>
      <c r="BH164" s="36">
        <v>1165.5191720937939</v>
      </c>
      <c r="BI164" s="36">
        <v>119.93354026323985</v>
      </c>
      <c r="BJ164" s="36">
        <v>2732.7177754076856</v>
      </c>
      <c r="BK164" s="36">
        <v>0</v>
      </c>
      <c r="BL164" s="36">
        <v>0</v>
      </c>
      <c r="BM164" s="36">
        <v>0</v>
      </c>
      <c r="BN164" s="36">
        <v>0</v>
      </c>
      <c r="BO164" s="36">
        <v>0</v>
      </c>
      <c r="BP164" s="36">
        <v>0</v>
      </c>
      <c r="BQ164" s="36">
        <v>0</v>
      </c>
      <c r="BR164" s="36">
        <v>0</v>
      </c>
      <c r="BS164" s="36">
        <v>0</v>
      </c>
      <c r="BT164" s="36">
        <v>0</v>
      </c>
      <c r="BU164" s="36">
        <v>0</v>
      </c>
      <c r="BV164" s="36">
        <v>0</v>
      </c>
      <c r="BW164" s="36">
        <v>0</v>
      </c>
      <c r="BX164" s="36">
        <v>0</v>
      </c>
      <c r="BY164" s="36">
        <v>0</v>
      </c>
      <c r="BZ164" s="36">
        <v>0</v>
      </c>
      <c r="CA164" s="36">
        <v>0</v>
      </c>
      <c r="CB164" s="36">
        <v>0</v>
      </c>
      <c r="CC164" s="36">
        <v>0</v>
      </c>
      <c r="CD164" s="36">
        <v>0</v>
      </c>
      <c r="CE164" s="36">
        <v>0</v>
      </c>
      <c r="CF164" s="36">
        <v>0</v>
      </c>
      <c r="CG164" s="36">
        <v>0</v>
      </c>
      <c r="CH164" s="36">
        <v>0</v>
      </c>
      <c r="CI164" s="36">
        <v>0</v>
      </c>
      <c r="CJ164" s="36">
        <v>0</v>
      </c>
      <c r="CK164" s="36">
        <v>0</v>
      </c>
      <c r="CL164" s="36">
        <v>0</v>
      </c>
      <c r="CM164" s="36">
        <v>0</v>
      </c>
      <c r="CN164" s="36">
        <v>0</v>
      </c>
      <c r="CO164" s="36">
        <v>0</v>
      </c>
      <c r="CP164" s="36">
        <v>0</v>
      </c>
      <c r="CQ164" s="36">
        <v>0</v>
      </c>
      <c r="CR164" s="36">
        <v>0</v>
      </c>
      <c r="CS164" s="36">
        <v>0</v>
      </c>
      <c r="CT164" s="36">
        <v>0</v>
      </c>
      <c r="CU164" s="36">
        <v>0</v>
      </c>
      <c r="CV164" s="36">
        <v>0</v>
      </c>
      <c r="CW164" s="36">
        <v>0</v>
      </c>
      <c r="CX164" s="36">
        <v>0</v>
      </c>
      <c r="CY164" s="36">
        <v>0</v>
      </c>
      <c r="CZ164" s="36">
        <v>0</v>
      </c>
      <c r="DA164" s="36">
        <v>0</v>
      </c>
      <c r="DB164" s="36">
        <v>0</v>
      </c>
      <c r="DC164" s="36">
        <v>0</v>
      </c>
      <c r="DD164" s="36">
        <v>0</v>
      </c>
      <c r="DE164" s="36">
        <v>0</v>
      </c>
      <c r="DF164" s="36">
        <v>0</v>
      </c>
      <c r="DG164" s="36">
        <v>0</v>
      </c>
      <c r="DH164" s="36">
        <v>0</v>
      </c>
      <c r="DI164" s="36">
        <v>0</v>
      </c>
      <c r="DJ164" s="36">
        <v>0</v>
      </c>
      <c r="DK164" s="36">
        <v>0</v>
      </c>
      <c r="DL164" s="36">
        <v>0</v>
      </c>
      <c r="DM164" s="36">
        <v>0</v>
      </c>
      <c r="DN164" s="36">
        <v>0</v>
      </c>
      <c r="DO164" s="36">
        <v>0</v>
      </c>
      <c r="DP164" s="36">
        <v>0</v>
      </c>
      <c r="DQ164" s="36">
        <v>0</v>
      </c>
      <c r="DR164" s="36">
        <v>0</v>
      </c>
      <c r="DS164" s="36">
        <v>0</v>
      </c>
      <c r="DT164" s="36">
        <v>0</v>
      </c>
      <c r="DU164" s="36">
        <v>0</v>
      </c>
      <c r="DV164" s="36">
        <v>0</v>
      </c>
      <c r="DW164" s="36">
        <v>0</v>
      </c>
      <c r="DX164" s="36">
        <v>0</v>
      </c>
      <c r="DY164" s="36">
        <v>0</v>
      </c>
      <c r="DZ164" s="36">
        <v>0</v>
      </c>
      <c r="EA164" s="36">
        <v>0</v>
      </c>
      <c r="EB164" s="36">
        <v>0</v>
      </c>
      <c r="EC164" s="36">
        <v>0</v>
      </c>
      <c r="ED164" s="36">
        <v>0</v>
      </c>
      <c r="EE164" s="36">
        <v>0</v>
      </c>
      <c r="EF164" s="36">
        <v>0</v>
      </c>
      <c r="EG164" s="36">
        <v>0</v>
      </c>
      <c r="EH164" s="36">
        <v>0</v>
      </c>
      <c r="EI164" s="36">
        <v>0</v>
      </c>
      <c r="EJ164" s="36">
        <v>0</v>
      </c>
      <c r="EK164" s="36">
        <v>0</v>
      </c>
      <c r="EL164" s="36">
        <v>0</v>
      </c>
      <c r="EM164" s="36">
        <v>0</v>
      </c>
      <c r="EN164" s="36">
        <v>0</v>
      </c>
      <c r="EO164" s="36">
        <v>0</v>
      </c>
      <c r="EP164" s="36">
        <v>0</v>
      </c>
      <c r="EQ164" s="36">
        <v>0</v>
      </c>
      <c r="ER164" s="36">
        <v>0</v>
      </c>
      <c r="ES164" s="36">
        <v>0</v>
      </c>
      <c r="ET164" s="36">
        <v>0</v>
      </c>
      <c r="EU164" s="36">
        <v>0</v>
      </c>
      <c r="EV164" s="36">
        <v>0</v>
      </c>
      <c r="EW164" s="36">
        <v>0</v>
      </c>
      <c r="EX164" s="36">
        <v>0</v>
      </c>
      <c r="EY164" s="36">
        <v>0</v>
      </c>
      <c r="EZ164" s="36">
        <v>0</v>
      </c>
      <c r="FA164" s="36">
        <v>0</v>
      </c>
      <c r="FB164" s="36">
        <v>0</v>
      </c>
      <c r="FC164" s="36">
        <v>0</v>
      </c>
      <c r="FD164" s="36">
        <v>0</v>
      </c>
      <c r="FE164" s="36">
        <v>0</v>
      </c>
      <c r="FF164" s="36">
        <v>0</v>
      </c>
      <c r="FG164" s="36">
        <v>0</v>
      </c>
      <c r="FH164" s="36">
        <v>0</v>
      </c>
      <c r="FI164" s="36">
        <v>0</v>
      </c>
      <c r="FJ164" s="36">
        <v>0</v>
      </c>
      <c r="FK164" s="36">
        <v>0</v>
      </c>
      <c r="FL164" s="36">
        <v>0</v>
      </c>
      <c r="FM164" s="36">
        <v>0</v>
      </c>
      <c r="FN164" s="36">
        <v>0</v>
      </c>
      <c r="FO164" s="36">
        <v>0</v>
      </c>
      <c r="FP164" s="36">
        <v>0</v>
      </c>
      <c r="FQ164" s="36">
        <v>0</v>
      </c>
      <c r="FR164" s="36">
        <v>0</v>
      </c>
      <c r="FS164" s="36">
        <v>0</v>
      </c>
      <c r="FT164" s="36">
        <v>0</v>
      </c>
      <c r="FU164" s="36">
        <v>0</v>
      </c>
      <c r="FV164" s="36">
        <v>0</v>
      </c>
      <c r="FW164" s="36">
        <v>0</v>
      </c>
      <c r="FX164" s="36">
        <v>0</v>
      </c>
      <c r="FY164" s="36">
        <v>0</v>
      </c>
      <c r="FZ164" s="36">
        <v>0</v>
      </c>
      <c r="GA164" s="36">
        <v>0</v>
      </c>
      <c r="GB164" s="36">
        <v>0</v>
      </c>
      <c r="GC164" s="36">
        <v>0</v>
      </c>
      <c r="GD164" s="36">
        <v>0</v>
      </c>
      <c r="GE164" s="36">
        <v>0</v>
      </c>
      <c r="GF164" s="36">
        <v>0</v>
      </c>
      <c r="GG164" s="42">
        <v>1958.4450404557676</v>
      </c>
      <c r="GH164" s="42">
        <v>2823.1848395931538</v>
      </c>
      <c r="GI164" s="42">
        <v>3478.7931350037707</v>
      </c>
      <c r="GJ164" s="42">
        <v>4225.1681814277099</v>
      </c>
      <c r="GK164" s="42">
        <v>5065.9813072250117</v>
      </c>
      <c r="GL164" s="42">
        <v>6615.2519748612394</v>
      </c>
      <c r="GM164" s="42">
        <v>8613.6742292615199</v>
      </c>
      <c r="GN164" s="42">
        <v>12213.762014660508</v>
      </c>
      <c r="GO164" s="42">
        <v>19497.455390703108</v>
      </c>
      <c r="GP164" s="42">
        <v>4481.647352513045</v>
      </c>
      <c r="GQ164" s="42">
        <v>5317.9675084114433</v>
      </c>
      <c r="GR164" s="42">
        <v>6046.6728794656474</v>
      </c>
      <c r="GS164" s="42">
        <v>6878.8428381153717</v>
      </c>
      <c r="GT164" s="42">
        <v>9164.7335531522403</v>
      </c>
      <c r="GU164" s="36">
        <v>0</v>
      </c>
      <c r="GV164" s="36">
        <v>0</v>
      </c>
      <c r="GW164" s="36">
        <v>0</v>
      </c>
      <c r="GX164" s="36">
        <v>0</v>
      </c>
      <c r="GY164" s="36">
        <v>0</v>
      </c>
      <c r="GZ164" s="36">
        <v>0</v>
      </c>
      <c r="HA164" s="38">
        <v>1.4784745872020721E-8</v>
      </c>
      <c r="HB164" s="36">
        <v>6713.799567054496</v>
      </c>
      <c r="HC164" s="36">
        <f t="shared" si="2"/>
        <v>274685.58708526514</v>
      </c>
      <c r="HD164" s="36">
        <f>SUM(FE$5:FE$213)</f>
        <v>274685.58708526514</v>
      </c>
      <c r="HE164" s="41">
        <v>0</v>
      </c>
      <c r="HG164" s="43"/>
      <c r="HH164" s="43"/>
      <c r="HI164" s="43"/>
      <c r="HJ164" s="43"/>
      <c r="HK164" s="43"/>
      <c r="HL164" s="43"/>
      <c r="HM164" s="43"/>
      <c r="HN164" s="43"/>
      <c r="HO164" s="43"/>
      <c r="HP164" s="43"/>
      <c r="HQ164" s="43"/>
      <c r="HR164" s="43"/>
      <c r="HS164" s="43"/>
      <c r="HT164" s="43"/>
    </row>
    <row r="165" spans="1:228" hidden="1" outlineLevel="1" x14ac:dyDescent="0.2">
      <c r="A165" s="9" t="s">
        <v>1225</v>
      </c>
      <c r="B165" s="36">
        <v>13201.500703219217</v>
      </c>
      <c r="C165" s="36">
        <v>984.58988417132127</v>
      </c>
      <c r="D165" s="36">
        <v>355.99632104222871</v>
      </c>
      <c r="E165" s="36">
        <v>14377.874433442794</v>
      </c>
      <c r="F165" s="36">
        <v>4971.9503021330456</v>
      </c>
      <c r="G165" s="36">
        <v>22677.444321595329</v>
      </c>
      <c r="H165" s="36">
        <v>12488.039884834296</v>
      </c>
      <c r="I165" s="36">
        <v>5310.4085444693792</v>
      </c>
      <c r="J165" s="36">
        <v>2247.0379989971029</v>
      </c>
      <c r="K165" s="36">
        <v>377.74046774267265</v>
      </c>
      <c r="L165" s="36">
        <v>259.27354455650311</v>
      </c>
      <c r="M165" s="36">
        <v>98.804455698505819</v>
      </c>
      <c r="N165" s="36">
        <v>54.547367328616012</v>
      </c>
      <c r="O165" s="36">
        <v>829.88418801281716</v>
      </c>
      <c r="P165" s="36">
        <v>2322.1225751418992</v>
      </c>
      <c r="Q165" s="36">
        <v>896.56298008804606</v>
      </c>
      <c r="R165" s="36">
        <v>3830.3697030869735</v>
      </c>
      <c r="S165" s="36">
        <v>2923.5376766319851</v>
      </c>
      <c r="T165" s="36">
        <v>2278.5634902184997</v>
      </c>
      <c r="U165" s="36">
        <v>511.95900671865172</v>
      </c>
      <c r="V165" s="36">
        <v>1011.9347373495164</v>
      </c>
      <c r="W165" s="36">
        <v>394.2836839064928</v>
      </c>
      <c r="X165" s="36">
        <v>1145.1819843100782</v>
      </c>
      <c r="Y165" s="36">
        <v>4130.2241483430162</v>
      </c>
      <c r="Z165" s="36">
        <v>1303.4460699070439</v>
      </c>
      <c r="AA165" s="36">
        <v>1137.9775366636977</v>
      </c>
      <c r="AB165" s="36">
        <v>433.29409620454754</v>
      </c>
      <c r="AC165" s="36">
        <v>134.51405875290905</v>
      </c>
      <c r="AD165" s="36">
        <v>132.31314242464737</v>
      </c>
      <c r="AE165" s="36">
        <v>1216.5439927493528</v>
      </c>
      <c r="AF165" s="36">
        <v>276.80983617000652</v>
      </c>
      <c r="AG165" s="36">
        <v>194.16884554476198</v>
      </c>
      <c r="AH165" s="36">
        <v>441.97751484491386</v>
      </c>
      <c r="AI165" s="36">
        <v>35005.266594876121</v>
      </c>
      <c r="AJ165" s="36">
        <v>7050.9383949951389</v>
      </c>
      <c r="AK165" s="36">
        <v>5806.2713524457613</v>
      </c>
      <c r="AL165" s="36">
        <v>10755.958485309407</v>
      </c>
      <c r="AM165" s="36">
        <v>10805.532864936004</v>
      </c>
      <c r="AN165" s="36">
        <v>4491.9888552810989</v>
      </c>
      <c r="AO165" s="36">
        <v>9474.087034967175</v>
      </c>
      <c r="AP165" s="36">
        <v>12911.476224275093</v>
      </c>
      <c r="AQ165" s="36">
        <v>411.14497572815458</v>
      </c>
      <c r="AR165" s="36">
        <v>4207.5000431445542</v>
      </c>
      <c r="AS165" s="36">
        <v>18014.419279609181</v>
      </c>
      <c r="AT165" s="36">
        <v>13024.166912697989</v>
      </c>
      <c r="AU165" s="36">
        <v>976.32595158418326</v>
      </c>
      <c r="AV165" s="36">
        <v>1698.90469473641</v>
      </c>
      <c r="AW165" s="36">
        <v>684.78914844771793</v>
      </c>
      <c r="AX165" s="36">
        <v>4913.4465050791587</v>
      </c>
      <c r="AY165" s="36">
        <v>3515.4360759609467</v>
      </c>
      <c r="AZ165" s="36">
        <v>9436.4436078957169</v>
      </c>
      <c r="BA165" s="36">
        <v>694.02388547928217</v>
      </c>
      <c r="BB165" s="36">
        <v>32486.925661866131</v>
      </c>
      <c r="BC165" s="36">
        <v>26790.162784395234</v>
      </c>
      <c r="BD165" s="36">
        <v>1713.235457866693</v>
      </c>
      <c r="BE165" s="36">
        <v>12156.679877736886</v>
      </c>
      <c r="BF165" s="36">
        <v>7826.854532416879</v>
      </c>
      <c r="BG165" s="36">
        <v>897.83857910138397</v>
      </c>
      <c r="BH165" s="36">
        <v>2824.8668114589073</v>
      </c>
      <c r="BI165" s="36">
        <v>155.31312129519765</v>
      </c>
      <c r="BJ165" s="36">
        <v>8404.3143658514909</v>
      </c>
      <c r="BK165" s="36">
        <v>0</v>
      </c>
      <c r="BL165" s="36">
        <v>0</v>
      </c>
      <c r="BM165" s="36">
        <v>0</v>
      </c>
      <c r="BN165" s="36">
        <v>0</v>
      </c>
      <c r="BO165" s="36">
        <v>0</v>
      </c>
      <c r="BP165" s="36">
        <v>0</v>
      </c>
      <c r="BQ165" s="36">
        <v>0</v>
      </c>
      <c r="BR165" s="36">
        <v>0</v>
      </c>
      <c r="BS165" s="36">
        <v>0</v>
      </c>
      <c r="BT165" s="36">
        <v>0</v>
      </c>
      <c r="BU165" s="36">
        <v>0</v>
      </c>
      <c r="BV165" s="36">
        <v>0</v>
      </c>
      <c r="BW165" s="36">
        <v>0</v>
      </c>
      <c r="BX165" s="36">
        <v>0</v>
      </c>
      <c r="BY165" s="36">
        <v>0</v>
      </c>
      <c r="BZ165" s="36">
        <v>0</v>
      </c>
      <c r="CA165" s="36">
        <v>0</v>
      </c>
      <c r="CB165" s="36">
        <v>0</v>
      </c>
      <c r="CC165" s="36">
        <v>0</v>
      </c>
      <c r="CD165" s="36">
        <v>0</v>
      </c>
      <c r="CE165" s="36">
        <v>0</v>
      </c>
      <c r="CF165" s="36">
        <v>0</v>
      </c>
      <c r="CG165" s="36">
        <v>0</v>
      </c>
      <c r="CH165" s="36">
        <v>0</v>
      </c>
      <c r="CI165" s="36">
        <v>0</v>
      </c>
      <c r="CJ165" s="36">
        <v>0</v>
      </c>
      <c r="CK165" s="36">
        <v>0</v>
      </c>
      <c r="CL165" s="36">
        <v>0</v>
      </c>
      <c r="CM165" s="36">
        <v>0</v>
      </c>
      <c r="CN165" s="36">
        <v>0</v>
      </c>
      <c r="CO165" s="36">
        <v>0</v>
      </c>
      <c r="CP165" s="36">
        <v>0</v>
      </c>
      <c r="CQ165" s="36">
        <v>0</v>
      </c>
      <c r="CR165" s="36">
        <v>0</v>
      </c>
      <c r="CS165" s="36">
        <v>0</v>
      </c>
      <c r="CT165" s="36">
        <v>0</v>
      </c>
      <c r="CU165" s="36">
        <v>0</v>
      </c>
      <c r="CV165" s="36">
        <v>0</v>
      </c>
      <c r="CW165" s="36">
        <v>0</v>
      </c>
      <c r="CX165" s="36">
        <v>0</v>
      </c>
      <c r="CY165" s="36">
        <v>0</v>
      </c>
      <c r="CZ165" s="36">
        <v>0</v>
      </c>
      <c r="DA165" s="36">
        <v>0</v>
      </c>
      <c r="DB165" s="36">
        <v>0</v>
      </c>
      <c r="DC165" s="36">
        <v>0</v>
      </c>
      <c r="DD165" s="36">
        <v>0</v>
      </c>
      <c r="DE165" s="36">
        <v>0</v>
      </c>
      <c r="DF165" s="36">
        <v>0</v>
      </c>
      <c r="DG165" s="36">
        <v>0</v>
      </c>
      <c r="DH165" s="36">
        <v>0</v>
      </c>
      <c r="DI165" s="36">
        <v>0</v>
      </c>
      <c r="DJ165" s="36">
        <v>0</v>
      </c>
      <c r="DK165" s="36">
        <v>0</v>
      </c>
      <c r="DL165" s="36">
        <v>0</v>
      </c>
      <c r="DM165" s="36">
        <v>0</v>
      </c>
      <c r="DN165" s="36">
        <v>0</v>
      </c>
      <c r="DO165" s="36">
        <v>0</v>
      </c>
      <c r="DP165" s="36">
        <v>0</v>
      </c>
      <c r="DQ165" s="36">
        <v>0</v>
      </c>
      <c r="DR165" s="36">
        <v>0</v>
      </c>
      <c r="DS165" s="36">
        <v>0</v>
      </c>
      <c r="DT165" s="36">
        <v>0</v>
      </c>
      <c r="DU165" s="36">
        <v>0</v>
      </c>
      <c r="DV165" s="36">
        <v>0</v>
      </c>
      <c r="DW165" s="36">
        <v>0</v>
      </c>
      <c r="DX165" s="36">
        <v>0</v>
      </c>
      <c r="DY165" s="36">
        <v>0</v>
      </c>
      <c r="DZ165" s="36">
        <v>0</v>
      </c>
      <c r="EA165" s="36">
        <v>0</v>
      </c>
      <c r="EB165" s="36">
        <v>0</v>
      </c>
      <c r="EC165" s="36">
        <v>0</v>
      </c>
      <c r="ED165" s="36">
        <v>0</v>
      </c>
      <c r="EE165" s="36">
        <v>0</v>
      </c>
      <c r="EF165" s="36">
        <v>0</v>
      </c>
      <c r="EG165" s="36">
        <v>0</v>
      </c>
      <c r="EH165" s="36">
        <v>0</v>
      </c>
      <c r="EI165" s="36">
        <v>0</v>
      </c>
      <c r="EJ165" s="36">
        <v>0</v>
      </c>
      <c r="EK165" s="36">
        <v>0</v>
      </c>
      <c r="EL165" s="36">
        <v>0</v>
      </c>
      <c r="EM165" s="36">
        <v>0</v>
      </c>
      <c r="EN165" s="36">
        <v>0</v>
      </c>
      <c r="EO165" s="36">
        <v>0</v>
      </c>
      <c r="EP165" s="36">
        <v>0</v>
      </c>
      <c r="EQ165" s="36">
        <v>0</v>
      </c>
      <c r="ER165" s="36">
        <v>0</v>
      </c>
      <c r="ES165" s="36">
        <v>0</v>
      </c>
      <c r="ET165" s="36">
        <v>0</v>
      </c>
      <c r="EU165" s="36">
        <v>0</v>
      </c>
      <c r="EV165" s="36">
        <v>0</v>
      </c>
      <c r="EW165" s="36">
        <v>0</v>
      </c>
      <c r="EX165" s="36">
        <v>0</v>
      </c>
      <c r="EY165" s="36">
        <v>0</v>
      </c>
      <c r="EZ165" s="36">
        <v>0</v>
      </c>
      <c r="FA165" s="36">
        <v>0</v>
      </c>
      <c r="FB165" s="36">
        <v>0</v>
      </c>
      <c r="FC165" s="36">
        <v>0</v>
      </c>
      <c r="FD165" s="36">
        <v>0</v>
      </c>
      <c r="FE165" s="36">
        <v>0</v>
      </c>
      <c r="FF165" s="36">
        <v>0</v>
      </c>
      <c r="FG165" s="36">
        <v>0</v>
      </c>
      <c r="FH165" s="36">
        <v>0</v>
      </c>
      <c r="FI165" s="36">
        <v>0</v>
      </c>
      <c r="FJ165" s="36">
        <v>0</v>
      </c>
      <c r="FK165" s="36">
        <v>0</v>
      </c>
      <c r="FL165" s="36">
        <v>0</v>
      </c>
      <c r="FM165" s="36">
        <v>0</v>
      </c>
      <c r="FN165" s="36">
        <v>0</v>
      </c>
      <c r="FO165" s="36">
        <v>0</v>
      </c>
      <c r="FP165" s="36">
        <v>0</v>
      </c>
      <c r="FQ165" s="36">
        <v>0</v>
      </c>
      <c r="FR165" s="36">
        <v>0</v>
      </c>
      <c r="FS165" s="36">
        <v>0</v>
      </c>
      <c r="FT165" s="36">
        <v>0</v>
      </c>
      <c r="FU165" s="36">
        <v>0</v>
      </c>
      <c r="FV165" s="36">
        <v>0</v>
      </c>
      <c r="FW165" s="36">
        <v>0</v>
      </c>
      <c r="FX165" s="36">
        <v>0</v>
      </c>
      <c r="FY165" s="36">
        <v>0</v>
      </c>
      <c r="FZ165" s="36">
        <v>0</v>
      </c>
      <c r="GA165" s="36">
        <v>0</v>
      </c>
      <c r="GB165" s="36">
        <v>0</v>
      </c>
      <c r="GC165" s="36">
        <v>0</v>
      </c>
      <c r="GD165" s="36">
        <v>0</v>
      </c>
      <c r="GE165" s="36">
        <v>0</v>
      </c>
      <c r="GF165" s="36">
        <v>0</v>
      </c>
      <c r="GG165" s="42">
        <v>571.52021639596296</v>
      </c>
      <c r="GH165" s="42">
        <v>1145.5087891347109</v>
      </c>
      <c r="GI165" s="42">
        <v>1680.4328933838849</v>
      </c>
      <c r="GJ165" s="42">
        <v>2503.2696612768659</v>
      </c>
      <c r="GK165" s="42">
        <v>2750.5483634547063</v>
      </c>
      <c r="GL165" s="42">
        <v>3512.3455820054023</v>
      </c>
      <c r="GM165" s="42">
        <v>6580.9316961405311</v>
      </c>
      <c r="GN165" s="42">
        <v>9860.2588726255053</v>
      </c>
      <c r="GO165" s="42">
        <v>18287.719807213001</v>
      </c>
      <c r="GP165" s="42">
        <v>5768.5555440236849</v>
      </c>
      <c r="GQ165" s="42">
        <v>6376.9980554449803</v>
      </c>
      <c r="GR165" s="42">
        <v>7491.1224157625002</v>
      </c>
      <c r="GS165" s="42">
        <v>11319.749768450656</v>
      </c>
      <c r="GT165" s="42">
        <v>22275.587557748175</v>
      </c>
      <c r="GU165" s="36">
        <v>0</v>
      </c>
      <c r="GV165" s="36">
        <v>0</v>
      </c>
      <c r="GW165" s="36">
        <v>0</v>
      </c>
      <c r="GX165" s="36">
        <v>0</v>
      </c>
      <c r="GY165" s="36">
        <v>0</v>
      </c>
      <c r="GZ165" s="36">
        <v>0</v>
      </c>
      <c r="HA165" s="38">
        <v>-1.1117663234472275E-8</v>
      </c>
      <c r="HB165" s="36">
        <v>9291.5139292116874</v>
      </c>
      <c r="HC165" s="36">
        <f t="shared" si="2"/>
        <v>459501.25272800005</v>
      </c>
      <c r="HD165" s="36">
        <f>SUM(FF$5:FF$213)</f>
        <v>459501.25272800005</v>
      </c>
      <c r="HE165" s="41">
        <v>0</v>
      </c>
      <c r="HG165" s="43"/>
      <c r="HH165" s="43"/>
      <c r="HI165" s="43"/>
      <c r="HJ165" s="43"/>
      <c r="HK165" s="43"/>
      <c r="HL165" s="43"/>
      <c r="HM165" s="43"/>
      <c r="HN165" s="43"/>
      <c r="HO165" s="43"/>
      <c r="HP165" s="43"/>
      <c r="HQ165" s="43"/>
      <c r="HR165" s="43"/>
      <c r="HS165" s="43"/>
      <c r="HT165" s="43"/>
    </row>
    <row r="166" spans="1:228" hidden="1" outlineLevel="1" x14ac:dyDescent="0.2">
      <c r="A166" s="9" t="s">
        <v>1233</v>
      </c>
      <c r="B166" s="36">
        <v>0</v>
      </c>
      <c r="C166" s="36">
        <v>0</v>
      </c>
      <c r="D166" s="36">
        <v>18.844898113227529</v>
      </c>
      <c r="E166" s="36">
        <v>785.24729246687684</v>
      </c>
      <c r="F166" s="36">
        <v>627.70038351012386</v>
      </c>
      <c r="G166" s="36">
        <v>2894.0192470457368</v>
      </c>
      <c r="H166" s="36">
        <v>393.35133736509613</v>
      </c>
      <c r="I166" s="36">
        <v>511.86601868300386</v>
      </c>
      <c r="J166" s="36">
        <v>148.42914948592374</v>
      </c>
      <c r="K166" s="36">
        <v>32.929538568901492</v>
      </c>
      <c r="L166" s="36">
        <v>38.796941597959645</v>
      </c>
      <c r="M166" s="36">
        <v>5.8427624602365515</v>
      </c>
      <c r="N166" s="36">
        <v>14.06359332542244</v>
      </c>
      <c r="O166" s="36">
        <v>37.25628684868957</v>
      </c>
      <c r="P166" s="36">
        <v>273.58589146417012</v>
      </c>
      <c r="Q166" s="36">
        <v>141.54072994020237</v>
      </c>
      <c r="R166" s="36">
        <v>124.26300727264852</v>
      </c>
      <c r="S166" s="36">
        <v>120.12737084175642</v>
      </c>
      <c r="T166" s="36">
        <v>266.64836178418352</v>
      </c>
      <c r="U166" s="36">
        <v>35.970283710869325</v>
      </c>
      <c r="V166" s="36">
        <v>64.590623739794367</v>
      </c>
      <c r="W166" s="36">
        <v>7.6178411353270974</v>
      </c>
      <c r="X166" s="36">
        <v>172.76821833794233</v>
      </c>
      <c r="Y166" s="36">
        <v>108.63665270169021</v>
      </c>
      <c r="Z166" s="36">
        <v>87.160157920097006</v>
      </c>
      <c r="AA166" s="36">
        <v>152.90563394317104</v>
      </c>
      <c r="AB166" s="36">
        <v>53.80920167132173</v>
      </c>
      <c r="AC166" s="36">
        <v>17.909515353947107</v>
      </c>
      <c r="AD166" s="36">
        <v>23.775519391363641</v>
      </c>
      <c r="AE166" s="36">
        <v>193.11322188289017</v>
      </c>
      <c r="AF166" s="36">
        <v>32.710753989417185</v>
      </c>
      <c r="AG166" s="36">
        <v>31.691032550129414</v>
      </c>
      <c r="AH166" s="36">
        <v>32.087178179413925</v>
      </c>
      <c r="AI166" s="36">
        <v>125.88554940229969</v>
      </c>
      <c r="AJ166" s="36">
        <v>21.271430415056944</v>
      </c>
      <c r="AK166" s="36">
        <v>593.9894690535308</v>
      </c>
      <c r="AL166" s="36">
        <v>2414.597297203894</v>
      </c>
      <c r="AM166" s="36">
        <v>1063.9439998671658</v>
      </c>
      <c r="AN166" s="36">
        <v>955.77099450308015</v>
      </c>
      <c r="AO166" s="36">
        <v>749.00029208944341</v>
      </c>
      <c r="AP166" s="36">
        <v>338.76623102924702</v>
      </c>
      <c r="AQ166" s="36">
        <v>12.111697253206026</v>
      </c>
      <c r="AR166" s="36">
        <v>821.8029103559569</v>
      </c>
      <c r="AS166" s="36">
        <v>349.52920585283226</v>
      </c>
      <c r="AT166" s="36">
        <v>1826.0734567406735</v>
      </c>
      <c r="AU166" s="36">
        <v>2572.5580884380261</v>
      </c>
      <c r="AV166" s="36">
        <v>1854.4580364973856</v>
      </c>
      <c r="AW166" s="36">
        <v>278.89163321368926</v>
      </c>
      <c r="AX166" s="36">
        <v>528.59902469998588</v>
      </c>
      <c r="AY166" s="36">
        <v>65.1249839025228</v>
      </c>
      <c r="AZ166" s="36">
        <v>235.04806515251425</v>
      </c>
      <c r="BA166" s="36">
        <v>94.555117970482812</v>
      </c>
      <c r="BB166" s="36">
        <v>1233.0174602685358</v>
      </c>
      <c r="BC166" s="36">
        <v>2846.3065601964072</v>
      </c>
      <c r="BD166" s="36">
        <v>1165.7696859045357</v>
      </c>
      <c r="BE166" s="36">
        <v>708.83082594151745</v>
      </c>
      <c r="BF166" s="36">
        <v>28.239547107242519</v>
      </c>
      <c r="BG166" s="36">
        <v>101.75743428293309</v>
      </c>
      <c r="BH166" s="36">
        <v>629.62034121218755</v>
      </c>
      <c r="BI166" s="36">
        <v>13.573709381303363</v>
      </c>
      <c r="BJ166" s="36">
        <v>694.41749764785118</v>
      </c>
      <c r="BK166" s="36">
        <v>0</v>
      </c>
      <c r="BL166" s="36">
        <v>0</v>
      </c>
      <c r="BM166" s="36">
        <v>0</v>
      </c>
      <c r="BN166" s="36">
        <v>0</v>
      </c>
      <c r="BO166" s="36">
        <v>0</v>
      </c>
      <c r="BP166" s="36">
        <v>0</v>
      </c>
      <c r="BQ166" s="36">
        <v>0</v>
      </c>
      <c r="BR166" s="36">
        <v>0</v>
      </c>
      <c r="BS166" s="36">
        <v>0</v>
      </c>
      <c r="BT166" s="36">
        <v>0</v>
      </c>
      <c r="BU166" s="36">
        <v>0</v>
      </c>
      <c r="BV166" s="36">
        <v>0</v>
      </c>
      <c r="BW166" s="36">
        <v>0</v>
      </c>
      <c r="BX166" s="36">
        <v>0</v>
      </c>
      <c r="BY166" s="36">
        <v>0</v>
      </c>
      <c r="BZ166" s="36">
        <v>0</v>
      </c>
      <c r="CA166" s="36">
        <v>0</v>
      </c>
      <c r="CB166" s="36">
        <v>0</v>
      </c>
      <c r="CC166" s="36">
        <v>0</v>
      </c>
      <c r="CD166" s="36">
        <v>0</v>
      </c>
      <c r="CE166" s="36">
        <v>0</v>
      </c>
      <c r="CF166" s="36">
        <v>0</v>
      </c>
      <c r="CG166" s="36">
        <v>0</v>
      </c>
      <c r="CH166" s="36">
        <v>0</v>
      </c>
      <c r="CI166" s="36">
        <v>0</v>
      </c>
      <c r="CJ166" s="36">
        <v>0</v>
      </c>
      <c r="CK166" s="36">
        <v>0</v>
      </c>
      <c r="CL166" s="36">
        <v>0</v>
      </c>
      <c r="CM166" s="36">
        <v>0</v>
      </c>
      <c r="CN166" s="36">
        <v>0</v>
      </c>
      <c r="CO166" s="36">
        <v>0</v>
      </c>
      <c r="CP166" s="36">
        <v>0</v>
      </c>
      <c r="CQ166" s="36">
        <v>0</v>
      </c>
      <c r="CR166" s="36">
        <v>0</v>
      </c>
      <c r="CS166" s="36">
        <v>0</v>
      </c>
      <c r="CT166" s="36">
        <v>0</v>
      </c>
      <c r="CU166" s="36">
        <v>0</v>
      </c>
      <c r="CV166" s="36">
        <v>0</v>
      </c>
      <c r="CW166" s="36">
        <v>0</v>
      </c>
      <c r="CX166" s="36">
        <v>0</v>
      </c>
      <c r="CY166" s="36">
        <v>0</v>
      </c>
      <c r="CZ166" s="36">
        <v>0</v>
      </c>
      <c r="DA166" s="36">
        <v>0</v>
      </c>
      <c r="DB166" s="36">
        <v>0</v>
      </c>
      <c r="DC166" s="36">
        <v>0</v>
      </c>
      <c r="DD166" s="36">
        <v>0</v>
      </c>
      <c r="DE166" s="36">
        <v>0</v>
      </c>
      <c r="DF166" s="36">
        <v>0</v>
      </c>
      <c r="DG166" s="36">
        <v>0</v>
      </c>
      <c r="DH166" s="36">
        <v>0</v>
      </c>
      <c r="DI166" s="36">
        <v>0</v>
      </c>
      <c r="DJ166" s="36">
        <v>0</v>
      </c>
      <c r="DK166" s="36">
        <v>0</v>
      </c>
      <c r="DL166" s="36">
        <v>0</v>
      </c>
      <c r="DM166" s="36">
        <v>0</v>
      </c>
      <c r="DN166" s="36">
        <v>0</v>
      </c>
      <c r="DO166" s="36">
        <v>0</v>
      </c>
      <c r="DP166" s="36">
        <v>0</v>
      </c>
      <c r="DQ166" s="36">
        <v>0</v>
      </c>
      <c r="DR166" s="36">
        <v>0</v>
      </c>
      <c r="DS166" s="36">
        <v>0</v>
      </c>
      <c r="DT166" s="36">
        <v>0</v>
      </c>
      <c r="DU166" s="36">
        <v>0</v>
      </c>
      <c r="DV166" s="36">
        <v>0</v>
      </c>
      <c r="DW166" s="36">
        <v>0</v>
      </c>
      <c r="DX166" s="36">
        <v>0</v>
      </c>
      <c r="DY166" s="36">
        <v>0</v>
      </c>
      <c r="DZ166" s="36">
        <v>0</v>
      </c>
      <c r="EA166" s="36">
        <v>0</v>
      </c>
      <c r="EB166" s="36">
        <v>0</v>
      </c>
      <c r="EC166" s="36">
        <v>0</v>
      </c>
      <c r="ED166" s="36">
        <v>0</v>
      </c>
      <c r="EE166" s="36">
        <v>0</v>
      </c>
      <c r="EF166" s="36">
        <v>0</v>
      </c>
      <c r="EG166" s="36">
        <v>0</v>
      </c>
      <c r="EH166" s="36">
        <v>0</v>
      </c>
      <c r="EI166" s="36">
        <v>0</v>
      </c>
      <c r="EJ166" s="36">
        <v>0</v>
      </c>
      <c r="EK166" s="36">
        <v>0</v>
      </c>
      <c r="EL166" s="36">
        <v>0</v>
      </c>
      <c r="EM166" s="36">
        <v>0</v>
      </c>
      <c r="EN166" s="36">
        <v>0</v>
      </c>
      <c r="EO166" s="36">
        <v>0</v>
      </c>
      <c r="EP166" s="36">
        <v>0</v>
      </c>
      <c r="EQ166" s="36">
        <v>0</v>
      </c>
      <c r="ER166" s="36">
        <v>0</v>
      </c>
      <c r="ES166" s="36">
        <v>0</v>
      </c>
      <c r="ET166" s="36">
        <v>0</v>
      </c>
      <c r="EU166" s="36">
        <v>0</v>
      </c>
      <c r="EV166" s="36">
        <v>0</v>
      </c>
      <c r="EW166" s="36">
        <v>0</v>
      </c>
      <c r="EX166" s="36">
        <v>0</v>
      </c>
      <c r="EY166" s="36">
        <v>0</v>
      </c>
      <c r="EZ166" s="36">
        <v>0</v>
      </c>
      <c r="FA166" s="36">
        <v>0</v>
      </c>
      <c r="FB166" s="36">
        <v>0</v>
      </c>
      <c r="FC166" s="36">
        <v>0</v>
      </c>
      <c r="FD166" s="36">
        <v>0</v>
      </c>
      <c r="FE166" s="36">
        <v>0</v>
      </c>
      <c r="FF166" s="36">
        <v>0</v>
      </c>
      <c r="FG166" s="36">
        <v>0</v>
      </c>
      <c r="FH166" s="36">
        <v>0</v>
      </c>
      <c r="FI166" s="36">
        <v>0</v>
      </c>
      <c r="FJ166" s="36">
        <v>0</v>
      </c>
      <c r="FK166" s="36">
        <v>0</v>
      </c>
      <c r="FL166" s="36">
        <v>0</v>
      </c>
      <c r="FM166" s="36">
        <v>0</v>
      </c>
      <c r="FN166" s="36">
        <v>0</v>
      </c>
      <c r="FO166" s="36">
        <v>0</v>
      </c>
      <c r="FP166" s="36">
        <v>0</v>
      </c>
      <c r="FQ166" s="36">
        <v>0</v>
      </c>
      <c r="FR166" s="36">
        <v>0</v>
      </c>
      <c r="FS166" s="36">
        <v>0</v>
      </c>
      <c r="FT166" s="36">
        <v>0</v>
      </c>
      <c r="FU166" s="36">
        <v>0</v>
      </c>
      <c r="FV166" s="36">
        <v>0</v>
      </c>
      <c r="FW166" s="36">
        <v>0</v>
      </c>
      <c r="FX166" s="36">
        <v>0</v>
      </c>
      <c r="FY166" s="36">
        <v>0</v>
      </c>
      <c r="FZ166" s="36">
        <v>0</v>
      </c>
      <c r="GA166" s="36">
        <v>0</v>
      </c>
      <c r="GB166" s="36">
        <v>0</v>
      </c>
      <c r="GC166" s="36">
        <v>0</v>
      </c>
      <c r="GD166" s="36">
        <v>0</v>
      </c>
      <c r="GE166" s="36">
        <v>0</v>
      </c>
      <c r="GF166" s="36">
        <v>0</v>
      </c>
      <c r="GG166" s="42">
        <v>0</v>
      </c>
      <c r="GH166" s="42">
        <v>0</v>
      </c>
      <c r="GI166" s="42">
        <v>0</v>
      </c>
      <c r="GJ166" s="42">
        <v>0</v>
      </c>
      <c r="GK166" s="42">
        <v>0</v>
      </c>
      <c r="GL166" s="42">
        <v>0</v>
      </c>
      <c r="GM166" s="42">
        <v>0</v>
      </c>
      <c r="GN166" s="42">
        <v>0</v>
      </c>
      <c r="GO166" s="42">
        <v>0</v>
      </c>
      <c r="GP166" s="42">
        <v>0</v>
      </c>
      <c r="GQ166" s="42">
        <v>0</v>
      </c>
      <c r="GR166" s="42">
        <v>0</v>
      </c>
      <c r="GS166" s="42">
        <v>0</v>
      </c>
      <c r="GT166" s="42">
        <v>0</v>
      </c>
      <c r="GU166" s="36">
        <v>0</v>
      </c>
      <c r="GV166" s="36">
        <v>0</v>
      </c>
      <c r="GW166" s="36">
        <v>0</v>
      </c>
      <c r="GX166" s="36">
        <v>0</v>
      </c>
      <c r="GY166" s="36">
        <v>0</v>
      </c>
      <c r="GZ166" s="36">
        <v>0</v>
      </c>
      <c r="HA166" s="38">
        <v>-5.2132236305624247E-9</v>
      </c>
      <c r="HB166" s="36">
        <v>0</v>
      </c>
      <c r="HC166" s="36">
        <f t="shared" si="2"/>
        <v>29772.769190859821</v>
      </c>
      <c r="HD166" s="36">
        <f>SUM(FG$5:FG$213)</f>
        <v>29772.769190859821</v>
      </c>
      <c r="HE166" s="41">
        <v>0</v>
      </c>
      <c r="HG166" s="43"/>
      <c r="HH166" s="43"/>
      <c r="HI166" s="43"/>
      <c r="HJ166" s="43"/>
      <c r="HK166" s="43"/>
      <c r="HL166" s="43"/>
      <c r="HM166" s="43"/>
      <c r="HN166" s="43"/>
      <c r="HO166" s="43"/>
      <c r="HP166" s="43"/>
      <c r="HQ166" s="43"/>
      <c r="HR166" s="43"/>
      <c r="HS166" s="43"/>
      <c r="HT166" s="43"/>
    </row>
    <row r="167" spans="1:228" hidden="1" outlineLevel="1" x14ac:dyDescent="0.2">
      <c r="A167" s="9" t="s">
        <v>1240</v>
      </c>
      <c r="B167" s="36">
        <v>0</v>
      </c>
      <c r="C167" s="36">
        <v>0</v>
      </c>
      <c r="D167" s="36">
        <v>67.686356008955329</v>
      </c>
      <c r="E167" s="36">
        <v>2548.1733682366003</v>
      </c>
      <c r="F167" s="36">
        <v>2053.6908074031976</v>
      </c>
      <c r="G167" s="36">
        <v>9395.081403568598</v>
      </c>
      <c r="H167" s="36">
        <v>1290.8649798474403</v>
      </c>
      <c r="I167" s="36">
        <v>1655.5678794294681</v>
      </c>
      <c r="J167" s="36">
        <v>479.62091625615619</v>
      </c>
      <c r="K167" s="36">
        <v>103.3254671773561</v>
      </c>
      <c r="L167" s="36">
        <v>123.88678714263487</v>
      </c>
      <c r="M167" s="36">
        <v>18.054246055548454</v>
      </c>
      <c r="N167" s="36">
        <v>44.052500918408043</v>
      </c>
      <c r="O167" s="36">
        <v>122.19480733428264</v>
      </c>
      <c r="P167" s="36">
        <v>851.733475169249</v>
      </c>
      <c r="Q167" s="36">
        <v>441.36846998165913</v>
      </c>
      <c r="R167" s="36">
        <v>424.56228395480838</v>
      </c>
      <c r="S167" s="36">
        <v>373.74382817366853</v>
      </c>
      <c r="T167" s="36">
        <v>843.74632062185765</v>
      </c>
      <c r="U167" s="36">
        <v>113.27442866481822</v>
      </c>
      <c r="V167" s="36">
        <v>198.78325036176309</v>
      </c>
      <c r="W167" s="36">
        <v>24.169974519360601</v>
      </c>
      <c r="X167" s="36">
        <v>531.0542984660724</v>
      </c>
      <c r="Y167" s="36">
        <v>389.17971379084861</v>
      </c>
      <c r="Z167" s="36">
        <v>279.77947090125826</v>
      </c>
      <c r="AA167" s="36">
        <v>494.49797865227811</v>
      </c>
      <c r="AB167" s="36">
        <v>176.79094111657972</v>
      </c>
      <c r="AC167" s="36">
        <v>57.499920803458146</v>
      </c>
      <c r="AD167" s="36">
        <v>76.864986663908894</v>
      </c>
      <c r="AE167" s="36">
        <v>663.56211018201168</v>
      </c>
      <c r="AF167" s="36">
        <v>105.73827318201296</v>
      </c>
      <c r="AG167" s="36">
        <v>100.63990309552491</v>
      </c>
      <c r="AH167" s="36">
        <v>105.56342404780148</v>
      </c>
      <c r="AI167" s="36">
        <v>411.99679119503611</v>
      </c>
      <c r="AJ167" s="36">
        <v>69.667146567315825</v>
      </c>
      <c r="AK167" s="36">
        <v>1859.615044298409</v>
      </c>
      <c r="AL167" s="36">
        <v>7935.9378942398544</v>
      </c>
      <c r="AM167" s="36">
        <v>3468.8505062881204</v>
      </c>
      <c r="AN167" s="36">
        <v>3139.9660433379786</v>
      </c>
      <c r="AO167" s="36">
        <v>2989.5623592340307</v>
      </c>
      <c r="AP167" s="36">
        <v>1123.5076106500326</v>
      </c>
      <c r="AQ167" s="36">
        <v>40.242401559532091</v>
      </c>
      <c r="AR167" s="36">
        <v>997.22735357508373</v>
      </c>
      <c r="AS167" s="36">
        <v>1147.3530951849561</v>
      </c>
      <c r="AT167" s="36">
        <v>5846.3015701222794</v>
      </c>
      <c r="AU167" s="36">
        <v>0</v>
      </c>
      <c r="AV167" s="36">
        <v>1082.5296666201996</v>
      </c>
      <c r="AW167" s="36">
        <v>162.80145507967856</v>
      </c>
      <c r="AX167" s="36">
        <v>6234.096593398066</v>
      </c>
      <c r="AY167" s="36">
        <v>3736.292956813194</v>
      </c>
      <c r="AZ167" s="36">
        <v>12751.464099879531</v>
      </c>
      <c r="BA167" s="36">
        <v>833.4232369809107</v>
      </c>
      <c r="BB167" s="36">
        <v>20075.205104573288</v>
      </c>
      <c r="BC167" s="36">
        <v>4039.0052724457555</v>
      </c>
      <c r="BD167" s="36">
        <v>512.77819583538167</v>
      </c>
      <c r="BE167" s="36">
        <v>3752.2873300271831</v>
      </c>
      <c r="BF167" s="36">
        <v>311.87850140047112</v>
      </c>
      <c r="BG167" s="36">
        <v>335.4413752222452</v>
      </c>
      <c r="BH167" s="36">
        <v>1611.3866929751823</v>
      </c>
      <c r="BI167" s="36">
        <v>44.092487605715888</v>
      </c>
      <c r="BJ167" s="36">
        <v>2361.8188351211347</v>
      </c>
      <c r="BK167" s="36">
        <v>0</v>
      </c>
      <c r="BL167" s="36">
        <v>0</v>
      </c>
      <c r="BM167" s="36">
        <v>0</v>
      </c>
      <c r="BN167" s="36">
        <v>0</v>
      </c>
      <c r="BO167" s="36">
        <v>0</v>
      </c>
      <c r="BP167" s="36">
        <v>0</v>
      </c>
      <c r="BQ167" s="36">
        <v>0</v>
      </c>
      <c r="BR167" s="36">
        <v>0</v>
      </c>
      <c r="BS167" s="36">
        <v>0</v>
      </c>
      <c r="BT167" s="36">
        <v>0</v>
      </c>
      <c r="BU167" s="36">
        <v>0</v>
      </c>
      <c r="BV167" s="36">
        <v>0</v>
      </c>
      <c r="BW167" s="36">
        <v>0</v>
      </c>
      <c r="BX167" s="36">
        <v>0</v>
      </c>
      <c r="BY167" s="36">
        <v>0</v>
      </c>
      <c r="BZ167" s="36">
        <v>0</v>
      </c>
      <c r="CA167" s="36">
        <v>0</v>
      </c>
      <c r="CB167" s="36">
        <v>0</v>
      </c>
      <c r="CC167" s="36">
        <v>0</v>
      </c>
      <c r="CD167" s="36">
        <v>0</v>
      </c>
      <c r="CE167" s="36">
        <v>0</v>
      </c>
      <c r="CF167" s="36">
        <v>0</v>
      </c>
      <c r="CG167" s="36">
        <v>0</v>
      </c>
      <c r="CH167" s="36">
        <v>0</v>
      </c>
      <c r="CI167" s="36">
        <v>0</v>
      </c>
      <c r="CJ167" s="36">
        <v>0</v>
      </c>
      <c r="CK167" s="36">
        <v>0</v>
      </c>
      <c r="CL167" s="36">
        <v>0</v>
      </c>
      <c r="CM167" s="36">
        <v>0</v>
      </c>
      <c r="CN167" s="36">
        <v>0</v>
      </c>
      <c r="CO167" s="36">
        <v>0</v>
      </c>
      <c r="CP167" s="36">
        <v>0</v>
      </c>
      <c r="CQ167" s="36">
        <v>0</v>
      </c>
      <c r="CR167" s="36">
        <v>0</v>
      </c>
      <c r="CS167" s="36">
        <v>0</v>
      </c>
      <c r="CT167" s="36">
        <v>0</v>
      </c>
      <c r="CU167" s="36">
        <v>0</v>
      </c>
      <c r="CV167" s="36">
        <v>0</v>
      </c>
      <c r="CW167" s="36">
        <v>0</v>
      </c>
      <c r="CX167" s="36">
        <v>0</v>
      </c>
      <c r="CY167" s="36">
        <v>0</v>
      </c>
      <c r="CZ167" s="36">
        <v>0</v>
      </c>
      <c r="DA167" s="36">
        <v>0</v>
      </c>
      <c r="DB167" s="36">
        <v>0</v>
      </c>
      <c r="DC167" s="36">
        <v>0</v>
      </c>
      <c r="DD167" s="36">
        <v>0</v>
      </c>
      <c r="DE167" s="36">
        <v>0</v>
      </c>
      <c r="DF167" s="36">
        <v>0</v>
      </c>
      <c r="DG167" s="36">
        <v>0</v>
      </c>
      <c r="DH167" s="36">
        <v>0</v>
      </c>
      <c r="DI167" s="36">
        <v>0</v>
      </c>
      <c r="DJ167" s="36">
        <v>0</v>
      </c>
      <c r="DK167" s="36">
        <v>0</v>
      </c>
      <c r="DL167" s="36">
        <v>0</v>
      </c>
      <c r="DM167" s="36">
        <v>0</v>
      </c>
      <c r="DN167" s="36">
        <v>0</v>
      </c>
      <c r="DO167" s="36">
        <v>0</v>
      </c>
      <c r="DP167" s="36">
        <v>0</v>
      </c>
      <c r="DQ167" s="36">
        <v>0</v>
      </c>
      <c r="DR167" s="36">
        <v>0</v>
      </c>
      <c r="DS167" s="36">
        <v>0</v>
      </c>
      <c r="DT167" s="36">
        <v>0</v>
      </c>
      <c r="DU167" s="36">
        <v>0</v>
      </c>
      <c r="DV167" s="36">
        <v>0</v>
      </c>
      <c r="DW167" s="36">
        <v>0</v>
      </c>
      <c r="DX167" s="36">
        <v>0</v>
      </c>
      <c r="DY167" s="36">
        <v>0</v>
      </c>
      <c r="DZ167" s="36">
        <v>0</v>
      </c>
      <c r="EA167" s="36">
        <v>0</v>
      </c>
      <c r="EB167" s="36">
        <v>0</v>
      </c>
      <c r="EC167" s="36">
        <v>0</v>
      </c>
      <c r="ED167" s="36">
        <v>0</v>
      </c>
      <c r="EE167" s="36">
        <v>0</v>
      </c>
      <c r="EF167" s="36">
        <v>0</v>
      </c>
      <c r="EG167" s="36">
        <v>0</v>
      </c>
      <c r="EH167" s="36">
        <v>0</v>
      </c>
      <c r="EI167" s="36">
        <v>0</v>
      </c>
      <c r="EJ167" s="36">
        <v>0</v>
      </c>
      <c r="EK167" s="36">
        <v>0</v>
      </c>
      <c r="EL167" s="36">
        <v>0</v>
      </c>
      <c r="EM167" s="36">
        <v>0</v>
      </c>
      <c r="EN167" s="36">
        <v>0</v>
      </c>
      <c r="EO167" s="36">
        <v>0</v>
      </c>
      <c r="EP167" s="36">
        <v>0</v>
      </c>
      <c r="EQ167" s="36">
        <v>0</v>
      </c>
      <c r="ER167" s="36">
        <v>0</v>
      </c>
      <c r="ES167" s="36">
        <v>0</v>
      </c>
      <c r="ET167" s="36">
        <v>0</v>
      </c>
      <c r="EU167" s="36">
        <v>0</v>
      </c>
      <c r="EV167" s="36">
        <v>0</v>
      </c>
      <c r="EW167" s="36">
        <v>0</v>
      </c>
      <c r="EX167" s="36">
        <v>0</v>
      </c>
      <c r="EY167" s="36">
        <v>0</v>
      </c>
      <c r="EZ167" s="36">
        <v>0</v>
      </c>
      <c r="FA167" s="36">
        <v>0</v>
      </c>
      <c r="FB167" s="36">
        <v>0</v>
      </c>
      <c r="FC167" s="36">
        <v>0</v>
      </c>
      <c r="FD167" s="36">
        <v>0</v>
      </c>
      <c r="FE167" s="36">
        <v>0</v>
      </c>
      <c r="FF167" s="36">
        <v>0</v>
      </c>
      <c r="FG167" s="36">
        <v>0</v>
      </c>
      <c r="FH167" s="36">
        <v>0</v>
      </c>
      <c r="FI167" s="36">
        <v>0</v>
      </c>
      <c r="FJ167" s="36">
        <v>0</v>
      </c>
      <c r="FK167" s="36">
        <v>0</v>
      </c>
      <c r="FL167" s="36">
        <v>0</v>
      </c>
      <c r="FM167" s="36">
        <v>0</v>
      </c>
      <c r="FN167" s="36">
        <v>0</v>
      </c>
      <c r="FO167" s="36">
        <v>0</v>
      </c>
      <c r="FP167" s="36">
        <v>0</v>
      </c>
      <c r="FQ167" s="36">
        <v>0</v>
      </c>
      <c r="FR167" s="36">
        <v>0</v>
      </c>
      <c r="FS167" s="36">
        <v>0</v>
      </c>
      <c r="FT167" s="36">
        <v>0</v>
      </c>
      <c r="FU167" s="36">
        <v>0</v>
      </c>
      <c r="FV167" s="36">
        <v>0</v>
      </c>
      <c r="FW167" s="36">
        <v>0</v>
      </c>
      <c r="FX167" s="36">
        <v>0</v>
      </c>
      <c r="FY167" s="36">
        <v>0</v>
      </c>
      <c r="FZ167" s="36">
        <v>0</v>
      </c>
      <c r="GA167" s="36">
        <v>0</v>
      </c>
      <c r="GB167" s="36">
        <v>0</v>
      </c>
      <c r="GC167" s="36">
        <v>0</v>
      </c>
      <c r="GD167" s="36">
        <v>0</v>
      </c>
      <c r="GE167" s="36">
        <v>0</v>
      </c>
      <c r="GF167" s="36">
        <v>0</v>
      </c>
      <c r="GG167" s="42">
        <v>53.183163080038966</v>
      </c>
      <c r="GH167" s="42">
        <v>107.28046009150538</v>
      </c>
      <c r="GI167" s="42">
        <v>167.45056113073716</v>
      </c>
      <c r="GJ167" s="42">
        <v>249.226025870488</v>
      </c>
      <c r="GK167" s="42">
        <v>448.21764748803952</v>
      </c>
      <c r="GL167" s="42">
        <v>519.63706370503382</v>
      </c>
      <c r="GM167" s="42">
        <v>837.73105689663464</v>
      </c>
      <c r="GN167" s="42">
        <v>1430.0921248801264</v>
      </c>
      <c r="GO167" s="42">
        <v>3086.2912103223916</v>
      </c>
      <c r="GP167" s="42">
        <v>807.69954981704575</v>
      </c>
      <c r="GQ167" s="42">
        <v>945.14783058162106</v>
      </c>
      <c r="GR167" s="42">
        <v>1281.8201123506165</v>
      </c>
      <c r="GS167" s="42">
        <v>1461.9674768043722</v>
      </c>
      <c r="GT167" s="42">
        <v>2263.3654478125545</v>
      </c>
      <c r="GU167" s="36">
        <v>621724.43243871199</v>
      </c>
      <c r="GV167" s="36">
        <v>0</v>
      </c>
      <c r="GW167" s="36">
        <v>0</v>
      </c>
      <c r="GX167" s="36">
        <v>0</v>
      </c>
      <c r="GY167" s="36">
        <v>0</v>
      </c>
      <c r="GZ167" s="36">
        <v>0</v>
      </c>
      <c r="HA167" s="38">
        <v>-3.0267983675003052E-8</v>
      </c>
      <c r="HB167" s="36">
        <v>8520.5313010893224</v>
      </c>
      <c r="HC167" s="36">
        <f t="shared" si="2"/>
        <v>754933.55566256039</v>
      </c>
      <c r="HD167" s="36">
        <f>SUM(FH$5:FH$213)</f>
        <v>754933.55566256039</v>
      </c>
      <c r="HE167" s="41">
        <v>0</v>
      </c>
      <c r="HG167" s="43"/>
      <c r="HH167" s="43"/>
      <c r="HI167" s="43"/>
      <c r="HJ167" s="43"/>
      <c r="HK167" s="43"/>
      <c r="HL167" s="43"/>
      <c r="HM167" s="43"/>
      <c r="HN167" s="43"/>
      <c r="HO167" s="43"/>
      <c r="HP167" s="43"/>
      <c r="HQ167" s="43"/>
      <c r="HR167" s="43"/>
      <c r="HS167" s="43"/>
      <c r="HT167" s="43"/>
    </row>
    <row r="168" spans="1:228" hidden="1" outlineLevel="1" x14ac:dyDescent="0.2">
      <c r="A168" s="9" t="s">
        <v>1247</v>
      </c>
      <c r="B168" s="36">
        <v>0</v>
      </c>
      <c r="C168" s="36">
        <v>66.804935325720876</v>
      </c>
      <c r="D168" s="36">
        <v>7.4748296150334248</v>
      </c>
      <c r="E168" s="36">
        <v>105.05943475524987</v>
      </c>
      <c r="F168" s="36">
        <v>174.40339976512223</v>
      </c>
      <c r="G168" s="36">
        <v>271.19997526951721</v>
      </c>
      <c r="H168" s="36">
        <v>452.67905360158795</v>
      </c>
      <c r="I168" s="36">
        <v>130.71260067594267</v>
      </c>
      <c r="J168" s="36">
        <v>140.30862497016193</v>
      </c>
      <c r="K168" s="36">
        <v>21.858219596166474</v>
      </c>
      <c r="L168" s="36">
        <v>26.461044896962804</v>
      </c>
      <c r="M168" s="36">
        <v>1.8738108460934912</v>
      </c>
      <c r="N168" s="36">
        <v>2.7055121349588891</v>
      </c>
      <c r="O168" s="36">
        <v>31.455215807840858</v>
      </c>
      <c r="P168" s="36">
        <v>67.438948410658668</v>
      </c>
      <c r="Q168" s="36">
        <v>83.497491149343546</v>
      </c>
      <c r="R168" s="36">
        <v>39.134885648416613</v>
      </c>
      <c r="S168" s="36">
        <v>34.720158942001504</v>
      </c>
      <c r="T168" s="36">
        <v>117.3309112191094</v>
      </c>
      <c r="U168" s="36">
        <v>25.352941029756593</v>
      </c>
      <c r="V168" s="36">
        <v>30.346618138379412</v>
      </c>
      <c r="W168" s="36">
        <v>13.361926165085563</v>
      </c>
      <c r="X168" s="36">
        <v>33.552107046879215</v>
      </c>
      <c r="Y168" s="36">
        <v>19.558954839590811</v>
      </c>
      <c r="Z168" s="36">
        <v>43.167873817242153</v>
      </c>
      <c r="AA168" s="36">
        <v>130.59087449180421</v>
      </c>
      <c r="AB168" s="36">
        <v>38.483351390907814</v>
      </c>
      <c r="AC168" s="36">
        <v>12.792725344019896</v>
      </c>
      <c r="AD168" s="36">
        <v>21.564655243525934</v>
      </c>
      <c r="AE168" s="36">
        <v>60.642492999388139</v>
      </c>
      <c r="AF168" s="36">
        <v>17.552833910714302</v>
      </c>
      <c r="AG168" s="36">
        <v>8.2842391065317997</v>
      </c>
      <c r="AH168" s="36">
        <v>4.1054519256833615</v>
      </c>
      <c r="AI168" s="36">
        <v>415.26096676133932</v>
      </c>
      <c r="AJ168" s="36">
        <v>200.09873066939781</v>
      </c>
      <c r="AK168" s="36">
        <v>542.94971311761276</v>
      </c>
      <c r="AL168" s="36">
        <v>502.94096611374147</v>
      </c>
      <c r="AM168" s="36">
        <v>259.33693628981968</v>
      </c>
      <c r="AN168" s="36">
        <v>252.82876911886893</v>
      </c>
      <c r="AO168" s="36">
        <v>189.98287852140203</v>
      </c>
      <c r="AP168" s="36">
        <v>173.23928731660078</v>
      </c>
      <c r="AQ168" s="36">
        <v>3.2574132258951503</v>
      </c>
      <c r="AR168" s="36">
        <v>143.51121074418074</v>
      </c>
      <c r="AS168" s="36">
        <v>221.40078441781804</v>
      </c>
      <c r="AT168" s="36">
        <v>363.30341302918595</v>
      </c>
      <c r="AU168" s="36">
        <v>0</v>
      </c>
      <c r="AV168" s="36">
        <v>0</v>
      </c>
      <c r="AW168" s="36">
        <v>0</v>
      </c>
      <c r="AX168" s="36">
        <v>1954.2045283096493</v>
      </c>
      <c r="AY168" s="36">
        <v>970.76648322053757</v>
      </c>
      <c r="AZ168" s="36">
        <v>3441.8704071552779</v>
      </c>
      <c r="BA168" s="36">
        <v>221.29511204766467</v>
      </c>
      <c r="BB168" s="36">
        <v>7557.8174122986384</v>
      </c>
      <c r="BC168" s="36">
        <v>2671.1800792198974</v>
      </c>
      <c r="BD168" s="36">
        <v>1548.7698994591951</v>
      </c>
      <c r="BE168" s="36">
        <v>584.22702608748591</v>
      </c>
      <c r="BF168" s="36">
        <v>49.112677759946585</v>
      </c>
      <c r="BG168" s="36">
        <v>42.073508868817669</v>
      </c>
      <c r="BH168" s="36">
        <v>48.753601192805554</v>
      </c>
      <c r="BI168" s="36">
        <v>7.4125742302084587</v>
      </c>
      <c r="BJ168" s="36">
        <v>142.19032388566322</v>
      </c>
      <c r="BK168" s="36">
        <v>0</v>
      </c>
      <c r="BL168" s="36">
        <v>0</v>
      </c>
      <c r="BM168" s="36">
        <v>0</v>
      </c>
      <c r="BN168" s="36">
        <v>0</v>
      </c>
      <c r="BO168" s="36">
        <v>0</v>
      </c>
      <c r="BP168" s="36">
        <v>0</v>
      </c>
      <c r="BQ168" s="36">
        <v>0</v>
      </c>
      <c r="BR168" s="36">
        <v>0</v>
      </c>
      <c r="BS168" s="36">
        <v>0</v>
      </c>
      <c r="BT168" s="36">
        <v>0</v>
      </c>
      <c r="BU168" s="36">
        <v>0</v>
      </c>
      <c r="BV168" s="36">
        <v>0</v>
      </c>
      <c r="BW168" s="36">
        <v>0</v>
      </c>
      <c r="BX168" s="36">
        <v>0</v>
      </c>
      <c r="BY168" s="36">
        <v>0</v>
      </c>
      <c r="BZ168" s="36">
        <v>0</v>
      </c>
      <c r="CA168" s="36">
        <v>0</v>
      </c>
      <c r="CB168" s="36">
        <v>0</v>
      </c>
      <c r="CC168" s="36">
        <v>0</v>
      </c>
      <c r="CD168" s="36">
        <v>0</v>
      </c>
      <c r="CE168" s="36">
        <v>0</v>
      </c>
      <c r="CF168" s="36">
        <v>0</v>
      </c>
      <c r="CG168" s="36">
        <v>0</v>
      </c>
      <c r="CH168" s="36">
        <v>0</v>
      </c>
      <c r="CI168" s="36">
        <v>0</v>
      </c>
      <c r="CJ168" s="36">
        <v>0</v>
      </c>
      <c r="CK168" s="36">
        <v>0</v>
      </c>
      <c r="CL168" s="36">
        <v>0</v>
      </c>
      <c r="CM168" s="36">
        <v>0</v>
      </c>
      <c r="CN168" s="36">
        <v>0</v>
      </c>
      <c r="CO168" s="36">
        <v>0</v>
      </c>
      <c r="CP168" s="36">
        <v>0</v>
      </c>
      <c r="CQ168" s="36">
        <v>0</v>
      </c>
      <c r="CR168" s="36">
        <v>0</v>
      </c>
      <c r="CS168" s="36">
        <v>0</v>
      </c>
      <c r="CT168" s="36">
        <v>0</v>
      </c>
      <c r="CU168" s="36">
        <v>0</v>
      </c>
      <c r="CV168" s="36">
        <v>0</v>
      </c>
      <c r="CW168" s="36">
        <v>0</v>
      </c>
      <c r="CX168" s="36">
        <v>0</v>
      </c>
      <c r="CY168" s="36">
        <v>0</v>
      </c>
      <c r="CZ168" s="36">
        <v>0</v>
      </c>
      <c r="DA168" s="36">
        <v>0</v>
      </c>
      <c r="DB168" s="36">
        <v>0</v>
      </c>
      <c r="DC168" s="36">
        <v>0</v>
      </c>
      <c r="DD168" s="36">
        <v>0</v>
      </c>
      <c r="DE168" s="36">
        <v>0</v>
      </c>
      <c r="DF168" s="36">
        <v>0</v>
      </c>
      <c r="DG168" s="36">
        <v>0</v>
      </c>
      <c r="DH168" s="36">
        <v>0</v>
      </c>
      <c r="DI168" s="36">
        <v>0</v>
      </c>
      <c r="DJ168" s="36">
        <v>0</v>
      </c>
      <c r="DK168" s="36">
        <v>0</v>
      </c>
      <c r="DL168" s="36">
        <v>0</v>
      </c>
      <c r="DM168" s="36">
        <v>0</v>
      </c>
      <c r="DN168" s="36">
        <v>0</v>
      </c>
      <c r="DO168" s="36">
        <v>0</v>
      </c>
      <c r="DP168" s="36">
        <v>0</v>
      </c>
      <c r="DQ168" s="36">
        <v>0</v>
      </c>
      <c r="DR168" s="36">
        <v>0</v>
      </c>
      <c r="DS168" s="36">
        <v>0</v>
      </c>
      <c r="DT168" s="36">
        <v>0</v>
      </c>
      <c r="DU168" s="36">
        <v>0</v>
      </c>
      <c r="DV168" s="36">
        <v>0</v>
      </c>
      <c r="DW168" s="36">
        <v>0</v>
      </c>
      <c r="DX168" s="36">
        <v>0</v>
      </c>
      <c r="DY168" s="36">
        <v>0</v>
      </c>
      <c r="DZ168" s="36">
        <v>0</v>
      </c>
      <c r="EA168" s="36">
        <v>0</v>
      </c>
      <c r="EB168" s="36">
        <v>0</v>
      </c>
      <c r="EC168" s="36">
        <v>0</v>
      </c>
      <c r="ED168" s="36">
        <v>0</v>
      </c>
      <c r="EE168" s="36">
        <v>0</v>
      </c>
      <c r="EF168" s="36">
        <v>0</v>
      </c>
      <c r="EG168" s="36">
        <v>0</v>
      </c>
      <c r="EH168" s="36">
        <v>0</v>
      </c>
      <c r="EI168" s="36">
        <v>0</v>
      </c>
      <c r="EJ168" s="36">
        <v>0</v>
      </c>
      <c r="EK168" s="36">
        <v>0</v>
      </c>
      <c r="EL168" s="36">
        <v>0</v>
      </c>
      <c r="EM168" s="36">
        <v>0</v>
      </c>
      <c r="EN168" s="36">
        <v>0</v>
      </c>
      <c r="EO168" s="36">
        <v>0</v>
      </c>
      <c r="EP168" s="36">
        <v>0</v>
      </c>
      <c r="EQ168" s="36">
        <v>0</v>
      </c>
      <c r="ER168" s="36">
        <v>0</v>
      </c>
      <c r="ES168" s="36">
        <v>0</v>
      </c>
      <c r="ET168" s="36">
        <v>0</v>
      </c>
      <c r="EU168" s="36">
        <v>0</v>
      </c>
      <c r="EV168" s="36">
        <v>0</v>
      </c>
      <c r="EW168" s="36">
        <v>0</v>
      </c>
      <c r="EX168" s="36">
        <v>0</v>
      </c>
      <c r="EY168" s="36">
        <v>0</v>
      </c>
      <c r="EZ168" s="36">
        <v>0</v>
      </c>
      <c r="FA168" s="36">
        <v>0</v>
      </c>
      <c r="FB168" s="36">
        <v>0</v>
      </c>
      <c r="FC168" s="36">
        <v>0</v>
      </c>
      <c r="FD168" s="36">
        <v>0</v>
      </c>
      <c r="FE168" s="36">
        <v>0</v>
      </c>
      <c r="FF168" s="36">
        <v>0</v>
      </c>
      <c r="FG168" s="36">
        <v>0</v>
      </c>
      <c r="FH168" s="36">
        <v>0</v>
      </c>
      <c r="FI168" s="36">
        <v>0</v>
      </c>
      <c r="FJ168" s="36">
        <v>0</v>
      </c>
      <c r="FK168" s="36">
        <v>0</v>
      </c>
      <c r="FL168" s="36">
        <v>0</v>
      </c>
      <c r="FM168" s="36">
        <v>0</v>
      </c>
      <c r="FN168" s="36">
        <v>0</v>
      </c>
      <c r="FO168" s="36">
        <v>0</v>
      </c>
      <c r="FP168" s="36">
        <v>0</v>
      </c>
      <c r="FQ168" s="36">
        <v>0</v>
      </c>
      <c r="FR168" s="36">
        <v>0</v>
      </c>
      <c r="FS168" s="36">
        <v>0</v>
      </c>
      <c r="FT168" s="36">
        <v>0</v>
      </c>
      <c r="FU168" s="36">
        <v>0</v>
      </c>
      <c r="FV168" s="36">
        <v>0</v>
      </c>
      <c r="FW168" s="36">
        <v>0</v>
      </c>
      <c r="FX168" s="36">
        <v>0</v>
      </c>
      <c r="FY168" s="36">
        <v>0</v>
      </c>
      <c r="FZ168" s="36">
        <v>0</v>
      </c>
      <c r="GA168" s="36">
        <v>0</v>
      </c>
      <c r="GB168" s="36">
        <v>0</v>
      </c>
      <c r="GC168" s="36">
        <v>0</v>
      </c>
      <c r="GD168" s="36">
        <v>0</v>
      </c>
      <c r="GE168" s="36">
        <v>0</v>
      </c>
      <c r="GF168" s="36">
        <v>0</v>
      </c>
      <c r="GG168" s="42">
        <v>546.75528549860871</v>
      </c>
      <c r="GH168" s="42">
        <v>1321.9732923465115</v>
      </c>
      <c r="GI168" s="42">
        <v>1780.9272759237656</v>
      </c>
      <c r="GJ168" s="42">
        <v>2561.9356840586515</v>
      </c>
      <c r="GK168" s="42">
        <v>3272.5937378936478</v>
      </c>
      <c r="GL168" s="42">
        <v>6123.3183669135724</v>
      </c>
      <c r="GM168" s="42">
        <v>7580.5746471279845</v>
      </c>
      <c r="GN168" s="42">
        <v>13088.016328639218</v>
      </c>
      <c r="GO168" s="42">
        <v>29538.768139782827</v>
      </c>
      <c r="GP168" s="42">
        <v>7973.975307403799</v>
      </c>
      <c r="GQ168" s="42">
        <v>7697.9968930218465</v>
      </c>
      <c r="GR168" s="42">
        <v>9443.575582458885</v>
      </c>
      <c r="GS168" s="42">
        <v>7124.7736607989527</v>
      </c>
      <c r="GT168" s="42">
        <v>9736.2593981911868</v>
      </c>
      <c r="GU168" s="36">
        <v>335504.81386511913</v>
      </c>
      <c r="GV168" s="36">
        <v>0</v>
      </c>
      <c r="GW168" s="36">
        <v>0</v>
      </c>
      <c r="GX168" s="36">
        <v>0</v>
      </c>
      <c r="GY168" s="36">
        <v>0</v>
      </c>
      <c r="GZ168" s="36">
        <v>0</v>
      </c>
      <c r="HA168" s="38">
        <v>-1.2223608791828156E-9</v>
      </c>
      <c r="HB168" s="36">
        <v>2997.4278023724182</v>
      </c>
      <c r="HC168" s="36">
        <f t="shared" si="2"/>
        <v>471035.94606869086</v>
      </c>
      <c r="HD168" s="36">
        <f>SUM(FI$5:FI$213)</f>
        <v>471035.94606869086</v>
      </c>
      <c r="HE168" s="41">
        <v>0</v>
      </c>
      <c r="HG168" s="43"/>
      <c r="HH168" s="43"/>
      <c r="HI168" s="43"/>
      <c r="HJ168" s="43"/>
      <c r="HK168" s="43"/>
      <c r="HL168" s="43"/>
      <c r="HM168" s="43"/>
      <c r="HN168" s="43"/>
      <c r="HO168" s="43"/>
      <c r="HP168" s="43"/>
      <c r="HQ168" s="43"/>
      <c r="HR168" s="43"/>
      <c r="HS168" s="43"/>
      <c r="HT168" s="43"/>
    </row>
    <row r="169" spans="1:228" hidden="1" outlineLevel="1" x14ac:dyDescent="0.2">
      <c r="A169" s="9" t="s">
        <v>1254</v>
      </c>
      <c r="B169" s="36">
        <v>0</v>
      </c>
      <c r="C169" s="36">
        <v>0</v>
      </c>
      <c r="D169" s="36">
        <v>0</v>
      </c>
      <c r="E169" s="36">
        <v>2617.8291296854286</v>
      </c>
      <c r="F169" s="36">
        <v>2100.3236338201482</v>
      </c>
      <c r="G169" s="36">
        <v>9680.22184204117</v>
      </c>
      <c r="H169" s="36">
        <v>1317.2127212014473</v>
      </c>
      <c r="I169" s="36">
        <v>0</v>
      </c>
      <c r="J169" s="36">
        <v>0</v>
      </c>
      <c r="K169" s="36">
        <v>0</v>
      </c>
      <c r="L169" s="36">
        <v>0</v>
      </c>
      <c r="M169" s="36">
        <v>0</v>
      </c>
      <c r="N169" s="36">
        <v>0</v>
      </c>
      <c r="O169" s="36">
        <v>0</v>
      </c>
      <c r="P169" s="36">
        <v>0</v>
      </c>
      <c r="Q169" s="36">
        <v>0</v>
      </c>
      <c r="R169" s="36">
        <v>0</v>
      </c>
      <c r="S169" s="36">
        <v>0</v>
      </c>
      <c r="T169" s="36">
        <v>0</v>
      </c>
      <c r="U169" s="36">
        <v>0</v>
      </c>
      <c r="V169" s="36">
        <v>0</v>
      </c>
      <c r="W169" s="36">
        <v>0</v>
      </c>
      <c r="X169" s="36">
        <v>0</v>
      </c>
      <c r="Y169" s="36">
        <v>0</v>
      </c>
      <c r="Z169" s="36">
        <v>0</v>
      </c>
      <c r="AA169" s="36">
        <v>0</v>
      </c>
      <c r="AB169" s="36">
        <v>0</v>
      </c>
      <c r="AC169" s="36">
        <v>0</v>
      </c>
      <c r="AD169" s="36">
        <v>0</v>
      </c>
      <c r="AE169" s="36">
        <v>0</v>
      </c>
      <c r="AF169" s="36">
        <v>0</v>
      </c>
      <c r="AG169" s="36">
        <v>0</v>
      </c>
      <c r="AH169" s="36">
        <v>0</v>
      </c>
      <c r="AI169" s="36">
        <v>0</v>
      </c>
      <c r="AJ169" s="36">
        <v>0</v>
      </c>
      <c r="AK169" s="36">
        <v>0</v>
      </c>
      <c r="AL169" s="36">
        <v>0</v>
      </c>
      <c r="AM169" s="36">
        <v>0</v>
      </c>
      <c r="AN169" s="36">
        <v>0</v>
      </c>
      <c r="AO169" s="36">
        <v>0</v>
      </c>
      <c r="AP169" s="36">
        <v>0</v>
      </c>
      <c r="AQ169" s="36">
        <v>0</v>
      </c>
      <c r="AR169" s="36">
        <v>0</v>
      </c>
      <c r="AS169" s="36">
        <v>0</v>
      </c>
      <c r="AT169" s="36">
        <v>0</v>
      </c>
      <c r="AU169" s="36">
        <v>0</v>
      </c>
      <c r="AV169" s="36">
        <v>0</v>
      </c>
      <c r="AW169" s="36">
        <v>0</v>
      </c>
      <c r="AX169" s="36">
        <v>227.94997548762268</v>
      </c>
      <c r="AY169" s="36">
        <v>166.44167231292994</v>
      </c>
      <c r="AZ169" s="36">
        <v>569.45822206721641</v>
      </c>
      <c r="BA169" s="36">
        <v>24.422341417427123</v>
      </c>
      <c r="BB169" s="36">
        <v>688.00405013896795</v>
      </c>
      <c r="BC169" s="36">
        <v>3423.9622296250732</v>
      </c>
      <c r="BD169" s="36">
        <v>5.8964891554259484</v>
      </c>
      <c r="BE169" s="36">
        <v>10191.459506664782</v>
      </c>
      <c r="BF169" s="36">
        <v>0</v>
      </c>
      <c r="BG169" s="36">
        <v>0</v>
      </c>
      <c r="BH169" s="36">
        <v>0</v>
      </c>
      <c r="BI169" s="36">
        <v>0</v>
      </c>
      <c r="BJ169" s="36">
        <v>170.68523948563461</v>
      </c>
      <c r="BK169" s="36">
        <v>0</v>
      </c>
      <c r="BL169" s="36">
        <v>0</v>
      </c>
      <c r="BM169" s="36">
        <v>0</v>
      </c>
      <c r="BN169" s="36">
        <v>0</v>
      </c>
      <c r="BO169" s="36">
        <v>0</v>
      </c>
      <c r="BP169" s="36">
        <v>0</v>
      </c>
      <c r="BQ169" s="36">
        <v>0</v>
      </c>
      <c r="BR169" s="36">
        <v>0</v>
      </c>
      <c r="BS169" s="36">
        <v>0</v>
      </c>
      <c r="BT169" s="36">
        <v>0</v>
      </c>
      <c r="BU169" s="36">
        <v>0</v>
      </c>
      <c r="BV169" s="36">
        <v>0</v>
      </c>
      <c r="BW169" s="36">
        <v>0</v>
      </c>
      <c r="BX169" s="36">
        <v>0</v>
      </c>
      <c r="BY169" s="36">
        <v>0</v>
      </c>
      <c r="BZ169" s="36">
        <v>0</v>
      </c>
      <c r="CA169" s="36">
        <v>0</v>
      </c>
      <c r="CB169" s="36">
        <v>0</v>
      </c>
      <c r="CC169" s="36">
        <v>0</v>
      </c>
      <c r="CD169" s="36">
        <v>0</v>
      </c>
      <c r="CE169" s="36">
        <v>0</v>
      </c>
      <c r="CF169" s="36">
        <v>0</v>
      </c>
      <c r="CG169" s="36">
        <v>0</v>
      </c>
      <c r="CH169" s="36">
        <v>0</v>
      </c>
      <c r="CI169" s="36">
        <v>0</v>
      </c>
      <c r="CJ169" s="36">
        <v>0</v>
      </c>
      <c r="CK169" s="36">
        <v>0</v>
      </c>
      <c r="CL169" s="36">
        <v>0</v>
      </c>
      <c r="CM169" s="36">
        <v>0</v>
      </c>
      <c r="CN169" s="36">
        <v>0</v>
      </c>
      <c r="CO169" s="36">
        <v>0</v>
      </c>
      <c r="CP169" s="36">
        <v>0</v>
      </c>
      <c r="CQ169" s="36">
        <v>0</v>
      </c>
      <c r="CR169" s="36">
        <v>0</v>
      </c>
      <c r="CS169" s="36">
        <v>0</v>
      </c>
      <c r="CT169" s="36">
        <v>0</v>
      </c>
      <c r="CU169" s="36">
        <v>0</v>
      </c>
      <c r="CV169" s="36">
        <v>0</v>
      </c>
      <c r="CW169" s="36">
        <v>0</v>
      </c>
      <c r="CX169" s="36">
        <v>0</v>
      </c>
      <c r="CY169" s="36">
        <v>0</v>
      </c>
      <c r="CZ169" s="36">
        <v>0</v>
      </c>
      <c r="DA169" s="36">
        <v>0</v>
      </c>
      <c r="DB169" s="36">
        <v>0</v>
      </c>
      <c r="DC169" s="36">
        <v>0</v>
      </c>
      <c r="DD169" s="36">
        <v>0</v>
      </c>
      <c r="DE169" s="36">
        <v>0</v>
      </c>
      <c r="DF169" s="36">
        <v>0</v>
      </c>
      <c r="DG169" s="36">
        <v>0</v>
      </c>
      <c r="DH169" s="36">
        <v>0</v>
      </c>
      <c r="DI169" s="36">
        <v>0</v>
      </c>
      <c r="DJ169" s="36">
        <v>0</v>
      </c>
      <c r="DK169" s="36">
        <v>0</v>
      </c>
      <c r="DL169" s="36">
        <v>0</v>
      </c>
      <c r="DM169" s="36">
        <v>0</v>
      </c>
      <c r="DN169" s="36">
        <v>0</v>
      </c>
      <c r="DO169" s="36">
        <v>0</v>
      </c>
      <c r="DP169" s="36">
        <v>0</v>
      </c>
      <c r="DQ169" s="36">
        <v>0</v>
      </c>
      <c r="DR169" s="36">
        <v>0</v>
      </c>
      <c r="DS169" s="36">
        <v>0</v>
      </c>
      <c r="DT169" s="36">
        <v>0</v>
      </c>
      <c r="DU169" s="36">
        <v>0</v>
      </c>
      <c r="DV169" s="36">
        <v>0</v>
      </c>
      <c r="DW169" s="36">
        <v>0</v>
      </c>
      <c r="DX169" s="36">
        <v>0</v>
      </c>
      <c r="DY169" s="36">
        <v>0</v>
      </c>
      <c r="DZ169" s="36">
        <v>0</v>
      </c>
      <c r="EA169" s="36">
        <v>0</v>
      </c>
      <c r="EB169" s="36">
        <v>0</v>
      </c>
      <c r="EC169" s="36">
        <v>0</v>
      </c>
      <c r="ED169" s="36">
        <v>0</v>
      </c>
      <c r="EE169" s="36">
        <v>0</v>
      </c>
      <c r="EF169" s="36">
        <v>0</v>
      </c>
      <c r="EG169" s="36">
        <v>0</v>
      </c>
      <c r="EH169" s="36">
        <v>0</v>
      </c>
      <c r="EI169" s="36">
        <v>0</v>
      </c>
      <c r="EJ169" s="36">
        <v>0</v>
      </c>
      <c r="EK169" s="36">
        <v>0</v>
      </c>
      <c r="EL169" s="36">
        <v>0</v>
      </c>
      <c r="EM169" s="36">
        <v>0</v>
      </c>
      <c r="EN169" s="36">
        <v>0</v>
      </c>
      <c r="EO169" s="36">
        <v>0</v>
      </c>
      <c r="EP169" s="36">
        <v>0</v>
      </c>
      <c r="EQ169" s="36">
        <v>0</v>
      </c>
      <c r="ER169" s="36">
        <v>0</v>
      </c>
      <c r="ES169" s="36">
        <v>0</v>
      </c>
      <c r="ET169" s="36">
        <v>0</v>
      </c>
      <c r="EU169" s="36">
        <v>0</v>
      </c>
      <c r="EV169" s="36">
        <v>0</v>
      </c>
      <c r="EW169" s="36">
        <v>0</v>
      </c>
      <c r="EX169" s="36">
        <v>0</v>
      </c>
      <c r="EY169" s="36">
        <v>0</v>
      </c>
      <c r="EZ169" s="36">
        <v>0</v>
      </c>
      <c r="FA169" s="36">
        <v>0</v>
      </c>
      <c r="FB169" s="36">
        <v>0</v>
      </c>
      <c r="FC169" s="36">
        <v>0</v>
      </c>
      <c r="FD169" s="36">
        <v>0</v>
      </c>
      <c r="FE169" s="36">
        <v>0</v>
      </c>
      <c r="FF169" s="36">
        <v>0</v>
      </c>
      <c r="FG169" s="36">
        <v>0</v>
      </c>
      <c r="FH169" s="36">
        <v>0</v>
      </c>
      <c r="FI169" s="36">
        <v>0</v>
      </c>
      <c r="FJ169" s="36">
        <v>0</v>
      </c>
      <c r="FK169" s="36">
        <v>0</v>
      </c>
      <c r="FL169" s="36">
        <v>0</v>
      </c>
      <c r="FM169" s="36">
        <v>0</v>
      </c>
      <c r="FN169" s="36">
        <v>0</v>
      </c>
      <c r="FO169" s="36">
        <v>0</v>
      </c>
      <c r="FP169" s="36">
        <v>0</v>
      </c>
      <c r="FQ169" s="36">
        <v>0</v>
      </c>
      <c r="FR169" s="36">
        <v>0</v>
      </c>
      <c r="FS169" s="36">
        <v>0</v>
      </c>
      <c r="FT169" s="36">
        <v>0</v>
      </c>
      <c r="FU169" s="36">
        <v>0</v>
      </c>
      <c r="FV169" s="36">
        <v>0</v>
      </c>
      <c r="FW169" s="36">
        <v>0</v>
      </c>
      <c r="FX169" s="36">
        <v>0</v>
      </c>
      <c r="FY169" s="36">
        <v>0</v>
      </c>
      <c r="FZ169" s="36">
        <v>0</v>
      </c>
      <c r="GA169" s="36">
        <v>0</v>
      </c>
      <c r="GB169" s="36">
        <v>0</v>
      </c>
      <c r="GC169" s="36">
        <v>0</v>
      </c>
      <c r="GD169" s="36">
        <v>0</v>
      </c>
      <c r="GE169" s="36">
        <v>0</v>
      </c>
      <c r="GF169" s="36">
        <v>0</v>
      </c>
      <c r="GG169" s="42">
        <v>4119.6988110438851</v>
      </c>
      <c r="GH169" s="42">
        <v>6760.4586038775178</v>
      </c>
      <c r="GI169" s="42">
        <v>8390.3085124311456</v>
      </c>
      <c r="GJ169" s="42">
        <v>8576.1336023547028</v>
      </c>
      <c r="GK169" s="42">
        <v>10648.005607838117</v>
      </c>
      <c r="GL169" s="42">
        <v>12093.540832786883</v>
      </c>
      <c r="GM169" s="42">
        <v>13909.5530616448</v>
      </c>
      <c r="GN169" s="42">
        <v>20667.158052721883</v>
      </c>
      <c r="GO169" s="42">
        <v>42753.726822446981</v>
      </c>
      <c r="GP169" s="42">
        <v>10494.575618092331</v>
      </c>
      <c r="GQ169" s="42">
        <v>9862.3525457869018</v>
      </c>
      <c r="GR169" s="42">
        <v>13919.151786431603</v>
      </c>
      <c r="GS169" s="42">
        <v>13468.575826540358</v>
      </c>
      <c r="GT169" s="42">
        <v>26364.612107713041</v>
      </c>
      <c r="GU169" s="36">
        <v>147266.28947158644</v>
      </c>
      <c r="GV169" s="36">
        <v>0</v>
      </c>
      <c r="GW169" s="36">
        <v>0</v>
      </c>
      <c r="GX169" s="36">
        <v>0</v>
      </c>
      <c r="GY169" s="36">
        <v>0</v>
      </c>
      <c r="GZ169" s="36">
        <v>0</v>
      </c>
      <c r="HA169" s="38">
        <v>-7.7416189014911652E-9</v>
      </c>
      <c r="HB169" s="36">
        <v>88.26179770009017</v>
      </c>
      <c r="HC169" s="36">
        <f t="shared" si="2"/>
        <v>380566.27011409221</v>
      </c>
      <c r="HD169" s="36">
        <f>SUM(FJ$5:FJ$213)</f>
        <v>380566.27011409221</v>
      </c>
      <c r="HE169" s="41">
        <v>0</v>
      </c>
      <c r="HG169" s="43"/>
      <c r="HH169" s="43"/>
      <c r="HI169" s="43"/>
      <c r="HJ169" s="43"/>
      <c r="HK169" s="43"/>
      <c r="HL169" s="43"/>
      <c r="HM169" s="43"/>
      <c r="HN169" s="43"/>
      <c r="HO169" s="43"/>
      <c r="HP169" s="43"/>
      <c r="HQ169" s="43"/>
      <c r="HR169" s="43"/>
      <c r="HS169" s="43"/>
      <c r="HT169" s="43"/>
    </row>
    <row r="170" spans="1:228" hidden="1" outlineLevel="1" x14ac:dyDescent="0.2">
      <c r="A170" s="9" t="s">
        <v>1502</v>
      </c>
      <c r="B170" s="36">
        <v>0</v>
      </c>
      <c r="C170" s="36">
        <v>0</v>
      </c>
      <c r="D170" s="36">
        <v>0</v>
      </c>
      <c r="E170" s="36">
        <v>2574.3872378628062</v>
      </c>
      <c r="F170" s="36">
        <v>4081.4376261340594</v>
      </c>
      <c r="G170" s="36">
        <v>5857.2525443394679</v>
      </c>
      <c r="H170" s="36">
        <v>2034.8266586860445</v>
      </c>
      <c r="I170" s="36">
        <v>0</v>
      </c>
      <c r="J170" s="36">
        <v>0</v>
      </c>
      <c r="K170" s="36">
        <v>0</v>
      </c>
      <c r="L170" s="36">
        <v>0</v>
      </c>
      <c r="M170" s="36">
        <v>0</v>
      </c>
      <c r="N170" s="36">
        <v>0</v>
      </c>
      <c r="O170" s="36">
        <v>0</v>
      </c>
      <c r="P170" s="36">
        <v>0</v>
      </c>
      <c r="Q170" s="36">
        <v>0</v>
      </c>
      <c r="R170" s="36">
        <v>0</v>
      </c>
      <c r="S170" s="36">
        <v>0</v>
      </c>
      <c r="T170" s="36">
        <v>0</v>
      </c>
      <c r="U170" s="36">
        <v>0</v>
      </c>
      <c r="V170" s="36">
        <v>0</v>
      </c>
      <c r="W170" s="36">
        <v>0</v>
      </c>
      <c r="X170" s="36">
        <v>0</v>
      </c>
      <c r="Y170" s="36">
        <v>0</v>
      </c>
      <c r="Z170" s="36">
        <v>0</v>
      </c>
      <c r="AA170" s="36">
        <v>0</v>
      </c>
      <c r="AB170" s="36">
        <v>0</v>
      </c>
      <c r="AC170" s="36">
        <v>0</v>
      </c>
      <c r="AD170" s="36">
        <v>0</v>
      </c>
      <c r="AE170" s="36">
        <v>0</v>
      </c>
      <c r="AF170" s="36">
        <v>0</v>
      </c>
      <c r="AG170" s="36">
        <v>0</v>
      </c>
      <c r="AH170" s="36">
        <v>0</v>
      </c>
      <c r="AI170" s="36">
        <v>2.7348991652259449</v>
      </c>
      <c r="AJ170" s="36">
        <v>5.9028634855557405</v>
      </c>
      <c r="AK170" s="36">
        <v>0</v>
      </c>
      <c r="AL170" s="36">
        <v>0</v>
      </c>
      <c r="AM170" s="36">
        <v>0</v>
      </c>
      <c r="AN170" s="36">
        <v>0</v>
      </c>
      <c r="AO170" s="36">
        <v>0</v>
      </c>
      <c r="AP170" s="36">
        <v>0</v>
      </c>
      <c r="AQ170" s="36">
        <v>0</v>
      </c>
      <c r="AR170" s="36">
        <v>0</v>
      </c>
      <c r="AS170" s="36">
        <v>0</v>
      </c>
      <c r="AT170" s="36">
        <v>0</v>
      </c>
      <c r="AU170" s="36">
        <v>0</v>
      </c>
      <c r="AV170" s="36">
        <v>0</v>
      </c>
      <c r="AW170" s="36">
        <v>0</v>
      </c>
      <c r="AX170" s="36">
        <v>3115.6222601911536</v>
      </c>
      <c r="AY170" s="36">
        <v>0</v>
      </c>
      <c r="AZ170" s="36">
        <v>0</v>
      </c>
      <c r="BA170" s="36">
        <v>0</v>
      </c>
      <c r="BB170" s="36">
        <v>0</v>
      </c>
      <c r="BC170" s="36">
        <v>762.28611412386044</v>
      </c>
      <c r="BD170" s="36">
        <v>86.33437192683958</v>
      </c>
      <c r="BE170" s="36">
        <v>47.035198795129048</v>
      </c>
      <c r="BF170" s="36">
        <v>3.6162162200519274</v>
      </c>
      <c r="BG170" s="36">
        <v>0</v>
      </c>
      <c r="BH170" s="36">
        <v>1.2429263251276912</v>
      </c>
      <c r="BI170" s="36">
        <v>0</v>
      </c>
      <c r="BJ170" s="36">
        <v>492.2206909841301</v>
      </c>
      <c r="BK170" s="36">
        <v>0</v>
      </c>
      <c r="BL170" s="36">
        <v>0</v>
      </c>
      <c r="BM170" s="36">
        <v>0</v>
      </c>
      <c r="BN170" s="36">
        <v>0</v>
      </c>
      <c r="BO170" s="36">
        <v>0</v>
      </c>
      <c r="BP170" s="36">
        <v>0</v>
      </c>
      <c r="BQ170" s="36">
        <v>0</v>
      </c>
      <c r="BR170" s="36">
        <v>0</v>
      </c>
      <c r="BS170" s="36">
        <v>0</v>
      </c>
      <c r="BT170" s="36">
        <v>0</v>
      </c>
      <c r="BU170" s="36">
        <v>0</v>
      </c>
      <c r="BV170" s="36">
        <v>0</v>
      </c>
      <c r="BW170" s="36">
        <v>0</v>
      </c>
      <c r="BX170" s="36">
        <v>0</v>
      </c>
      <c r="BY170" s="36">
        <v>0</v>
      </c>
      <c r="BZ170" s="36">
        <v>0</v>
      </c>
      <c r="CA170" s="36">
        <v>0</v>
      </c>
      <c r="CB170" s="36">
        <v>0</v>
      </c>
      <c r="CC170" s="36">
        <v>0</v>
      </c>
      <c r="CD170" s="36">
        <v>0</v>
      </c>
      <c r="CE170" s="36">
        <v>0</v>
      </c>
      <c r="CF170" s="36">
        <v>0</v>
      </c>
      <c r="CG170" s="36">
        <v>0</v>
      </c>
      <c r="CH170" s="36">
        <v>0</v>
      </c>
      <c r="CI170" s="36">
        <v>0</v>
      </c>
      <c r="CJ170" s="36">
        <v>0</v>
      </c>
      <c r="CK170" s="36">
        <v>0</v>
      </c>
      <c r="CL170" s="36">
        <v>0</v>
      </c>
      <c r="CM170" s="36">
        <v>0</v>
      </c>
      <c r="CN170" s="36">
        <v>0</v>
      </c>
      <c r="CO170" s="36">
        <v>0</v>
      </c>
      <c r="CP170" s="36">
        <v>0</v>
      </c>
      <c r="CQ170" s="36">
        <v>0</v>
      </c>
      <c r="CR170" s="36">
        <v>0</v>
      </c>
      <c r="CS170" s="36">
        <v>0</v>
      </c>
      <c r="CT170" s="36">
        <v>0</v>
      </c>
      <c r="CU170" s="36">
        <v>0</v>
      </c>
      <c r="CV170" s="36">
        <v>0</v>
      </c>
      <c r="CW170" s="36">
        <v>0</v>
      </c>
      <c r="CX170" s="36">
        <v>0</v>
      </c>
      <c r="CY170" s="36">
        <v>0</v>
      </c>
      <c r="CZ170" s="36">
        <v>0</v>
      </c>
      <c r="DA170" s="36">
        <v>0</v>
      </c>
      <c r="DB170" s="36">
        <v>0</v>
      </c>
      <c r="DC170" s="36">
        <v>0</v>
      </c>
      <c r="DD170" s="36">
        <v>0</v>
      </c>
      <c r="DE170" s="36">
        <v>0</v>
      </c>
      <c r="DF170" s="36">
        <v>0</v>
      </c>
      <c r="DG170" s="36">
        <v>0</v>
      </c>
      <c r="DH170" s="36">
        <v>0</v>
      </c>
      <c r="DI170" s="36">
        <v>0</v>
      </c>
      <c r="DJ170" s="36">
        <v>0</v>
      </c>
      <c r="DK170" s="36">
        <v>0</v>
      </c>
      <c r="DL170" s="36">
        <v>0</v>
      </c>
      <c r="DM170" s="36">
        <v>0</v>
      </c>
      <c r="DN170" s="36">
        <v>0</v>
      </c>
      <c r="DO170" s="36">
        <v>0</v>
      </c>
      <c r="DP170" s="36">
        <v>0</v>
      </c>
      <c r="DQ170" s="36">
        <v>0</v>
      </c>
      <c r="DR170" s="36">
        <v>0</v>
      </c>
      <c r="DS170" s="36">
        <v>0</v>
      </c>
      <c r="DT170" s="36">
        <v>0</v>
      </c>
      <c r="DU170" s="36">
        <v>0</v>
      </c>
      <c r="DV170" s="36">
        <v>0</v>
      </c>
      <c r="DW170" s="36">
        <v>0</v>
      </c>
      <c r="DX170" s="36">
        <v>0</v>
      </c>
      <c r="DY170" s="36">
        <v>0</v>
      </c>
      <c r="DZ170" s="36">
        <v>0</v>
      </c>
      <c r="EA170" s="36">
        <v>0</v>
      </c>
      <c r="EB170" s="36">
        <v>0</v>
      </c>
      <c r="EC170" s="36">
        <v>0</v>
      </c>
      <c r="ED170" s="36">
        <v>0</v>
      </c>
      <c r="EE170" s="36">
        <v>0</v>
      </c>
      <c r="EF170" s="36">
        <v>0</v>
      </c>
      <c r="EG170" s="36">
        <v>0</v>
      </c>
      <c r="EH170" s="36">
        <v>0</v>
      </c>
      <c r="EI170" s="36">
        <v>0</v>
      </c>
      <c r="EJ170" s="36">
        <v>0</v>
      </c>
      <c r="EK170" s="36">
        <v>0</v>
      </c>
      <c r="EL170" s="36">
        <v>0</v>
      </c>
      <c r="EM170" s="36">
        <v>0</v>
      </c>
      <c r="EN170" s="36">
        <v>0</v>
      </c>
      <c r="EO170" s="36">
        <v>0</v>
      </c>
      <c r="EP170" s="36">
        <v>0</v>
      </c>
      <c r="EQ170" s="36">
        <v>0</v>
      </c>
      <c r="ER170" s="36">
        <v>0</v>
      </c>
      <c r="ES170" s="36">
        <v>0</v>
      </c>
      <c r="ET170" s="36">
        <v>0</v>
      </c>
      <c r="EU170" s="36">
        <v>0</v>
      </c>
      <c r="EV170" s="36">
        <v>0</v>
      </c>
      <c r="EW170" s="36">
        <v>0</v>
      </c>
      <c r="EX170" s="36">
        <v>0</v>
      </c>
      <c r="EY170" s="36">
        <v>0</v>
      </c>
      <c r="EZ170" s="36">
        <v>0</v>
      </c>
      <c r="FA170" s="36">
        <v>0</v>
      </c>
      <c r="FB170" s="36">
        <v>0</v>
      </c>
      <c r="FC170" s="36">
        <v>0</v>
      </c>
      <c r="FD170" s="36">
        <v>0</v>
      </c>
      <c r="FE170" s="36">
        <v>0</v>
      </c>
      <c r="FF170" s="36">
        <v>0</v>
      </c>
      <c r="FG170" s="36">
        <v>0</v>
      </c>
      <c r="FH170" s="36">
        <v>0</v>
      </c>
      <c r="FI170" s="36">
        <v>0</v>
      </c>
      <c r="FJ170" s="36">
        <v>0</v>
      </c>
      <c r="FK170" s="36">
        <v>0</v>
      </c>
      <c r="FL170" s="36">
        <v>0</v>
      </c>
      <c r="FM170" s="36">
        <v>0</v>
      </c>
      <c r="FN170" s="36">
        <v>0</v>
      </c>
      <c r="FO170" s="36">
        <v>0</v>
      </c>
      <c r="FP170" s="36">
        <v>0</v>
      </c>
      <c r="FQ170" s="36">
        <v>0</v>
      </c>
      <c r="FR170" s="36">
        <v>0</v>
      </c>
      <c r="FS170" s="36">
        <v>0</v>
      </c>
      <c r="FT170" s="36">
        <v>0</v>
      </c>
      <c r="FU170" s="36">
        <v>0</v>
      </c>
      <c r="FV170" s="36">
        <v>0</v>
      </c>
      <c r="FW170" s="36">
        <v>0</v>
      </c>
      <c r="FX170" s="36">
        <v>0</v>
      </c>
      <c r="FY170" s="36">
        <v>0</v>
      </c>
      <c r="FZ170" s="36">
        <v>0</v>
      </c>
      <c r="GA170" s="36">
        <v>0</v>
      </c>
      <c r="GB170" s="36">
        <v>0</v>
      </c>
      <c r="GC170" s="36">
        <v>0</v>
      </c>
      <c r="GD170" s="36">
        <v>0</v>
      </c>
      <c r="GE170" s="36">
        <v>0</v>
      </c>
      <c r="GF170" s="36">
        <v>0</v>
      </c>
      <c r="GG170" s="42">
        <v>52.758614281240071</v>
      </c>
      <c r="GH170" s="42">
        <v>119.53875913829938</v>
      </c>
      <c r="GI170" s="42">
        <v>156.23132050244317</v>
      </c>
      <c r="GJ170" s="42">
        <v>194.42402773663116</v>
      </c>
      <c r="GK170" s="42">
        <v>213.64562857396098</v>
      </c>
      <c r="GL170" s="42">
        <v>310.79605924283334</v>
      </c>
      <c r="GM170" s="42">
        <v>542.24168266989409</v>
      </c>
      <c r="GN170" s="42">
        <v>876.06456282361353</v>
      </c>
      <c r="GO170" s="42">
        <v>1873.410435861583</v>
      </c>
      <c r="GP170" s="42">
        <v>680.6775515261096</v>
      </c>
      <c r="GQ170" s="42">
        <v>612.27459255664587</v>
      </c>
      <c r="GR170" s="42">
        <v>1000.6670260468057</v>
      </c>
      <c r="GS170" s="42">
        <v>1188.7431307889715</v>
      </c>
      <c r="GT170" s="42">
        <v>1438.8863863111139</v>
      </c>
      <c r="GU170" s="36">
        <v>0</v>
      </c>
      <c r="GV170" s="36">
        <v>0</v>
      </c>
      <c r="GW170" s="36">
        <v>0</v>
      </c>
      <c r="GX170" s="36">
        <v>0</v>
      </c>
      <c r="GY170" s="36">
        <v>0</v>
      </c>
      <c r="GZ170" s="36">
        <v>0</v>
      </c>
      <c r="HA170" s="38">
        <v>1.3169483281672001E-9</v>
      </c>
      <c r="HB170" s="36">
        <v>23.207739294693667</v>
      </c>
      <c r="HC170" s="36">
        <f t="shared" si="2"/>
        <v>28348.467125595605</v>
      </c>
      <c r="HD170" s="36">
        <f>SUM(FK$5:FK$213)</f>
        <v>28348.467125595605</v>
      </c>
      <c r="HE170" s="41">
        <v>0</v>
      </c>
      <c r="HG170" s="43"/>
      <c r="HH170" s="43"/>
      <c r="HI170" s="43"/>
      <c r="HJ170" s="43"/>
      <c r="HK170" s="43"/>
      <c r="HL170" s="43"/>
      <c r="HM170" s="43"/>
      <c r="HN170" s="43"/>
      <c r="HO170" s="43"/>
      <c r="HP170" s="43"/>
      <c r="HQ170" s="43"/>
      <c r="HR170" s="43"/>
      <c r="HS170" s="43"/>
      <c r="HT170" s="43"/>
    </row>
    <row r="171" spans="1:228" collapsed="1" x14ac:dyDescent="0.2">
      <c r="A171" s="9" t="s">
        <v>1503</v>
      </c>
      <c r="B171" s="36">
        <v>0</v>
      </c>
      <c r="C171" s="36">
        <v>6.4248107197099955</v>
      </c>
      <c r="D171" s="36">
        <v>6.2809626663052409</v>
      </c>
      <c r="E171" s="36">
        <v>109.1651204364515</v>
      </c>
      <c r="F171" s="36">
        <v>19.173526416078317</v>
      </c>
      <c r="G171" s="36">
        <v>63.631514465447559</v>
      </c>
      <c r="H171" s="36">
        <v>95.816920647934012</v>
      </c>
      <c r="I171" s="36">
        <v>104.85045413437309</v>
      </c>
      <c r="J171" s="36">
        <v>45.784223784270758</v>
      </c>
      <c r="K171" s="36">
        <v>24.130834394191528</v>
      </c>
      <c r="L171" s="36">
        <v>40.579971834676655</v>
      </c>
      <c r="M171" s="36">
        <v>7.2380942538921333</v>
      </c>
      <c r="N171" s="36">
        <v>4.6473999056803743</v>
      </c>
      <c r="O171" s="36">
        <v>53.706324254657694</v>
      </c>
      <c r="P171" s="36">
        <v>49.748937258992854</v>
      </c>
      <c r="Q171" s="36">
        <v>105.4779789601255</v>
      </c>
      <c r="R171" s="36">
        <v>21.422675228290672</v>
      </c>
      <c r="S171" s="36">
        <v>36.301046467435185</v>
      </c>
      <c r="T171" s="36">
        <v>103.92008245463396</v>
      </c>
      <c r="U171" s="36">
        <v>15.814998008516685</v>
      </c>
      <c r="V171" s="36">
        <v>44.099671106257951</v>
      </c>
      <c r="W171" s="36">
        <v>11.297036777280441</v>
      </c>
      <c r="X171" s="36">
        <v>51.991441917060015</v>
      </c>
      <c r="Y171" s="36">
        <v>28.53361119547823</v>
      </c>
      <c r="Z171" s="36">
        <v>181.33788236961897</v>
      </c>
      <c r="AA171" s="36">
        <v>183.76261192980121</v>
      </c>
      <c r="AB171" s="36">
        <v>87.351228334039874</v>
      </c>
      <c r="AC171" s="36">
        <v>32.805145709366641</v>
      </c>
      <c r="AD171" s="36">
        <v>28.890977966158701</v>
      </c>
      <c r="AE171" s="36">
        <v>40.752354698307364</v>
      </c>
      <c r="AF171" s="36">
        <v>69.847042348648543</v>
      </c>
      <c r="AG171" s="36">
        <v>37.29804525785076</v>
      </c>
      <c r="AH171" s="36">
        <v>34.955747780859355</v>
      </c>
      <c r="AI171" s="36">
        <v>751.04199781517627</v>
      </c>
      <c r="AJ171" s="36">
        <v>18.292770517552427</v>
      </c>
      <c r="AK171" s="36">
        <v>927.91934888590379</v>
      </c>
      <c r="AL171" s="36">
        <v>1861.3249331777788</v>
      </c>
      <c r="AM171" s="36">
        <v>1158.0073448874728</v>
      </c>
      <c r="AN171" s="36">
        <v>746.41629846155467</v>
      </c>
      <c r="AO171" s="36">
        <v>809.97838643623277</v>
      </c>
      <c r="AP171" s="36">
        <v>174.91866370103187</v>
      </c>
      <c r="AQ171" s="36">
        <v>28.590555717805977</v>
      </c>
      <c r="AR171" s="36">
        <v>21.48407553280995</v>
      </c>
      <c r="AS171" s="36">
        <v>812.11385637282456</v>
      </c>
      <c r="AT171" s="36">
        <v>138.74784761755467</v>
      </c>
      <c r="AU171" s="36">
        <v>0</v>
      </c>
      <c r="AV171" s="36">
        <v>0</v>
      </c>
      <c r="AW171" s="36">
        <v>0</v>
      </c>
      <c r="AX171" s="36">
        <v>186.86453272429063</v>
      </c>
      <c r="AY171" s="36">
        <v>213.93159371262306</v>
      </c>
      <c r="AZ171" s="36">
        <v>390.79503747407728</v>
      </c>
      <c r="BA171" s="36">
        <v>32.033365455065372</v>
      </c>
      <c r="BB171" s="36">
        <v>3440.5525012269836</v>
      </c>
      <c r="BC171" s="36">
        <v>3332.0362784055314</v>
      </c>
      <c r="BD171" s="36">
        <v>988.16628657576382</v>
      </c>
      <c r="BE171" s="36">
        <v>762.65878146054672</v>
      </c>
      <c r="BF171" s="36">
        <v>44.226910191794801</v>
      </c>
      <c r="BG171" s="36">
        <v>37.801733111406094</v>
      </c>
      <c r="BH171" s="36">
        <v>148.5039885566494</v>
      </c>
      <c r="BI171" s="36">
        <v>31.473196412994099</v>
      </c>
      <c r="BJ171" s="36">
        <v>469.9479296027373</v>
      </c>
      <c r="BK171" s="36">
        <v>0</v>
      </c>
      <c r="BL171" s="36">
        <v>0</v>
      </c>
      <c r="BM171" s="36">
        <v>0</v>
      </c>
      <c r="BN171" s="36">
        <v>0</v>
      </c>
      <c r="BO171" s="36">
        <v>0</v>
      </c>
      <c r="BP171" s="36">
        <v>0</v>
      </c>
      <c r="BQ171" s="36">
        <v>0</v>
      </c>
      <c r="BR171" s="36">
        <v>0</v>
      </c>
      <c r="BS171" s="36">
        <v>0</v>
      </c>
      <c r="BT171" s="36">
        <v>0</v>
      </c>
      <c r="BU171" s="36">
        <v>0</v>
      </c>
      <c r="BV171" s="36">
        <v>0</v>
      </c>
      <c r="BW171" s="36">
        <v>0</v>
      </c>
      <c r="BX171" s="36">
        <v>0</v>
      </c>
      <c r="BY171" s="36">
        <v>0</v>
      </c>
      <c r="BZ171" s="36">
        <v>0</v>
      </c>
      <c r="CA171" s="36">
        <v>0</v>
      </c>
      <c r="CB171" s="36">
        <v>0</v>
      </c>
      <c r="CC171" s="36">
        <v>0</v>
      </c>
      <c r="CD171" s="36">
        <v>0</v>
      </c>
      <c r="CE171" s="36">
        <v>0</v>
      </c>
      <c r="CF171" s="36">
        <v>0</v>
      </c>
      <c r="CG171" s="36">
        <v>0</v>
      </c>
      <c r="CH171" s="36">
        <v>0</v>
      </c>
      <c r="CI171" s="36">
        <v>0</v>
      </c>
      <c r="CJ171" s="36">
        <v>0</v>
      </c>
      <c r="CK171" s="36">
        <v>0</v>
      </c>
      <c r="CL171" s="36">
        <v>0</v>
      </c>
      <c r="CM171" s="36">
        <v>0</v>
      </c>
      <c r="CN171" s="36">
        <v>0</v>
      </c>
      <c r="CO171" s="36">
        <v>0</v>
      </c>
      <c r="CP171" s="36">
        <v>0</v>
      </c>
      <c r="CQ171" s="36">
        <v>0</v>
      </c>
      <c r="CR171" s="36">
        <v>0</v>
      </c>
      <c r="CS171" s="36">
        <v>0</v>
      </c>
      <c r="CT171" s="36">
        <v>0</v>
      </c>
      <c r="CU171" s="36">
        <v>0</v>
      </c>
      <c r="CV171" s="36">
        <v>0</v>
      </c>
      <c r="CW171" s="36">
        <v>0</v>
      </c>
      <c r="CX171" s="36">
        <v>0</v>
      </c>
      <c r="CY171" s="36">
        <v>0</v>
      </c>
      <c r="CZ171" s="36">
        <v>0</v>
      </c>
      <c r="DA171" s="36">
        <v>0</v>
      </c>
      <c r="DB171" s="36">
        <v>0</v>
      </c>
      <c r="DC171" s="36">
        <v>0</v>
      </c>
      <c r="DD171" s="36">
        <v>0</v>
      </c>
      <c r="DE171" s="36">
        <v>0</v>
      </c>
      <c r="DF171" s="36">
        <v>0</v>
      </c>
      <c r="DG171" s="36">
        <v>0</v>
      </c>
      <c r="DH171" s="36">
        <v>0</v>
      </c>
      <c r="DI171" s="36">
        <v>0</v>
      </c>
      <c r="DJ171" s="36">
        <v>0</v>
      </c>
      <c r="DK171" s="36">
        <v>0</v>
      </c>
      <c r="DL171" s="36">
        <v>0</v>
      </c>
      <c r="DM171" s="36">
        <v>0</v>
      </c>
      <c r="DN171" s="36">
        <v>0</v>
      </c>
      <c r="DO171" s="36">
        <v>0</v>
      </c>
      <c r="DP171" s="36">
        <v>0</v>
      </c>
      <c r="DQ171" s="36">
        <v>0</v>
      </c>
      <c r="DR171" s="36">
        <v>0</v>
      </c>
      <c r="DS171" s="36">
        <v>0</v>
      </c>
      <c r="DT171" s="36">
        <v>0</v>
      </c>
      <c r="DU171" s="36">
        <v>0</v>
      </c>
      <c r="DV171" s="36">
        <v>0</v>
      </c>
      <c r="DW171" s="36">
        <v>0</v>
      </c>
      <c r="DX171" s="36">
        <v>0</v>
      </c>
      <c r="DY171" s="36">
        <v>0</v>
      </c>
      <c r="DZ171" s="36">
        <v>0</v>
      </c>
      <c r="EA171" s="36">
        <v>0</v>
      </c>
      <c r="EB171" s="36">
        <v>0</v>
      </c>
      <c r="EC171" s="36">
        <v>0</v>
      </c>
      <c r="ED171" s="36">
        <v>0</v>
      </c>
      <c r="EE171" s="36">
        <v>0</v>
      </c>
      <c r="EF171" s="36">
        <v>0</v>
      </c>
      <c r="EG171" s="36">
        <v>0</v>
      </c>
      <c r="EH171" s="36">
        <v>0</v>
      </c>
      <c r="EI171" s="36">
        <v>0</v>
      </c>
      <c r="EJ171" s="36">
        <v>0</v>
      </c>
      <c r="EK171" s="36">
        <v>0</v>
      </c>
      <c r="EL171" s="36">
        <v>0</v>
      </c>
      <c r="EM171" s="36">
        <v>0</v>
      </c>
      <c r="EN171" s="36">
        <v>0</v>
      </c>
      <c r="EO171" s="36">
        <v>0</v>
      </c>
      <c r="EP171" s="36">
        <v>0</v>
      </c>
      <c r="EQ171" s="36">
        <v>0</v>
      </c>
      <c r="ER171" s="36">
        <v>0</v>
      </c>
      <c r="ES171" s="36">
        <v>0</v>
      </c>
      <c r="ET171" s="36">
        <v>0</v>
      </c>
      <c r="EU171" s="36">
        <v>0</v>
      </c>
      <c r="EV171" s="36">
        <v>0</v>
      </c>
      <c r="EW171" s="36">
        <v>0</v>
      </c>
      <c r="EX171" s="36">
        <v>0</v>
      </c>
      <c r="EY171" s="36">
        <v>0</v>
      </c>
      <c r="EZ171" s="36">
        <v>0</v>
      </c>
      <c r="FA171" s="36">
        <v>0</v>
      </c>
      <c r="FB171" s="36">
        <v>0</v>
      </c>
      <c r="FC171" s="36">
        <v>0</v>
      </c>
      <c r="FD171" s="36">
        <v>0</v>
      </c>
      <c r="FE171" s="36">
        <v>0</v>
      </c>
      <c r="FF171" s="36">
        <v>0</v>
      </c>
      <c r="FG171" s="36">
        <v>0</v>
      </c>
      <c r="FH171" s="36">
        <v>0</v>
      </c>
      <c r="FI171" s="36">
        <v>0</v>
      </c>
      <c r="FJ171" s="36">
        <v>0</v>
      </c>
      <c r="FK171" s="36">
        <v>0</v>
      </c>
      <c r="FL171" s="36">
        <v>0</v>
      </c>
      <c r="FM171" s="36">
        <v>0</v>
      </c>
      <c r="FN171" s="36">
        <v>0</v>
      </c>
      <c r="FO171" s="36">
        <v>0</v>
      </c>
      <c r="FP171" s="36">
        <v>0</v>
      </c>
      <c r="FQ171" s="36">
        <v>0</v>
      </c>
      <c r="FR171" s="36">
        <v>0</v>
      </c>
      <c r="FS171" s="36">
        <v>0</v>
      </c>
      <c r="FT171" s="36">
        <v>0</v>
      </c>
      <c r="FU171" s="36">
        <v>0</v>
      </c>
      <c r="FV171" s="36">
        <v>0</v>
      </c>
      <c r="FW171" s="36">
        <v>0</v>
      </c>
      <c r="FX171" s="36">
        <v>0</v>
      </c>
      <c r="FY171" s="36">
        <v>0</v>
      </c>
      <c r="FZ171" s="36">
        <v>0</v>
      </c>
      <c r="GA171" s="36">
        <v>0</v>
      </c>
      <c r="GB171" s="36">
        <v>0</v>
      </c>
      <c r="GC171" s="36">
        <v>0</v>
      </c>
      <c r="GD171" s="36">
        <v>0</v>
      </c>
      <c r="GE171" s="36">
        <v>0</v>
      </c>
      <c r="GF171" s="36">
        <v>0</v>
      </c>
      <c r="GG171" s="42">
        <v>743.88143488581943</v>
      </c>
      <c r="GH171" s="42">
        <v>1685.4624573391736</v>
      </c>
      <c r="GI171" s="42">
        <v>2202.8171219574369</v>
      </c>
      <c r="GJ171" s="42">
        <v>2741.3234160782836</v>
      </c>
      <c r="GK171" s="42">
        <v>3012.342513271662</v>
      </c>
      <c r="GL171" s="42">
        <v>4382.135915738515</v>
      </c>
      <c r="GM171" s="42">
        <v>7645.4532867215612</v>
      </c>
      <c r="GN171" s="42">
        <v>12352.260818904322</v>
      </c>
      <c r="GO171" s="42">
        <v>26414.553569014377</v>
      </c>
      <c r="GP171" s="42">
        <v>9597.3596088905324</v>
      </c>
      <c r="GQ171" s="42">
        <v>8632.8973696551529</v>
      </c>
      <c r="GR171" s="42">
        <v>14109.120061618252</v>
      </c>
      <c r="GS171" s="42">
        <v>16760.939571462462</v>
      </c>
      <c r="GT171" s="42">
        <v>20287.888229607699</v>
      </c>
      <c r="GU171" s="36">
        <v>0</v>
      </c>
      <c r="GV171" s="36">
        <v>0</v>
      </c>
      <c r="GW171" s="36">
        <v>0</v>
      </c>
      <c r="GX171" s="36">
        <v>0</v>
      </c>
      <c r="GY171" s="36">
        <v>0</v>
      </c>
      <c r="GZ171" s="36">
        <v>0</v>
      </c>
      <c r="HA171" s="38">
        <v>1.9499566406011581E-8</v>
      </c>
      <c r="HB171" s="36">
        <v>16389.049941962563</v>
      </c>
      <c r="HC171" s="36">
        <f t="shared" si="2"/>
        <v>166232.35220484386</v>
      </c>
      <c r="HD171" s="36">
        <f>SUM(FL$5:FL$213)</f>
        <v>166232.35220484386</v>
      </c>
      <c r="HE171" s="41">
        <v>0</v>
      </c>
      <c r="HG171" s="43"/>
      <c r="HH171" s="43"/>
      <c r="HI171" s="43"/>
      <c r="HJ171" s="43"/>
      <c r="HK171" s="43"/>
      <c r="HL171" s="43"/>
      <c r="HM171" s="43"/>
      <c r="HN171" s="43"/>
      <c r="HO171" s="43"/>
      <c r="HP171" s="43"/>
      <c r="HQ171" s="43"/>
      <c r="HR171" s="43"/>
      <c r="HS171" s="43"/>
      <c r="HT171" s="43"/>
    </row>
    <row r="172" spans="1:228" x14ac:dyDescent="0.2">
      <c r="A172" s="9" t="s">
        <v>1504</v>
      </c>
      <c r="B172" s="36">
        <v>0</v>
      </c>
      <c r="C172" s="36">
        <v>0</v>
      </c>
      <c r="D172" s="36">
        <v>0</v>
      </c>
      <c r="E172" s="36">
        <v>0</v>
      </c>
      <c r="F172" s="36">
        <v>0</v>
      </c>
      <c r="G172" s="36">
        <v>0</v>
      </c>
      <c r="H172" s="36">
        <v>0</v>
      </c>
      <c r="I172" s="36">
        <v>0</v>
      </c>
      <c r="J172" s="36">
        <v>0</v>
      </c>
      <c r="K172" s="36">
        <v>0</v>
      </c>
      <c r="L172" s="36">
        <v>0</v>
      </c>
      <c r="M172" s="36">
        <v>0</v>
      </c>
      <c r="N172" s="36">
        <v>0</v>
      </c>
      <c r="O172" s="36">
        <v>0</v>
      </c>
      <c r="P172" s="36">
        <v>0</v>
      </c>
      <c r="Q172" s="36">
        <v>0</v>
      </c>
      <c r="R172" s="36">
        <v>0</v>
      </c>
      <c r="S172" s="36">
        <v>0</v>
      </c>
      <c r="T172" s="36">
        <v>0</v>
      </c>
      <c r="U172" s="36">
        <v>0</v>
      </c>
      <c r="V172" s="36">
        <v>0</v>
      </c>
      <c r="W172" s="36">
        <v>0</v>
      </c>
      <c r="X172" s="36">
        <v>0</v>
      </c>
      <c r="Y172" s="36">
        <v>0</v>
      </c>
      <c r="Z172" s="36">
        <v>0</v>
      </c>
      <c r="AA172" s="36">
        <v>0</v>
      </c>
      <c r="AB172" s="36">
        <v>0</v>
      </c>
      <c r="AC172" s="36">
        <v>0</v>
      </c>
      <c r="AD172" s="36">
        <v>0</v>
      </c>
      <c r="AE172" s="36">
        <v>0</v>
      </c>
      <c r="AF172" s="36">
        <v>0</v>
      </c>
      <c r="AG172" s="36">
        <v>0</v>
      </c>
      <c r="AH172" s="36">
        <v>0</v>
      </c>
      <c r="AI172" s="36">
        <v>325.49702454379451</v>
      </c>
      <c r="AJ172" s="36">
        <v>435.85857267927554</v>
      </c>
      <c r="AK172" s="36">
        <v>0</v>
      </c>
      <c r="AL172" s="36">
        <v>0</v>
      </c>
      <c r="AM172" s="36">
        <v>0</v>
      </c>
      <c r="AN172" s="36">
        <v>0</v>
      </c>
      <c r="AO172" s="36">
        <v>0</v>
      </c>
      <c r="AP172" s="36">
        <v>0</v>
      </c>
      <c r="AQ172" s="36">
        <v>0</v>
      </c>
      <c r="AR172" s="36">
        <v>0</v>
      </c>
      <c r="AS172" s="36">
        <v>0</v>
      </c>
      <c r="AT172" s="36">
        <v>0</v>
      </c>
      <c r="AU172" s="36">
        <v>0</v>
      </c>
      <c r="AV172" s="36">
        <v>0</v>
      </c>
      <c r="AW172" s="36">
        <v>0</v>
      </c>
      <c r="AX172" s="36">
        <v>0</v>
      </c>
      <c r="AY172" s="36">
        <v>0</v>
      </c>
      <c r="AZ172" s="36">
        <v>0</v>
      </c>
      <c r="BA172" s="36">
        <v>0</v>
      </c>
      <c r="BB172" s="36">
        <v>0</v>
      </c>
      <c r="BC172" s="36">
        <v>1265.7519959679896</v>
      </c>
      <c r="BD172" s="36">
        <v>52.185663828918919</v>
      </c>
      <c r="BE172" s="36">
        <v>253.74228057139129</v>
      </c>
      <c r="BF172" s="36">
        <v>0</v>
      </c>
      <c r="BG172" s="36">
        <v>0</v>
      </c>
      <c r="BH172" s="36">
        <v>14.516900576703948</v>
      </c>
      <c r="BI172" s="36">
        <v>421.9038822496077</v>
      </c>
      <c r="BJ172" s="36">
        <v>2109.893692532265</v>
      </c>
      <c r="BK172" s="36">
        <v>0</v>
      </c>
      <c r="BL172" s="36">
        <v>0</v>
      </c>
      <c r="BM172" s="36">
        <v>0</v>
      </c>
      <c r="BN172" s="36">
        <v>0</v>
      </c>
      <c r="BO172" s="36">
        <v>0</v>
      </c>
      <c r="BP172" s="36">
        <v>0</v>
      </c>
      <c r="BQ172" s="36">
        <v>0</v>
      </c>
      <c r="BR172" s="36">
        <v>0</v>
      </c>
      <c r="BS172" s="36">
        <v>0</v>
      </c>
      <c r="BT172" s="36">
        <v>0</v>
      </c>
      <c r="BU172" s="36">
        <v>0</v>
      </c>
      <c r="BV172" s="36">
        <v>0</v>
      </c>
      <c r="BW172" s="36">
        <v>0</v>
      </c>
      <c r="BX172" s="36">
        <v>0</v>
      </c>
      <c r="BY172" s="36">
        <v>0</v>
      </c>
      <c r="BZ172" s="36">
        <v>0</v>
      </c>
      <c r="CA172" s="36">
        <v>0</v>
      </c>
      <c r="CB172" s="36">
        <v>0</v>
      </c>
      <c r="CC172" s="36">
        <v>0</v>
      </c>
      <c r="CD172" s="36">
        <v>0</v>
      </c>
      <c r="CE172" s="36">
        <v>0</v>
      </c>
      <c r="CF172" s="36">
        <v>0</v>
      </c>
      <c r="CG172" s="36">
        <v>0</v>
      </c>
      <c r="CH172" s="36">
        <v>0</v>
      </c>
      <c r="CI172" s="36">
        <v>0</v>
      </c>
      <c r="CJ172" s="36">
        <v>0</v>
      </c>
      <c r="CK172" s="36">
        <v>0</v>
      </c>
      <c r="CL172" s="36">
        <v>0</v>
      </c>
      <c r="CM172" s="36">
        <v>0</v>
      </c>
      <c r="CN172" s="36">
        <v>0</v>
      </c>
      <c r="CO172" s="36">
        <v>0</v>
      </c>
      <c r="CP172" s="36">
        <v>0</v>
      </c>
      <c r="CQ172" s="36">
        <v>0</v>
      </c>
      <c r="CR172" s="36">
        <v>0</v>
      </c>
      <c r="CS172" s="36">
        <v>0</v>
      </c>
      <c r="CT172" s="36">
        <v>0</v>
      </c>
      <c r="CU172" s="36">
        <v>0</v>
      </c>
      <c r="CV172" s="36">
        <v>0</v>
      </c>
      <c r="CW172" s="36">
        <v>0</v>
      </c>
      <c r="CX172" s="36">
        <v>0</v>
      </c>
      <c r="CY172" s="36">
        <v>0</v>
      </c>
      <c r="CZ172" s="36">
        <v>0</v>
      </c>
      <c r="DA172" s="36">
        <v>0</v>
      </c>
      <c r="DB172" s="36">
        <v>0</v>
      </c>
      <c r="DC172" s="36">
        <v>0</v>
      </c>
      <c r="DD172" s="36">
        <v>0</v>
      </c>
      <c r="DE172" s="36">
        <v>0</v>
      </c>
      <c r="DF172" s="36">
        <v>0</v>
      </c>
      <c r="DG172" s="36">
        <v>0</v>
      </c>
      <c r="DH172" s="36">
        <v>0</v>
      </c>
      <c r="DI172" s="36">
        <v>0</v>
      </c>
      <c r="DJ172" s="36">
        <v>0</v>
      </c>
      <c r="DK172" s="36">
        <v>0</v>
      </c>
      <c r="DL172" s="36">
        <v>0</v>
      </c>
      <c r="DM172" s="36">
        <v>0</v>
      </c>
      <c r="DN172" s="36">
        <v>0</v>
      </c>
      <c r="DO172" s="36">
        <v>0</v>
      </c>
      <c r="DP172" s="36">
        <v>0</v>
      </c>
      <c r="DQ172" s="36">
        <v>0</v>
      </c>
      <c r="DR172" s="36">
        <v>0</v>
      </c>
      <c r="DS172" s="36">
        <v>0</v>
      </c>
      <c r="DT172" s="36">
        <v>0</v>
      </c>
      <c r="DU172" s="36">
        <v>0</v>
      </c>
      <c r="DV172" s="36">
        <v>0</v>
      </c>
      <c r="DW172" s="36">
        <v>0</v>
      </c>
      <c r="DX172" s="36">
        <v>0</v>
      </c>
      <c r="DY172" s="36">
        <v>0</v>
      </c>
      <c r="DZ172" s="36">
        <v>0</v>
      </c>
      <c r="EA172" s="36">
        <v>0</v>
      </c>
      <c r="EB172" s="36">
        <v>0</v>
      </c>
      <c r="EC172" s="36">
        <v>0</v>
      </c>
      <c r="ED172" s="36">
        <v>0</v>
      </c>
      <c r="EE172" s="36">
        <v>0</v>
      </c>
      <c r="EF172" s="36">
        <v>0</v>
      </c>
      <c r="EG172" s="36">
        <v>0</v>
      </c>
      <c r="EH172" s="36">
        <v>0</v>
      </c>
      <c r="EI172" s="36">
        <v>0</v>
      </c>
      <c r="EJ172" s="36">
        <v>0</v>
      </c>
      <c r="EK172" s="36">
        <v>0</v>
      </c>
      <c r="EL172" s="36">
        <v>0</v>
      </c>
      <c r="EM172" s="36">
        <v>0</v>
      </c>
      <c r="EN172" s="36">
        <v>0</v>
      </c>
      <c r="EO172" s="36">
        <v>0</v>
      </c>
      <c r="EP172" s="36">
        <v>0</v>
      </c>
      <c r="EQ172" s="36">
        <v>0</v>
      </c>
      <c r="ER172" s="36">
        <v>0</v>
      </c>
      <c r="ES172" s="36">
        <v>0</v>
      </c>
      <c r="ET172" s="36">
        <v>0</v>
      </c>
      <c r="EU172" s="36">
        <v>0</v>
      </c>
      <c r="EV172" s="36">
        <v>0</v>
      </c>
      <c r="EW172" s="36">
        <v>0</v>
      </c>
      <c r="EX172" s="36">
        <v>0</v>
      </c>
      <c r="EY172" s="36">
        <v>0</v>
      </c>
      <c r="EZ172" s="36">
        <v>0</v>
      </c>
      <c r="FA172" s="36">
        <v>0</v>
      </c>
      <c r="FB172" s="36">
        <v>0</v>
      </c>
      <c r="FC172" s="36">
        <v>0</v>
      </c>
      <c r="FD172" s="36">
        <v>0</v>
      </c>
      <c r="FE172" s="36">
        <v>0</v>
      </c>
      <c r="FF172" s="36">
        <v>0</v>
      </c>
      <c r="FG172" s="36">
        <v>0</v>
      </c>
      <c r="FH172" s="36">
        <v>0</v>
      </c>
      <c r="FI172" s="36">
        <v>0</v>
      </c>
      <c r="FJ172" s="36">
        <v>0</v>
      </c>
      <c r="FK172" s="36">
        <v>0</v>
      </c>
      <c r="FL172" s="36">
        <v>0</v>
      </c>
      <c r="FM172" s="36">
        <v>0</v>
      </c>
      <c r="FN172" s="36">
        <v>0</v>
      </c>
      <c r="FO172" s="36">
        <v>0</v>
      </c>
      <c r="FP172" s="36">
        <v>0</v>
      </c>
      <c r="FQ172" s="36">
        <v>0</v>
      </c>
      <c r="FR172" s="36">
        <v>0</v>
      </c>
      <c r="FS172" s="36">
        <v>0</v>
      </c>
      <c r="FT172" s="36">
        <v>0</v>
      </c>
      <c r="FU172" s="36">
        <v>0</v>
      </c>
      <c r="FV172" s="36">
        <v>0</v>
      </c>
      <c r="FW172" s="36">
        <v>0</v>
      </c>
      <c r="FX172" s="36">
        <v>0</v>
      </c>
      <c r="FY172" s="36">
        <v>0</v>
      </c>
      <c r="FZ172" s="36">
        <v>0</v>
      </c>
      <c r="GA172" s="36">
        <v>0</v>
      </c>
      <c r="GB172" s="36">
        <v>0</v>
      </c>
      <c r="GC172" s="36">
        <v>0</v>
      </c>
      <c r="GD172" s="36">
        <v>0</v>
      </c>
      <c r="GE172" s="36">
        <v>0</v>
      </c>
      <c r="GF172" s="36">
        <v>0</v>
      </c>
      <c r="GG172" s="42">
        <v>520.15424972578296</v>
      </c>
      <c r="GH172" s="42">
        <v>1178.5486487813741</v>
      </c>
      <c r="GI172" s="42">
        <v>1540.3055293761324</v>
      </c>
      <c r="GJ172" s="42">
        <v>1916.8525491764519</v>
      </c>
      <c r="GK172" s="42">
        <v>2106.3608882084905</v>
      </c>
      <c r="GL172" s="42">
        <v>3064.1800057790711</v>
      </c>
      <c r="GM172" s="42">
        <v>5346.0334290754126</v>
      </c>
      <c r="GN172" s="42">
        <v>8637.2379486262726</v>
      </c>
      <c r="GO172" s="42">
        <v>18470.20459065646</v>
      </c>
      <c r="GP172" s="42">
        <v>6710.8912154491964</v>
      </c>
      <c r="GQ172" s="42">
        <v>6036.4972745447158</v>
      </c>
      <c r="GR172" s="42">
        <v>9865.7103346966942</v>
      </c>
      <c r="GS172" s="42">
        <v>11719.977860223704</v>
      </c>
      <c r="GT172" s="42">
        <v>14186.173744491851</v>
      </c>
      <c r="GU172" s="36">
        <v>0</v>
      </c>
      <c r="GV172" s="36">
        <v>0</v>
      </c>
      <c r="GW172" s="36">
        <v>0</v>
      </c>
      <c r="GX172" s="36">
        <v>0</v>
      </c>
      <c r="GY172" s="36">
        <v>0</v>
      </c>
      <c r="GZ172" s="36">
        <v>0</v>
      </c>
      <c r="HA172" s="38">
        <v>6.2573235481977463E-9</v>
      </c>
      <c r="HB172" s="36">
        <v>753.23581436009101</v>
      </c>
      <c r="HC172" s="36">
        <f t="shared" si="2"/>
        <v>96931.714096127907</v>
      </c>
      <c r="HD172" s="36">
        <f>SUM(FM$5:FM$213)</f>
        <v>96931.714096127907</v>
      </c>
      <c r="HE172" s="41">
        <v>0</v>
      </c>
      <c r="HG172" s="43"/>
      <c r="HH172" s="43"/>
      <c r="HI172" s="43"/>
      <c r="HJ172" s="43"/>
      <c r="HK172" s="43"/>
      <c r="HL172" s="43"/>
      <c r="HM172" s="43"/>
      <c r="HN172" s="43"/>
      <c r="HO172" s="43"/>
      <c r="HP172" s="43"/>
      <c r="HQ172" s="43"/>
      <c r="HR172" s="43"/>
      <c r="HS172" s="43"/>
      <c r="HT172" s="43"/>
    </row>
    <row r="173" spans="1:228" x14ac:dyDescent="0.2">
      <c r="A173" s="9" t="s">
        <v>1505</v>
      </c>
      <c r="B173" s="36">
        <v>0</v>
      </c>
      <c r="C173" s="36">
        <v>0</v>
      </c>
      <c r="D173" s="36">
        <v>0</v>
      </c>
      <c r="E173" s="36">
        <v>0</v>
      </c>
      <c r="F173" s="36">
        <v>0</v>
      </c>
      <c r="G173" s="36">
        <v>0</v>
      </c>
      <c r="H173" s="36">
        <v>0</v>
      </c>
      <c r="I173" s="36">
        <v>0</v>
      </c>
      <c r="J173" s="36">
        <v>0</v>
      </c>
      <c r="K173" s="36">
        <v>0</v>
      </c>
      <c r="L173" s="36">
        <v>0</v>
      </c>
      <c r="M173" s="36">
        <v>0</v>
      </c>
      <c r="N173" s="36">
        <v>0</v>
      </c>
      <c r="O173" s="36">
        <v>0</v>
      </c>
      <c r="P173" s="36">
        <v>0</v>
      </c>
      <c r="Q173" s="36">
        <v>0</v>
      </c>
      <c r="R173" s="36">
        <v>0</v>
      </c>
      <c r="S173" s="36">
        <v>0</v>
      </c>
      <c r="T173" s="36">
        <v>0</v>
      </c>
      <c r="U173" s="36">
        <v>0</v>
      </c>
      <c r="V173" s="36">
        <v>0</v>
      </c>
      <c r="W173" s="36">
        <v>0</v>
      </c>
      <c r="X173" s="36">
        <v>0</v>
      </c>
      <c r="Y173" s="36">
        <v>0</v>
      </c>
      <c r="Z173" s="36">
        <v>0</v>
      </c>
      <c r="AA173" s="36">
        <v>0</v>
      </c>
      <c r="AB173" s="36">
        <v>0</v>
      </c>
      <c r="AC173" s="36">
        <v>0</v>
      </c>
      <c r="AD173" s="36">
        <v>0</v>
      </c>
      <c r="AE173" s="36">
        <v>0</v>
      </c>
      <c r="AF173" s="36">
        <v>0</v>
      </c>
      <c r="AG173" s="36">
        <v>0</v>
      </c>
      <c r="AH173" s="36">
        <v>0</v>
      </c>
      <c r="AI173" s="36">
        <v>0</v>
      </c>
      <c r="AJ173" s="36">
        <v>0</v>
      </c>
      <c r="AK173" s="36">
        <v>0</v>
      </c>
      <c r="AL173" s="36">
        <v>0</v>
      </c>
      <c r="AM173" s="36">
        <v>0</v>
      </c>
      <c r="AN173" s="36">
        <v>0</v>
      </c>
      <c r="AO173" s="36">
        <v>0</v>
      </c>
      <c r="AP173" s="36">
        <v>0</v>
      </c>
      <c r="AQ173" s="36">
        <v>0</v>
      </c>
      <c r="AR173" s="36">
        <v>0</v>
      </c>
      <c r="AS173" s="36">
        <v>0</v>
      </c>
      <c r="AT173" s="36">
        <v>0</v>
      </c>
      <c r="AU173" s="36">
        <v>0</v>
      </c>
      <c r="AV173" s="36">
        <v>0</v>
      </c>
      <c r="AW173" s="36">
        <v>0</v>
      </c>
      <c r="AX173" s="36">
        <v>0</v>
      </c>
      <c r="AY173" s="36">
        <v>0</v>
      </c>
      <c r="AZ173" s="36">
        <v>0</v>
      </c>
      <c r="BA173" s="36">
        <v>0</v>
      </c>
      <c r="BB173" s="36">
        <v>0</v>
      </c>
      <c r="BC173" s="36">
        <v>0</v>
      </c>
      <c r="BD173" s="36">
        <v>0</v>
      </c>
      <c r="BE173" s="36">
        <v>0</v>
      </c>
      <c r="BF173" s="36">
        <v>0</v>
      </c>
      <c r="BG173" s="36">
        <v>0</v>
      </c>
      <c r="BH173" s="36">
        <v>0</v>
      </c>
      <c r="BI173" s="36">
        <v>0</v>
      </c>
      <c r="BJ173" s="36">
        <v>0</v>
      </c>
      <c r="BK173" s="36">
        <v>0</v>
      </c>
      <c r="BL173" s="36">
        <v>0</v>
      </c>
      <c r="BM173" s="36">
        <v>0</v>
      </c>
      <c r="BN173" s="36">
        <v>0</v>
      </c>
      <c r="BO173" s="36">
        <v>0</v>
      </c>
      <c r="BP173" s="36">
        <v>0</v>
      </c>
      <c r="BQ173" s="36">
        <v>0</v>
      </c>
      <c r="BR173" s="36">
        <v>0</v>
      </c>
      <c r="BS173" s="36">
        <v>0</v>
      </c>
      <c r="BT173" s="36">
        <v>0</v>
      </c>
      <c r="BU173" s="36">
        <v>0</v>
      </c>
      <c r="BV173" s="36">
        <v>0</v>
      </c>
      <c r="BW173" s="36">
        <v>0</v>
      </c>
      <c r="BX173" s="36">
        <v>0</v>
      </c>
      <c r="BY173" s="36">
        <v>0</v>
      </c>
      <c r="BZ173" s="36">
        <v>0</v>
      </c>
      <c r="CA173" s="36">
        <v>0</v>
      </c>
      <c r="CB173" s="36">
        <v>0</v>
      </c>
      <c r="CC173" s="36">
        <v>0</v>
      </c>
      <c r="CD173" s="36">
        <v>0</v>
      </c>
      <c r="CE173" s="36">
        <v>0</v>
      </c>
      <c r="CF173" s="36">
        <v>0</v>
      </c>
      <c r="CG173" s="36">
        <v>0</v>
      </c>
      <c r="CH173" s="36">
        <v>0</v>
      </c>
      <c r="CI173" s="36">
        <v>0</v>
      </c>
      <c r="CJ173" s="36">
        <v>0</v>
      </c>
      <c r="CK173" s="36">
        <v>0</v>
      </c>
      <c r="CL173" s="36">
        <v>0</v>
      </c>
      <c r="CM173" s="36">
        <v>0</v>
      </c>
      <c r="CN173" s="36">
        <v>0</v>
      </c>
      <c r="CO173" s="36">
        <v>0</v>
      </c>
      <c r="CP173" s="36">
        <v>0</v>
      </c>
      <c r="CQ173" s="36">
        <v>0</v>
      </c>
      <c r="CR173" s="36">
        <v>0</v>
      </c>
      <c r="CS173" s="36">
        <v>0</v>
      </c>
      <c r="CT173" s="36">
        <v>0</v>
      </c>
      <c r="CU173" s="36">
        <v>0</v>
      </c>
      <c r="CV173" s="36">
        <v>0</v>
      </c>
      <c r="CW173" s="36">
        <v>0</v>
      </c>
      <c r="CX173" s="36">
        <v>0</v>
      </c>
      <c r="CY173" s="36">
        <v>0</v>
      </c>
      <c r="CZ173" s="36">
        <v>0</v>
      </c>
      <c r="DA173" s="36">
        <v>0</v>
      </c>
      <c r="DB173" s="36">
        <v>0</v>
      </c>
      <c r="DC173" s="36">
        <v>0</v>
      </c>
      <c r="DD173" s="36">
        <v>0</v>
      </c>
      <c r="DE173" s="36">
        <v>0</v>
      </c>
      <c r="DF173" s="36">
        <v>0</v>
      </c>
      <c r="DG173" s="36">
        <v>0</v>
      </c>
      <c r="DH173" s="36">
        <v>0</v>
      </c>
      <c r="DI173" s="36">
        <v>0</v>
      </c>
      <c r="DJ173" s="36">
        <v>0</v>
      </c>
      <c r="DK173" s="36">
        <v>0</v>
      </c>
      <c r="DL173" s="36">
        <v>0</v>
      </c>
      <c r="DM173" s="36">
        <v>0</v>
      </c>
      <c r="DN173" s="36">
        <v>0</v>
      </c>
      <c r="DO173" s="36">
        <v>0</v>
      </c>
      <c r="DP173" s="36">
        <v>0</v>
      </c>
      <c r="DQ173" s="36">
        <v>0</v>
      </c>
      <c r="DR173" s="36">
        <v>0</v>
      </c>
      <c r="DS173" s="36">
        <v>0</v>
      </c>
      <c r="DT173" s="36">
        <v>0</v>
      </c>
      <c r="DU173" s="36">
        <v>0</v>
      </c>
      <c r="DV173" s="36">
        <v>0</v>
      </c>
      <c r="DW173" s="36">
        <v>0</v>
      </c>
      <c r="DX173" s="36">
        <v>0</v>
      </c>
      <c r="DY173" s="36">
        <v>0</v>
      </c>
      <c r="DZ173" s="36">
        <v>0</v>
      </c>
      <c r="EA173" s="36">
        <v>0</v>
      </c>
      <c r="EB173" s="36">
        <v>0</v>
      </c>
      <c r="EC173" s="36">
        <v>0</v>
      </c>
      <c r="ED173" s="36">
        <v>0</v>
      </c>
      <c r="EE173" s="36">
        <v>0</v>
      </c>
      <c r="EF173" s="36">
        <v>0</v>
      </c>
      <c r="EG173" s="36">
        <v>0</v>
      </c>
      <c r="EH173" s="36">
        <v>0</v>
      </c>
      <c r="EI173" s="36">
        <v>0</v>
      </c>
      <c r="EJ173" s="36">
        <v>0</v>
      </c>
      <c r="EK173" s="36">
        <v>0</v>
      </c>
      <c r="EL173" s="36">
        <v>0</v>
      </c>
      <c r="EM173" s="36">
        <v>0</v>
      </c>
      <c r="EN173" s="36">
        <v>0</v>
      </c>
      <c r="EO173" s="36">
        <v>0</v>
      </c>
      <c r="EP173" s="36">
        <v>0</v>
      </c>
      <c r="EQ173" s="36">
        <v>0</v>
      </c>
      <c r="ER173" s="36">
        <v>0</v>
      </c>
      <c r="ES173" s="36">
        <v>0</v>
      </c>
      <c r="ET173" s="36">
        <v>0</v>
      </c>
      <c r="EU173" s="36">
        <v>0</v>
      </c>
      <c r="EV173" s="36">
        <v>0</v>
      </c>
      <c r="EW173" s="36">
        <v>0</v>
      </c>
      <c r="EX173" s="36">
        <v>0</v>
      </c>
      <c r="EY173" s="36">
        <v>0</v>
      </c>
      <c r="EZ173" s="36">
        <v>0</v>
      </c>
      <c r="FA173" s="36">
        <v>0</v>
      </c>
      <c r="FB173" s="36">
        <v>0</v>
      </c>
      <c r="FC173" s="36">
        <v>0</v>
      </c>
      <c r="FD173" s="36">
        <v>0</v>
      </c>
      <c r="FE173" s="36">
        <v>0</v>
      </c>
      <c r="FF173" s="36">
        <v>0</v>
      </c>
      <c r="FG173" s="36">
        <v>0</v>
      </c>
      <c r="FH173" s="36">
        <v>0</v>
      </c>
      <c r="FI173" s="36">
        <v>0</v>
      </c>
      <c r="FJ173" s="36">
        <v>0</v>
      </c>
      <c r="FK173" s="36">
        <v>0</v>
      </c>
      <c r="FL173" s="36">
        <v>0</v>
      </c>
      <c r="FM173" s="36">
        <v>0</v>
      </c>
      <c r="FN173" s="36">
        <v>0</v>
      </c>
      <c r="FO173" s="36">
        <v>0</v>
      </c>
      <c r="FP173" s="36">
        <v>0</v>
      </c>
      <c r="FQ173" s="36">
        <v>0</v>
      </c>
      <c r="FR173" s="36">
        <v>0</v>
      </c>
      <c r="FS173" s="36">
        <v>0</v>
      </c>
      <c r="FT173" s="36">
        <v>0</v>
      </c>
      <c r="FU173" s="36">
        <v>0</v>
      </c>
      <c r="FV173" s="36">
        <v>0</v>
      </c>
      <c r="FW173" s="36">
        <v>0</v>
      </c>
      <c r="FX173" s="36">
        <v>0</v>
      </c>
      <c r="FY173" s="36">
        <v>0</v>
      </c>
      <c r="FZ173" s="36">
        <v>0</v>
      </c>
      <c r="GA173" s="36">
        <v>0</v>
      </c>
      <c r="GB173" s="36">
        <v>0</v>
      </c>
      <c r="GC173" s="36">
        <v>0</v>
      </c>
      <c r="GD173" s="36">
        <v>0</v>
      </c>
      <c r="GE173" s="36">
        <v>0</v>
      </c>
      <c r="GF173" s="36">
        <v>0</v>
      </c>
      <c r="GG173" s="42">
        <v>355.63357710103656</v>
      </c>
      <c r="GH173" s="42">
        <v>805.7830383480914</v>
      </c>
      <c r="GI173" s="42">
        <v>1053.1190805983474</v>
      </c>
      <c r="GJ173" s="42">
        <v>1310.5672580743924</v>
      </c>
      <c r="GK173" s="42">
        <v>1440.1356092624671</v>
      </c>
      <c r="GL173" s="42">
        <v>2095.0041202415855</v>
      </c>
      <c r="GM173" s="42">
        <v>3655.125364612722</v>
      </c>
      <c r="GN173" s="42">
        <v>5905.347941619485</v>
      </c>
      <c r="GO173" s="42">
        <v>12628.22505406044</v>
      </c>
      <c r="GP173" s="42">
        <v>4588.289434805748</v>
      </c>
      <c r="GQ173" s="42">
        <v>4127.2009601743021</v>
      </c>
      <c r="GR173" s="42">
        <v>6745.2642342545814</v>
      </c>
      <c r="GS173" s="42">
        <v>8013.0416163544187</v>
      </c>
      <c r="GT173" s="42">
        <v>9699.1992602004666</v>
      </c>
      <c r="GU173" s="36">
        <v>0</v>
      </c>
      <c r="GV173" s="36">
        <v>0</v>
      </c>
      <c r="GW173" s="36">
        <v>0</v>
      </c>
      <c r="GX173" s="36">
        <v>0</v>
      </c>
      <c r="GY173" s="36">
        <v>0</v>
      </c>
      <c r="GZ173" s="36">
        <v>0</v>
      </c>
      <c r="HA173" s="38">
        <v>0</v>
      </c>
      <c r="HB173" s="36">
        <v>0</v>
      </c>
      <c r="HC173" s="36">
        <f t="shared" si="2"/>
        <v>62421.936549708087</v>
      </c>
      <c r="HD173" s="36">
        <f>SUM(FN$5:FN$213)</f>
        <v>62421.93654970808</v>
      </c>
      <c r="HE173" s="41">
        <v>0</v>
      </c>
      <c r="HG173" s="43"/>
      <c r="HH173" s="43"/>
      <c r="HI173" s="43"/>
      <c r="HJ173" s="43"/>
      <c r="HK173" s="43"/>
      <c r="HL173" s="43"/>
      <c r="HM173" s="43"/>
      <c r="HN173" s="43"/>
      <c r="HO173" s="43"/>
      <c r="HP173" s="43"/>
      <c r="HQ173" s="43"/>
      <c r="HR173" s="43"/>
      <c r="HS173" s="43"/>
      <c r="HT173" s="43"/>
    </row>
    <row r="174" spans="1:228" x14ac:dyDescent="0.2">
      <c r="A174" s="9" t="s">
        <v>1518</v>
      </c>
      <c r="B174" s="36">
        <v>0</v>
      </c>
      <c r="C174" s="36">
        <v>0</v>
      </c>
      <c r="D174" s="36">
        <v>0</v>
      </c>
      <c r="E174" s="36">
        <v>0</v>
      </c>
      <c r="F174" s="36">
        <v>0</v>
      </c>
      <c r="G174" s="36">
        <v>0</v>
      </c>
      <c r="H174" s="36">
        <v>0</v>
      </c>
      <c r="I174" s="36">
        <v>0</v>
      </c>
      <c r="J174" s="36">
        <v>0</v>
      </c>
      <c r="K174" s="36">
        <v>0</v>
      </c>
      <c r="L174" s="36">
        <v>0</v>
      </c>
      <c r="M174" s="36">
        <v>0</v>
      </c>
      <c r="N174" s="36">
        <v>0</v>
      </c>
      <c r="O174" s="36">
        <v>0</v>
      </c>
      <c r="P174" s="36">
        <v>0</v>
      </c>
      <c r="Q174" s="36">
        <v>0</v>
      </c>
      <c r="R174" s="36">
        <v>0</v>
      </c>
      <c r="S174" s="36">
        <v>0</v>
      </c>
      <c r="T174" s="36">
        <v>0</v>
      </c>
      <c r="U174" s="36">
        <v>0</v>
      </c>
      <c r="V174" s="36">
        <v>0</v>
      </c>
      <c r="W174" s="36">
        <v>0</v>
      </c>
      <c r="X174" s="36">
        <v>0</v>
      </c>
      <c r="Y174" s="36">
        <v>0</v>
      </c>
      <c r="Z174" s="36">
        <v>0</v>
      </c>
      <c r="AA174" s="36">
        <v>0</v>
      </c>
      <c r="AB174" s="36">
        <v>0</v>
      </c>
      <c r="AC174" s="36">
        <v>0</v>
      </c>
      <c r="AD174" s="36">
        <v>0</v>
      </c>
      <c r="AE174" s="36">
        <v>0</v>
      </c>
      <c r="AF174" s="36">
        <v>0</v>
      </c>
      <c r="AG174" s="36">
        <v>0</v>
      </c>
      <c r="AH174" s="36">
        <v>0</v>
      </c>
      <c r="AI174" s="36">
        <v>0</v>
      </c>
      <c r="AJ174" s="36">
        <v>0</v>
      </c>
      <c r="AK174" s="36">
        <v>0</v>
      </c>
      <c r="AL174" s="36">
        <v>0</v>
      </c>
      <c r="AM174" s="36">
        <v>0</v>
      </c>
      <c r="AN174" s="36">
        <v>0</v>
      </c>
      <c r="AO174" s="36">
        <v>0</v>
      </c>
      <c r="AP174" s="36">
        <v>0</v>
      </c>
      <c r="AQ174" s="36">
        <v>0</v>
      </c>
      <c r="AR174" s="36">
        <v>0</v>
      </c>
      <c r="AS174" s="36">
        <v>0</v>
      </c>
      <c r="AT174" s="36">
        <v>0</v>
      </c>
      <c r="AU174" s="36">
        <v>0</v>
      </c>
      <c r="AV174" s="36">
        <v>0</v>
      </c>
      <c r="AW174" s="36">
        <v>0</v>
      </c>
      <c r="AX174" s="36">
        <v>0</v>
      </c>
      <c r="AY174" s="36">
        <v>0</v>
      </c>
      <c r="AZ174" s="36">
        <v>0</v>
      </c>
      <c r="BA174" s="36">
        <v>0</v>
      </c>
      <c r="BB174" s="36">
        <v>0</v>
      </c>
      <c r="BC174" s="36">
        <v>0</v>
      </c>
      <c r="BD174" s="36">
        <v>0</v>
      </c>
      <c r="BE174" s="36">
        <v>0</v>
      </c>
      <c r="BF174" s="36">
        <v>0</v>
      </c>
      <c r="BG174" s="36">
        <v>0</v>
      </c>
      <c r="BH174" s="36">
        <v>0</v>
      </c>
      <c r="BI174" s="36">
        <v>0</v>
      </c>
      <c r="BJ174" s="36">
        <v>0</v>
      </c>
      <c r="BK174" s="36">
        <v>8496.9361584489561</v>
      </c>
      <c r="BL174" s="36">
        <v>19717.212557529452</v>
      </c>
      <c r="BM174" s="36">
        <v>3869.6631768998768</v>
      </c>
      <c r="BN174" s="36">
        <v>1079.479909972425</v>
      </c>
      <c r="BO174" s="36">
        <v>214.20279550134853</v>
      </c>
      <c r="BP174" s="36">
        <v>8571.9246557561928</v>
      </c>
      <c r="BQ174" s="36">
        <v>3.9648833045012268</v>
      </c>
      <c r="BR174" s="36">
        <v>20609.121698335995</v>
      </c>
      <c r="BS174" s="36">
        <v>2263.7769830628458</v>
      </c>
      <c r="BT174" s="36">
        <v>835.07562253401909</v>
      </c>
      <c r="BU174" s="36">
        <v>28213.544966626105</v>
      </c>
      <c r="BV174" s="36">
        <v>3218.8839458284565</v>
      </c>
      <c r="BW174" s="36">
        <v>27226.76280391093</v>
      </c>
      <c r="BX174" s="36">
        <v>4586.4942485838574</v>
      </c>
      <c r="BY174" s="36">
        <v>8504.0748247797037</v>
      </c>
      <c r="BZ174" s="36">
        <v>11151.251959471669</v>
      </c>
      <c r="CA174" s="36">
        <v>4794.3252431306455</v>
      </c>
      <c r="CB174" s="36">
        <v>17980.218132078073</v>
      </c>
      <c r="CC174" s="36">
        <v>16995.451446816362</v>
      </c>
      <c r="CD174" s="36">
        <v>3450.4227403403838</v>
      </c>
      <c r="CE174" s="36">
        <v>9932.7893820221143</v>
      </c>
      <c r="CF174" s="36">
        <v>7169.7795312846392</v>
      </c>
      <c r="CG174" s="36">
        <v>7854.0501017411825</v>
      </c>
      <c r="CH174" s="36">
        <v>24452.593158950887</v>
      </c>
      <c r="CI174" s="36">
        <v>35788.065544246034</v>
      </c>
      <c r="CJ174" s="36">
        <v>18576.484094076415</v>
      </c>
      <c r="CK174" s="36">
        <v>10687.811441657273</v>
      </c>
      <c r="CL174" s="36">
        <v>400.13866099216494</v>
      </c>
      <c r="CM174" s="36">
        <v>5066.6451080007346</v>
      </c>
      <c r="CN174" s="36">
        <v>4160.0088038115891</v>
      </c>
      <c r="CO174" s="36">
        <v>1173.1906980347874</v>
      </c>
      <c r="CP174" s="36">
        <v>2054.8361876736203</v>
      </c>
      <c r="CQ174" s="36">
        <v>29445.671460613121</v>
      </c>
      <c r="CR174" s="36">
        <v>2526.9876288563628</v>
      </c>
      <c r="CS174" s="36">
        <v>12554.845673254085</v>
      </c>
      <c r="CT174" s="36">
        <v>6754.9805384587735</v>
      </c>
      <c r="CU174" s="36">
        <v>3158.1059491480528</v>
      </c>
      <c r="CV174" s="36">
        <v>10034.613306069477</v>
      </c>
      <c r="CW174" s="36">
        <v>951.10305969193405</v>
      </c>
      <c r="CX174" s="36">
        <v>64317.238254440119</v>
      </c>
      <c r="CY174" s="36">
        <v>12959.555183299102</v>
      </c>
      <c r="CZ174" s="36">
        <v>5867.5873758843609</v>
      </c>
      <c r="DA174" s="36">
        <v>40159.189791038734</v>
      </c>
      <c r="DB174" s="36">
        <v>20122.460320346403</v>
      </c>
      <c r="DC174" s="36">
        <v>7163.6404079229887</v>
      </c>
      <c r="DD174" s="36">
        <v>8910.8433904371668</v>
      </c>
      <c r="DE174" s="36">
        <v>4132.7321845271845</v>
      </c>
      <c r="DF174" s="36">
        <v>1756.4887800074926</v>
      </c>
      <c r="DG174" s="36">
        <v>4055.7158399342497</v>
      </c>
      <c r="DH174" s="36">
        <v>1325.7009825187242</v>
      </c>
      <c r="DI174" s="36">
        <v>10736.173168166046</v>
      </c>
      <c r="DJ174" s="36">
        <v>2280.3180021603102</v>
      </c>
      <c r="DK174" s="36">
        <v>3162.610860358026</v>
      </c>
      <c r="DL174" s="36">
        <v>19194.252205282555</v>
      </c>
      <c r="DM174" s="36">
        <v>9419.516388883354</v>
      </c>
      <c r="DN174" s="36">
        <v>9054.2293659475072</v>
      </c>
      <c r="DO174" s="36">
        <v>8893.9408119339914</v>
      </c>
      <c r="DP174" s="36">
        <v>4114.805677243543</v>
      </c>
      <c r="DQ174" s="36">
        <v>5603.4343751119268</v>
      </c>
      <c r="DR174" s="36">
        <v>3646.1610167710342</v>
      </c>
      <c r="DS174" s="36">
        <v>6603.1225622226721</v>
      </c>
      <c r="DT174" s="36">
        <v>16402.622750306211</v>
      </c>
      <c r="DU174" s="36">
        <v>2048.9468163601259</v>
      </c>
      <c r="DV174" s="36">
        <v>128.70193166708319</v>
      </c>
      <c r="DW174" s="36">
        <v>1452.68850016744</v>
      </c>
      <c r="DX174" s="36">
        <v>30797.456490755369</v>
      </c>
      <c r="DY174" s="36">
        <v>13136.843726307041</v>
      </c>
      <c r="DZ174" s="36">
        <v>17729.416695380187</v>
      </c>
      <c r="EA174" s="36">
        <v>19787.79303864824</v>
      </c>
      <c r="EB174" s="36">
        <v>38771.695549972777</v>
      </c>
      <c r="EC174" s="36">
        <v>12831.647730796816</v>
      </c>
      <c r="ED174" s="36">
        <v>73402.281690322125</v>
      </c>
      <c r="EE174" s="36">
        <v>2613.7264507470313</v>
      </c>
      <c r="EF174" s="36">
        <v>81.767520129049686</v>
      </c>
      <c r="EG174" s="36">
        <v>1863.7711691871907</v>
      </c>
      <c r="EH174" s="36">
        <v>432.58812345392221</v>
      </c>
      <c r="EI174" s="36">
        <v>1815.1593033874626</v>
      </c>
      <c r="EJ174" s="36">
        <v>0</v>
      </c>
      <c r="EK174" s="36">
        <v>0</v>
      </c>
      <c r="EL174" s="36">
        <v>0</v>
      </c>
      <c r="EM174" s="36">
        <v>0</v>
      </c>
      <c r="EN174" s="36">
        <v>0</v>
      </c>
      <c r="EO174" s="36">
        <v>0</v>
      </c>
      <c r="EP174" s="36">
        <v>0</v>
      </c>
      <c r="EQ174" s="36">
        <v>0</v>
      </c>
      <c r="ER174" s="36">
        <v>0</v>
      </c>
      <c r="ES174" s="36">
        <v>0</v>
      </c>
      <c r="ET174" s="36">
        <v>0</v>
      </c>
      <c r="EU174" s="36">
        <v>0</v>
      </c>
      <c r="EV174" s="36">
        <v>0</v>
      </c>
      <c r="EW174" s="36">
        <v>0</v>
      </c>
      <c r="EX174" s="36">
        <v>0</v>
      </c>
      <c r="EY174" s="36">
        <v>0</v>
      </c>
      <c r="EZ174" s="36">
        <v>0</v>
      </c>
      <c r="FA174" s="36">
        <v>0</v>
      </c>
      <c r="FB174" s="36">
        <v>0</v>
      </c>
      <c r="FC174" s="36">
        <v>0</v>
      </c>
      <c r="FD174" s="36">
        <v>0</v>
      </c>
      <c r="FE174" s="36">
        <v>0</v>
      </c>
      <c r="FF174" s="36">
        <v>0</v>
      </c>
      <c r="FG174" s="36">
        <v>0</v>
      </c>
      <c r="FH174" s="36">
        <v>0</v>
      </c>
      <c r="FI174" s="36">
        <v>0</v>
      </c>
      <c r="FJ174" s="36">
        <v>0</v>
      </c>
      <c r="FK174" s="36">
        <v>0</v>
      </c>
      <c r="FL174" s="36">
        <v>0</v>
      </c>
      <c r="FM174" s="36">
        <v>0</v>
      </c>
      <c r="FN174" s="36">
        <v>0</v>
      </c>
      <c r="FO174" s="36">
        <v>0</v>
      </c>
      <c r="FP174" s="36">
        <v>0</v>
      </c>
      <c r="FQ174" s="36">
        <v>0</v>
      </c>
      <c r="FR174" s="36">
        <v>0</v>
      </c>
      <c r="FS174" s="36">
        <v>0</v>
      </c>
      <c r="FT174" s="36">
        <v>0</v>
      </c>
      <c r="FU174" s="36">
        <v>0</v>
      </c>
      <c r="FV174" s="36">
        <v>0</v>
      </c>
      <c r="FW174" s="36">
        <v>0</v>
      </c>
      <c r="FX174" s="36">
        <v>0</v>
      </c>
      <c r="FY174" s="36">
        <v>0</v>
      </c>
      <c r="FZ174" s="36">
        <v>0</v>
      </c>
      <c r="GA174" s="36">
        <v>0</v>
      </c>
      <c r="GB174" s="36">
        <v>0</v>
      </c>
      <c r="GC174" s="36">
        <v>0</v>
      </c>
      <c r="GD174" s="36">
        <v>0</v>
      </c>
      <c r="GE174" s="36">
        <v>0</v>
      </c>
      <c r="GF174" s="36">
        <v>0</v>
      </c>
      <c r="GG174" s="36"/>
      <c r="GH174" s="36"/>
      <c r="GI174" s="36"/>
      <c r="GJ174" s="36"/>
      <c r="GK174" s="36"/>
      <c r="GL174" s="36"/>
      <c r="GM174" s="36"/>
      <c r="GN174" s="36"/>
      <c r="GO174" s="36"/>
      <c r="GP174" s="36"/>
      <c r="GQ174" s="36"/>
      <c r="GR174" s="36"/>
      <c r="GS174" s="36"/>
      <c r="GT174" s="36"/>
      <c r="GU174" s="36">
        <v>0</v>
      </c>
      <c r="GV174" s="36">
        <v>0</v>
      </c>
      <c r="GW174" s="36">
        <v>0</v>
      </c>
      <c r="GX174" s="36">
        <v>0</v>
      </c>
      <c r="GY174" s="36">
        <v>0</v>
      </c>
      <c r="GZ174" s="36">
        <v>0</v>
      </c>
      <c r="HA174" s="38">
        <v>0</v>
      </c>
      <c r="HB174" s="36">
        <v>0</v>
      </c>
      <c r="HC174" s="36">
        <f t="shared" si="2"/>
        <v>871302.31351352052</v>
      </c>
      <c r="HD174" s="36">
        <f>SUM(FO$5:FO$213)</f>
        <v>871302.31351352064</v>
      </c>
      <c r="HE174" s="41">
        <v>0</v>
      </c>
    </row>
    <row r="175" spans="1:228" x14ac:dyDescent="0.2">
      <c r="A175" s="15" t="s">
        <v>1539</v>
      </c>
      <c r="B175" s="44">
        <v>7888.8484781264578</v>
      </c>
      <c r="C175" s="44">
        <v>170.62125123721583</v>
      </c>
      <c r="D175" s="44">
        <v>1442.3193519927377</v>
      </c>
      <c r="E175" s="44">
        <v>2239.3346731423135</v>
      </c>
      <c r="F175" s="44">
        <v>4414.9315480955747</v>
      </c>
      <c r="G175" s="44">
        <v>5231.9408182395655</v>
      </c>
      <c r="H175" s="44">
        <v>657.00428498406745</v>
      </c>
      <c r="I175" s="44">
        <v>7890.1279342158086</v>
      </c>
      <c r="J175" s="44">
        <v>6201.5150810876039</v>
      </c>
      <c r="K175" s="44">
        <v>1353.414103802751</v>
      </c>
      <c r="L175" s="44">
        <v>2152.5295104624829</v>
      </c>
      <c r="M175" s="44">
        <v>0</v>
      </c>
      <c r="N175" s="44">
        <v>636.79857537788632</v>
      </c>
      <c r="O175" s="44">
        <v>1227.9061931091101</v>
      </c>
      <c r="P175" s="44">
        <v>4915.851136866092</v>
      </c>
      <c r="Q175" s="44">
        <v>6301.1413670346783</v>
      </c>
      <c r="R175" s="44">
        <v>3501.9395799213535</v>
      </c>
      <c r="S175" s="44">
        <v>3352.6450029272464</v>
      </c>
      <c r="T175" s="44">
        <v>10437.680383437335</v>
      </c>
      <c r="U175" s="44">
        <v>462.85345466943687</v>
      </c>
      <c r="V175" s="44">
        <v>2858.5823354332138</v>
      </c>
      <c r="W175" s="44">
        <v>1022.7344365051772</v>
      </c>
      <c r="X175" s="44">
        <v>2325.1990766381064</v>
      </c>
      <c r="Y175" s="44">
        <v>5449.9963488580979</v>
      </c>
      <c r="Z175" s="44">
        <v>3301.2523322964248</v>
      </c>
      <c r="AA175" s="44">
        <v>8547.9612662874315</v>
      </c>
      <c r="AB175" s="44">
        <v>3220.9632934413785</v>
      </c>
      <c r="AC175" s="44">
        <v>648.24195108166327</v>
      </c>
      <c r="AD175" s="44">
        <v>1284.6920060280211</v>
      </c>
      <c r="AE175" s="44">
        <v>4526.9529829519543</v>
      </c>
      <c r="AF175" s="44">
        <v>1179.3915123685449</v>
      </c>
      <c r="AG175" s="44">
        <v>2231.4677959572628</v>
      </c>
      <c r="AH175" s="44">
        <v>1911.0637675780515</v>
      </c>
      <c r="AI175" s="44">
        <v>14225.388506167648</v>
      </c>
      <c r="AJ175" s="44">
        <v>1418.486375986681</v>
      </c>
      <c r="AK175" s="44">
        <v>31697.113877402768</v>
      </c>
      <c r="AL175" s="44">
        <v>51525.032292815318</v>
      </c>
      <c r="AM175" s="44">
        <v>28883.686870264744</v>
      </c>
      <c r="AN175" s="44">
        <v>13587.893540448447</v>
      </c>
      <c r="AO175" s="44">
        <v>11756.629577833233</v>
      </c>
      <c r="AP175" s="44">
        <v>38385.135442128689</v>
      </c>
      <c r="AQ175" s="44">
        <v>313.14622514250988</v>
      </c>
      <c r="AR175" s="44">
        <v>2358.6619647673729</v>
      </c>
      <c r="AS175" s="44">
        <v>12601.449889494106</v>
      </c>
      <c r="AT175" s="44">
        <v>15681.755194998044</v>
      </c>
      <c r="AU175" s="44">
        <v>40965.769080134516</v>
      </c>
      <c r="AV175" s="44">
        <v>17711.186833719858</v>
      </c>
      <c r="AW175" s="44">
        <v>28640.069675509971</v>
      </c>
      <c r="AX175" s="44">
        <v>22620.604055002295</v>
      </c>
      <c r="AY175" s="44">
        <v>4051.9023408896524</v>
      </c>
      <c r="AZ175" s="44">
        <v>9465.1170242204189</v>
      </c>
      <c r="BA175" s="44">
        <v>4879.3176339610236</v>
      </c>
      <c r="BB175" s="44">
        <v>67275.859401997921</v>
      </c>
      <c r="BC175" s="44">
        <v>83035.483149553198</v>
      </c>
      <c r="BD175" s="44">
        <v>38563.24202364689</v>
      </c>
      <c r="BE175" s="44">
        <v>18183.381428402448</v>
      </c>
      <c r="BF175" s="44">
        <v>899.37341452047701</v>
      </c>
      <c r="BG175" s="44">
        <v>954.88437978662466</v>
      </c>
      <c r="BH175" s="44">
        <v>5049.1658681877689</v>
      </c>
      <c r="BI175" s="44">
        <v>311.3668393854029</v>
      </c>
      <c r="BJ175" s="44">
        <v>3106.6974358068383</v>
      </c>
      <c r="BK175" s="36">
        <v>0</v>
      </c>
      <c r="BL175" s="36">
        <v>0</v>
      </c>
      <c r="BM175" s="36">
        <v>0</v>
      </c>
      <c r="BN175" s="36">
        <v>0</v>
      </c>
      <c r="BO175" s="36">
        <v>0</v>
      </c>
      <c r="BP175" s="36">
        <v>0</v>
      </c>
      <c r="BQ175" s="36">
        <v>0</v>
      </c>
      <c r="BR175" s="36">
        <v>0</v>
      </c>
      <c r="BS175" s="36">
        <v>0</v>
      </c>
      <c r="BT175" s="36">
        <v>0</v>
      </c>
      <c r="BU175" s="36">
        <v>0</v>
      </c>
      <c r="BV175" s="36">
        <v>0</v>
      </c>
      <c r="BW175" s="36">
        <v>0</v>
      </c>
      <c r="BX175" s="36">
        <v>0</v>
      </c>
      <c r="BY175" s="36">
        <v>0</v>
      </c>
      <c r="BZ175" s="36">
        <v>0</v>
      </c>
      <c r="CA175" s="36">
        <v>0</v>
      </c>
      <c r="CB175" s="36">
        <v>0</v>
      </c>
      <c r="CC175" s="36">
        <v>0</v>
      </c>
      <c r="CD175" s="36">
        <v>0</v>
      </c>
      <c r="CE175" s="36">
        <v>0</v>
      </c>
      <c r="CF175" s="36">
        <v>0</v>
      </c>
      <c r="CG175" s="36">
        <v>0</v>
      </c>
      <c r="CH175" s="36">
        <v>0</v>
      </c>
      <c r="CI175" s="36">
        <v>0</v>
      </c>
      <c r="CJ175" s="36">
        <v>0</v>
      </c>
      <c r="CK175" s="36">
        <v>0</v>
      </c>
      <c r="CL175" s="36">
        <v>0</v>
      </c>
      <c r="CM175" s="36">
        <v>0</v>
      </c>
      <c r="CN175" s="36">
        <v>0</v>
      </c>
      <c r="CO175" s="36">
        <v>0</v>
      </c>
      <c r="CP175" s="36">
        <v>0</v>
      </c>
      <c r="CQ175" s="36">
        <v>0</v>
      </c>
      <c r="CR175" s="36">
        <v>0</v>
      </c>
      <c r="CS175" s="36">
        <v>0</v>
      </c>
      <c r="CT175" s="36">
        <v>0</v>
      </c>
      <c r="CU175" s="36">
        <v>0</v>
      </c>
      <c r="CV175" s="36">
        <v>0</v>
      </c>
      <c r="CW175" s="36">
        <v>0</v>
      </c>
      <c r="CX175" s="36">
        <v>0</v>
      </c>
      <c r="CY175" s="36">
        <v>0</v>
      </c>
      <c r="CZ175" s="36">
        <v>0</v>
      </c>
      <c r="DA175" s="36">
        <v>0</v>
      </c>
      <c r="DB175" s="36">
        <v>0</v>
      </c>
      <c r="DC175" s="36">
        <v>0</v>
      </c>
      <c r="DD175" s="36">
        <v>0</v>
      </c>
      <c r="DE175" s="36">
        <v>0</v>
      </c>
      <c r="DF175" s="36">
        <v>0</v>
      </c>
      <c r="DG175" s="36">
        <v>0</v>
      </c>
      <c r="DH175" s="36">
        <v>0</v>
      </c>
      <c r="DI175" s="36">
        <v>0</v>
      </c>
      <c r="DJ175" s="36">
        <v>0</v>
      </c>
      <c r="DK175" s="36">
        <v>0</v>
      </c>
      <c r="DL175" s="36">
        <v>0</v>
      </c>
      <c r="DM175" s="36">
        <v>0</v>
      </c>
      <c r="DN175" s="36">
        <v>0</v>
      </c>
      <c r="DO175" s="36">
        <v>0</v>
      </c>
      <c r="DP175" s="36">
        <v>0</v>
      </c>
      <c r="DQ175" s="36">
        <v>0</v>
      </c>
      <c r="DR175" s="36">
        <v>0</v>
      </c>
      <c r="DS175" s="36">
        <v>0</v>
      </c>
      <c r="DT175" s="36">
        <v>0</v>
      </c>
      <c r="DU175" s="36">
        <v>0</v>
      </c>
      <c r="DV175" s="36">
        <v>0</v>
      </c>
      <c r="DW175" s="36">
        <v>0</v>
      </c>
      <c r="DX175" s="36">
        <v>0</v>
      </c>
      <c r="DY175" s="36">
        <v>0</v>
      </c>
      <c r="DZ175" s="36">
        <v>0</v>
      </c>
      <c r="EA175" s="36">
        <v>0</v>
      </c>
      <c r="EB175" s="36">
        <v>0</v>
      </c>
      <c r="EC175" s="36">
        <v>0</v>
      </c>
      <c r="ED175" s="36">
        <v>0</v>
      </c>
      <c r="EE175" s="36">
        <v>0</v>
      </c>
      <c r="EF175" s="36">
        <v>0</v>
      </c>
      <c r="EG175" s="36">
        <v>0</v>
      </c>
      <c r="EH175" s="36">
        <v>0</v>
      </c>
      <c r="EI175" s="36">
        <v>0</v>
      </c>
      <c r="EJ175" s="36">
        <v>0</v>
      </c>
      <c r="EK175" s="36">
        <v>0</v>
      </c>
      <c r="EL175" s="36">
        <v>0</v>
      </c>
      <c r="EM175" s="36">
        <v>0</v>
      </c>
      <c r="EN175" s="36">
        <v>0</v>
      </c>
      <c r="EO175" s="36">
        <v>0</v>
      </c>
      <c r="EP175" s="36">
        <v>0</v>
      </c>
      <c r="EQ175" s="36">
        <v>0</v>
      </c>
      <c r="ER175" s="36">
        <v>0</v>
      </c>
      <c r="ES175" s="36">
        <v>0</v>
      </c>
      <c r="ET175" s="36">
        <v>0</v>
      </c>
      <c r="EU175" s="36">
        <v>0</v>
      </c>
      <c r="EV175" s="36">
        <v>0</v>
      </c>
      <c r="EW175" s="36">
        <v>0</v>
      </c>
      <c r="EX175" s="36">
        <v>0</v>
      </c>
      <c r="EY175" s="36">
        <v>0</v>
      </c>
      <c r="EZ175" s="36">
        <v>0</v>
      </c>
      <c r="FA175" s="36">
        <v>0</v>
      </c>
      <c r="FB175" s="36">
        <v>0</v>
      </c>
      <c r="FC175" s="36">
        <v>0</v>
      </c>
      <c r="FD175" s="36">
        <v>0</v>
      </c>
      <c r="FE175" s="36">
        <v>0</v>
      </c>
      <c r="FF175" s="36">
        <v>0</v>
      </c>
      <c r="FG175" s="36">
        <v>0</v>
      </c>
      <c r="FH175" s="36">
        <v>0</v>
      </c>
      <c r="FI175" s="36">
        <v>0</v>
      </c>
      <c r="FJ175" s="36">
        <v>0</v>
      </c>
      <c r="FK175" s="36">
        <v>0</v>
      </c>
      <c r="FL175" s="36">
        <v>0</v>
      </c>
      <c r="FM175" s="36">
        <v>0</v>
      </c>
      <c r="FN175" s="36">
        <v>0</v>
      </c>
      <c r="FO175" s="36">
        <v>0</v>
      </c>
      <c r="FP175" s="36">
        <v>0</v>
      </c>
      <c r="FQ175" s="36">
        <v>0</v>
      </c>
      <c r="FR175" s="36">
        <v>0</v>
      </c>
      <c r="FS175" s="36">
        <v>0</v>
      </c>
      <c r="FT175" s="36">
        <v>0</v>
      </c>
      <c r="FU175" s="36">
        <v>0</v>
      </c>
      <c r="FV175" s="36">
        <v>0</v>
      </c>
      <c r="FW175" s="36">
        <v>0</v>
      </c>
      <c r="FX175" s="36">
        <v>0</v>
      </c>
      <c r="FY175" s="36">
        <v>0</v>
      </c>
      <c r="FZ175" s="36">
        <v>0</v>
      </c>
      <c r="GA175" s="36">
        <v>0</v>
      </c>
      <c r="GB175" s="36">
        <v>0</v>
      </c>
      <c r="GC175" s="36">
        <v>0</v>
      </c>
      <c r="GD175" s="36">
        <v>0</v>
      </c>
      <c r="GE175" s="36">
        <v>0</v>
      </c>
      <c r="GF175" s="36">
        <v>0</v>
      </c>
      <c r="GG175" s="36"/>
      <c r="GH175" s="36"/>
      <c r="GI175" s="36"/>
      <c r="GJ175" s="36"/>
      <c r="GK175" s="36"/>
      <c r="GL175" s="36"/>
      <c r="GM175" s="36"/>
      <c r="GN175" s="36"/>
      <c r="GO175" s="36"/>
      <c r="GP175" s="36"/>
      <c r="GQ175" s="36"/>
      <c r="GR175" s="36"/>
      <c r="GS175" s="36"/>
      <c r="GT175" s="36"/>
      <c r="GU175" s="36">
        <v>0</v>
      </c>
      <c r="GV175" s="36">
        <v>0</v>
      </c>
      <c r="GW175" s="36">
        <v>0</v>
      </c>
      <c r="GX175" s="36">
        <v>0</v>
      </c>
      <c r="GY175" s="36">
        <v>0</v>
      </c>
      <c r="GZ175" s="36">
        <v>0</v>
      </c>
      <c r="HA175" s="36">
        <v>0</v>
      </c>
      <c r="HB175" s="36">
        <v>3186.4417890343061</v>
      </c>
      <c r="HC175" s="36">
        <f t="shared" si="2"/>
        <v>680322.14396536432</v>
      </c>
      <c r="HD175" s="36">
        <f>SUM(FP$5:FP$213)</f>
        <v>680322.14396536432</v>
      </c>
      <c r="HE175" s="41">
        <v>0</v>
      </c>
    </row>
    <row r="176" spans="1:228" hidden="1" outlineLevel="1" x14ac:dyDescent="0.2">
      <c r="A176" s="15" t="s">
        <v>1540</v>
      </c>
      <c r="B176" s="44">
        <v>186.01482775533418</v>
      </c>
      <c r="C176" s="44">
        <v>0</v>
      </c>
      <c r="D176" s="44">
        <v>0</v>
      </c>
      <c r="E176" s="44">
        <v>1405.6518276856805</v>
      </c>
      <c r="F176" s="44">
        <v>2648.5386467612984</v>
      </c>
      <c r="G176" s="44">
        <v>10631.137537939423</v>
      </c>
      <c r="H176" s="44">
        <v>393.62654150683562</v>
      </c>
      <c r="I176" s="44">
        <v>557.0465835921608</v>
      </c>
      <c r="J176" s="44">
        <v>2766.9518590667872</v>
      </c>
      <c r="K176" s="44">
        <v>13.195470691436714</v>
      </c>
      <c r="L176" s="44">
        <v>6.1960587188725267</v>
      </c>
      <c r="M176" s="44">
        <v>0</v>
      </c>
      <c r="N176" s="44">
        <v>0</v>
      </c>
      <c r="O176" s="44">
        <v>46.327515627216876</v>
      </c>
      <c r="P176" s="44">
        <v>189.70270836346413</v>
      </c>
      <c r="Q176" s="44">
        <v>1095.4282583379925</v>
      </c>
      <c r="R176" s="44">
        <v>2363.9052547224264</v>
      </c>
      <c r="S176" s="44">
        <v>1912.9422715152571</v>
      </c>
      <c r="T176" s="44">
        <v>2325.2117242088102</v>
      </c>
      <c r="U176" s="44">
        <v>89.187354609656012</v>
      </c>
      <c r="V176" s="44">
        <v>380.11691502065014</v>
      </c>
      <c r="W176" s="44">
        <v>434.97759567423691</v>
      </c>
      <c r="X176" s="44">
        <v>234.4054313962863</v>
      </c>
      <c r="Y176" s="44">
        <v>1299.0121878109874</v>
      </c>
      <c r="Z176" s="44">
        <v>712.84200352058951</v>
      </c>
      <c r="AA176" s="44">
        <v>4826.8574611958375</v>
      </c>
      <c r="AB176" s="44">
        <v>2857.4027465584386</v>
      </c>
      <c r="AC176" s="44">
        <v>28.077371440250214</v>
      </c>
      <c r="AD176" s="44">
        <v>1223.4562681663938</v>
      </c>
      <c r="AE176" s="44">
        <v>4207.9524679653423</v>
      </c>
      <c r="AF176" s="44">
        <v>821.49448003260773</v>
      </c>
      <c r="AG176" s="44">
        <v>0</v>
      </c>
      <c r="AH176" s="44">
        <v>127.42395074234867</v>
      </c>
      <c r="AI176" s="44">
        <v>8405.0294972866541</v>
      </c>
      <c r="AJ176" s="44">
        <v>421.62797242780942</v>
      </c>
      <c r="AK176" s="44">
        <v>2684.6400504949597</v>
      </c>
      <c r="AL176" s="44">
        <v>2543.5461010687281</v>
      </c>
      <c r="AM176" s="44">
        <v>6493.549651308912</v>
      </c>
      <c r="AN176" s="44">
        <v>2217.8107268651265</v>
      </c>
      <c r="AO176" s="44">
        <v>77.617085594167676</v>
      </c>
      <c r="AP176" s="44">
        <v>1780.6441294390966</v>
      </c>
      <c r="AQ176" s="44">
        <v>0</v>
      </c>
      <c r="AR176" s="44">
        <v>733.19308879925848</v>
      </c>
      <c r="AS176" s="44">
        <v>2714.46468966873</v>
      </c>
      <c r="AT176" s="44">
        <v>8443.6457104348829</v>
      </c>
      <c r="AU176" s="44">
        <v>31888.466595076639</v>
      </c>
      <c r="AV176" s="44">
        <v>7560.1348822565915</v>
      </c>
      <c r="AW176" s="44">
        <v>6317.4315540605203</v>
      </c>
      <c r="AX176" s="44">
        <v>289.50185564074167</v>
      </c>
      <c r="AY176" s="44">
        <v>149.45129994546559</v>
      </c>
      <c r="AZ176" s="44">
        <v>16674.163324253692</v>
      </c>
      <c r="BA176" s="44">
        <v>2565.9239147830008</v>
      </c>
      <c r="BB176" s="44">
        <v>50005.382669948689</v>
      </c>
      <c r="BC176" s="44">
        <v>58906.373141361997</v>
      </c>
      <c r="BD176" s="44">
        <v>191229.23545291604</v>
      </c>
      <c r="BE176" s="44">
        <v>56530.652923584574</v>
      </c>
      <c r="BF176" s="44">
        <v>220.21821603039211</v>
      </c>
      <c r="BG176" s="44">
        <v>2197.1310146745113</v>
      </c>
      <c r="BH176" s="44">
        <v>4565.0254859590632</v>
      </c>
      <c r="BI176" s="44">
        <v>2.7484153681974863</v>
      </c>
      <c r="BJ176" s="44">
        <v>677.60543887119104</v>
      </c>
      <c r="BK176" s="36">
        <v>0</v>
      </c>
      <c r="BL176" s="36">
        <v>0</v>
      </c>
      <c r="BM176" s="36">
        <v>0</v>
      </c>
      <c r="BN176" s="36">
        <v>0</v>
      </c>
      <c r="BO176" s="36">
        <v>0</v>
      </c>
      <c r="BP176" s="36">
        <v>0</v>
      </c>
      <c r="BQ176" s="36">
        <v>0</v>
      </c>
      <c r="BR176" s="36">
        <v>0</v>
      </c>
      <c r="BS176" s="36">
        <v>0</v>
      </c>
      <c r="BT176" s="36">
        <v>0</v>
      </c>
      <c r="BU176" s="36">
        <v>0</v>
      </c>
      <c r="BV176" s="36">
        <v>0</v>
      </c>
      <c r="BW176" s="36">
        <v>0</v>
      </c>
      <c r="BX176" s="36">
        <v>0</v>
      </c>
      <c r="BY176" s="36">
        <v>0</v>
      </c>
      <c r="BZ176" s="36">
        <v>0</v>
      </c>
      <c r="CA176" s="36">
        <v>0</v>
      </c>
      <c r="CB176" s="36">
        <v>0</v>
      </c>
      <c r="CC176" s="36">
        <v>0</v>
      </c>
      <c r="CD176" s="36">
        <v>0</v>
      </c>
      <c r="CE176" s="36">
        <v>0</v>
      </c>
      <c r="CF176" s="36">
        <v>0</v>
      </c>
      <c r="CG176" s="36">
        <v>0</v>
      </c>
      <c r="CH176" s="36">
        <v>0</v>
      </c>
      <c r="CI176" s="36">
        <v>0</v>
      </c>
      <c r="CJ176" s="36">
        <v>0</v>
      </c>
      <c r="CK176" s="36">
        <v>0</v>
      </c>
      <c r="CL176" s="36">
        <v>0</v>
      </c>
      <c r="CM176" s="36">
        <v>0</v>
      </c>
      <c r="CN176" s="36">
        <v>0</v>
      </c>
      <c r="CO176" s="36">
        <v>0</v>
      </c>
      <c r="CP176" s="36">
        <v>0</v>
      </c>
      <c r="CQ176" s="36">
        <v>0</v>
      </c>
      <c r="CR176" s="36">
        <v>0</v>
      </c>
      <c r="CS176" s="36">
        <v>0</v>
      </c>
      <c r="CT176" s="36">
        <v>0</v>
      </c>
      <c r="CU176" s="36">
        <v>0</v>
      </c>
      <c r="CV176" s="36">
        <v>0</v>
      </c>
      <c r="CW176" s="36">
        <v>0</v>
      </c>
      <c r="CX176" s="36">
        <v>0</v>
      </c>
      <c r="CY176" s="36">
        <v>0</v>
      </c>
      <c r="CZ176" s="36">
        <v>0</v>
      </c>
      <c r="DA176" s="36">
        <v>0</v>
      </c>
      <c r="DB176" s="36">
        <v>0</v>
      </c>
      <c r="DC176" s="36">
        <v>0</v>
      </c>
      <c r="DD176" s="36">
        <v>0</v>
      </c>
      <c r="DE176" s="36">
        <v>0</v>
      </c>
      <c r="DF176" s="36">
        <v>0</v>
      </c>
      <c r="DG176" s="36">
        <v>0</v>
      </c>
      <c r="DH176" s="36">
        <v>0</v>
      </c>
      <c r="DI176" s="36">
        <v>0</v>
      </c>
      <c r="DJ176" s="36">
        <v>0</v>
      </c>
      <c r="DK176" s="36">
        <v>0</v>
      </c>
      <c r="DL176" s="36">
        <v>0</v>
      </c>
      <c r="DM176" s="36">
        <v>0</v>
      </c>
      <c r="DN176" s="36">
        <v>0</v>
      </c>
      <c r="DO176" s="36">
        <v>0</v>
      </c>
      <c r="DP176" s="36">
        <v>0</v>
      </c>
      <c r="DQ176" s="36">
        <v>0</v>
      </c>
      <c r="DR176" s="36">
        <v>0</v>
      </c>
      <c r="DS176" s="36">
        <v>0</v>
      </c>
      <c r="DT176" s="36">
        <v>0</v>
      </c>
      <c r="DU176" s="36">
        <v>0</v>
      </c>
      <c r="DV176" s="36">
        <v>0</v>
      </c>
      <c r="DW176" s="36">
        <v>0</v>
      </c>
      <c r="DX176" s="36">
        <v>0</v>
      </c>
      <c r="DY176" s="36">
        <v>0</v>
      </c>
      <c r="DZ176" s="36">
        <v>0</v>
      </c>
      <c r="EA176" s="36">
        <v>0</v>
      </c>
      <c r="EB176" s="36">
        <v>0</v>
      </c>
      <c r="EC176" s="36">
        <v>0</v>
      </c>
      <c r="ED176" s="36">
        <v>0</v>
      </c>
      <c r="EE176" s="36">
        <v>0</v>
      </c>
      <c r="EF176" s="36">
        <v>0</v>
      </c>
      <c r="EG176" s="36">
        <v>0</v>
      </c>
      <c r="EH176" s="36">
        <v>0</v>
      </c>
      <c r="EI176" s="36">
        <v>0</v>
      </c>
      <c r="EJ176" s="36">
        <v>0</v>
      </c>
      <c r="EK176" s="36">
        <v>0</v>
      </c>
      <c r="EL176" s="36">
        <v>0</v>
      </c>
      <c r="EM176" s="36">
        <v>0</v>
      </c>
      <c r="EN176" s="36">
        <v>0</v>
      </c>
      <c r="EO176" s="36">
        <v>0</v>
      </c>
      <c r="EP176" s="36">
        <v>0</v>
      </c>
      <c r="EQ176" s="36">
        <v>0</v>
      </c>
      <c r="ER176" s="36">
        <v>0</v>
      </c>
      <c r="ES176" s="36">
        <v>0</v>
      </c>
      <c r="ET176" s="36">
        <v>0</v>
      </c>
      <c r="EU176" s="36">
        <v>0</v>
      </c>
      <c r="EV176" s="36">
        <v>0</v>
      </c>
      <c r="EW176" s="36">
        <v>0</v>
      </c>
      <c r="EX176" s="36">
        <v>0</v>
      </c>
      <c r="EY176" s="36">
        <v>0</v>
      </c>
      <c r="EZ176" s="36">
        <v>0</v>
      </c>
      <c r="FA176" s="36">
        <v>0</v>
      </c>
      <c r="FB176" s="36">
        <v>0</v>
      </c>
      <c r="FC176" s="36">
        <v>0</v>
      </c>
      <c r="FD176" s="36">
        <v>0</v>
      </c>
      <c r="FE176" s="36">
        <v>0</v>
      </c>
      <c r="FF176" s="36">
        <v>0</v>
      </c>
      <c r="FG176" s="36">
        <v>0</v>
      </c>
      <c r="FH176" s="36">
        <v>0</v>
      </c>
      <c r="FI176" s="36">
        <v>0</v>
      </c>
      <c r="FJ176" s="36">
        <v>0</v>
      </c>
      <c r="FK176" s="36">
        <v>0</v>
      </c>
      <c r="FL176" s="36">
        <v>0</v>
      </c>
      <c r="FM176" s="36">
        <v>0</v>
      </c>
      <c r="FN176" s="36">
        <v>0</v>
      </c>
      <c r="FO176" s="36">
        <v>0</v>
      </c>
      <c r="FP176" s="36">
        <v>0</v>
      </c>
      <c r="FQ176" s="36">
        <v>0</v>
      </c>
      <c r="FR176" s="36">
        <v>0</v>
      </c>
      <c r="FS176" s="36">
        <v>0</v>
      </c>
      <c r="FT176" s="36">
        <v>0</v>
      </c>
      <c r="FU176" s="36">
        <v>0</v>
      </c>
      <c r="FV176" s="36">
        <v>0</v>
      </c>
      <c r="FW176" s="36">
        <v>0</v>
      </c>
      <c r="FX176" s="36">
        <v>0</v>
      </c>
      <c r="FY176" s="36">
        <v>0</v>
      </c>
      <c r="FZ176" s="36">
        <v>0</v>
      </c>
      <c r="GA176" s="36">
        <v>0</v>
      </c>
      <c r="GB176" s="36">
        <v>0</v>
      </c>
      <c r="GC176" s="36">
        <v>0</v>
      </c>
      <c r="GD176" s="36">
        <v>0</v>
      </c>
      <c r="GE176" s="36">
        <v>0</v>
      </c>
      <c r="GF176" s="36">
        <v>0</v>
      </c>
      <c r="GG176" s="36"/>
      <c r="GH176" s="36"/>
      <c r="GI176" s="36"/>
      <c r="GJ176" s="36"/>
      <c r="GK176" s="36"/>
      <c r="GL176" s="36"/>
      <c r="GM176" s="36"/>
      <c r="GN176" s="36"/>
      <c r="GO176" s="36"/>
      <c r="GP176" s="36"/>
      <c r="GQ176" s="36"/>
      <c r="GR176" s="36"/>
      <c r="GS176" s="36"/>
      <c r="GT176" s="36"/>
      <c r="GU176" s="36">
        <v>0</v>
      </c>
      <c r="GV176" s="36">
        <v>0</v>
      </c>
      <c r="GW176" s="36">
        <v>0</v>
      </c>
      <c r="GX176" s="36">
        <v>0</v>
      </c>
      <c r="GY176" s="36">
        <v>0</v>
      </c>
      <c r="GZ176" s="36">
        <v>0</v>
      </c>
      <c r="HA176" s="36">
        <v>0</v>
      </c>
      <c r="HB176" s="36">
        <v>2400.318241604371</v>
      </c>
      <c r="HC176" s="36">
        <f t="shared" si="2"/>
        <v>512480.61645035056</v>
      </c>
      <c r="HD176" s="36">
        <f>SUM(FQ$5:FQ$213)</f>
        <v>512480.61645035056</v>
      </c>
      <c r="HE176" s="41">
        <v>0</v>
      </c>
    </row>
    <row r="177" spans="1:213" hidden="1" outlineLevel="1" x14ac:dyDescent="0.2">
      <c r="A177" s="15" t="s">
        <v>1541</v>
      </c>
      <c r="B177" s="44">
        <v>383.44077529745556</v>
      </c>
      <c r="C177" s="44">
        <v>13.681902631628281</v>
      </c>
      <c r="D177" s="44">
        <v>213.3890925200341</v>
      </c>
      <c r="E177" s="44">
        <v>2188.1865438129325</v>
      </c>
      <c r="F177" s="44">
        <v>3397.8211280920696</v>
      </c>
      <c r="G177" s="44">
        <v>6741.2645302649125</v>
      </c>
      <c r="H177" s="44">
        <v>290.25067347699223</v>
      </c>
      <c r="I177" s="44">
        <v>4774.1156315757744</v>
      </c>
      <c r="J177" s="44">
        <v>2051.1290183631609</v>
      </c>
      <c r="K177" s="44">
        <v>159.45668350703491</v>
      </c>
      <c r="L177" s="44">
        <v>226.82615526175587</v>
      </c>
      <c r="M177" s="44">
        <v>94.701181338634072</v>
      </c>
      <c r="N177" s="44">
        <v>29.923159778025337</v>
      </c>
      <c r="O177" s="44">
        <v>433.83492611595273</v>
      </c>
      <c r="P177" s="44">
        <v>1752.8243594853616</v>
      </c>
      <c r="Q177" s="44">
        <v>1032.5935677602972</v>
      </c>
      <c r="R177" s="44">
        <v>2436.7632433529539</v>
      </c>
      <c r="S177" s="44">
        <v>1566.4196590333015</v>
      </c>
      <c r="T177" s="44">
        <v>1439.2661208362947</v>
      </c>
      <c r="U177" s="44">
        <v>298.84665672981174</v>
      </c>
      <c r="V177" s="44">
        <v>1194.8360837543344</v>
      </c>
      <c r="W177" s="44">
        <v>92.562122020125102</v>
      </c>
      <c r="X177" s="44">
        <v>295.958318933481</v>
      </c>
      <c r="Y177" s="44">
        <v>1033.3554306914893</v>
      </c>
      <c r="Z177" s="44">
        <v>973.01496063888214</v>
      </c>
      <c r="AA177" s="44">
        <v>2069.4024530901652</v>
      </c>
      <c r="AB177" s="44">
        <v>695.69496456989339</v>
      </c>
      <c r="AC177" s="44">
        <v>520.18975682958592</v>
      </c>
      <c r="AD177" s="44">
        <v>978.37343365888159</v>
      </c>
      <c r="AE177" s="44">
        <v>4640.5971658934313</v>
      </c>
      <c r="AF177" s="44">
        <v>1597.1356840015937</v>
      </c>
      <c r="AG177" s="44">
        <v>39.087732142167745</v>
      </c>
      <c r="AH177" s="44">
        <v>342.63346108714813</v>
      </c>
      <c r="AI177" s="44">
        <v>5200.420558505898</v>
      </c>
      <c r="AJ177" s="44">
        <v>1200.1145332105552</v>
      </c>
      <c r="AK177" s="44">
        <v>2394.7464238366533</v>
      </c>
      <c r="AL177" s="44">
        <v>11744.361944793241</v>
      </c>
      <c r="AM177" s="44">
        <v>3187.4222208755705</v>
      </c>
      <c r="AN177" s="44">
        <v>795.55811210295155</v>
      </c>
      <c r="AO177" s="44">
        <v>298.59979311117593</v>
      </c>
      <c r="AP177" s="44">
        <v>1204.7779259061999</v>
      </c>
      <c r="AQ177" s="44">
        <v>0</v>
      </c>
      <c r="AR177" s="44">
        <v>2245.6749552372903</v>
      </c>
      <c r="AS177" s="44">
        <v>3072.5335725007139</v>
      </c>
      <c r="AT177" s="44">
        <v>5844.8748693993375</v>
      </c>
      <c r="AU177" s="44">
        <v>10444.533780181726</v>
      </c>
      <c r="AV177" s="44">
        <v>13541.800498137758</v>
      </c>
      <c r="AW177" s="44">
        <v>8572.3444850629894</v>
      </c>
      <c r="AX177" s="44">
        <v>5282.5672399455088</v>
      </c>
      <c r="AY177" s="44">
        <v>268.63522355099155</v>
      </c>
      <c r="AZ177" s="44">
        <v>8664.9883788044935</v>
      </c>
      <c r="BA177" s="44">
        <v>838.79438852565579</v>
      </c>
      <c r="BB177" s="44">
        <v>16268.676142325839</v>
      </c>
      <c r="BC177" s="44">
        <v>43945.521071451949</v>
      </c>
      <c r="BD177" s="44">
        <v>82238.184771383108</v>
      </c>
      <c r="BE177" s="44">
        <v>48802.304310927626</v>
      </c>
      <c r="BF177" s="44">
        <v>171.00971698852121</v>
      </c>
      <c r="BG177" s="44">
        <v>1279.9978794373378</v>
      </c>
      <c r="BH177" s="44">
        <v>4498.9365557188103</v>
      </c>
      <c r="BI177" s="44">
        <v>50.930993035022745</v>
      </c>
      <c r="BJ177" s="44">
        <v>0</v>
      </c>
      <c r="BK177" s="36">
        <v>0</v>
      </c>
      <c r="BL177" s="36">
        <v>0</v>
      </c>
      <c r="BM177" s="36">
        <v>0</v>
      </c>
      <c r="BN177" s="36">
        <v>0</v>
      </c>
      <c r="BO177" s="36">
        <v>0</v>
      </c>
      <c r="BP177" s="36">
        <v>0</v>
      </c>
      <c r="BQ177" s="36">
        <v>0</v>
      </c>
      <c r="BR177" s="36">
        <v>0</v>
      </c>
      <c r="BS177" s="36">
        <v>0</v>
      </c>
      <c r="BT177" s="36">
        <v>0</v>
      </c>
      <c r="BU177" s="36">
        <v>0</v>
      </c>
      <c r="BV177" s="36">
        <v>0</v>
      </c>
      <c r="BW177" s="36">
        <v>0</v>
      </c>
      <c r="BX177" s="36">
        <v>0</v>
      </c>
      <c r="BY177" s="36">
        <v>0</v>
      </c>
      <c r="BZ177" s="36">
        <v>0</v>
      </c>
      <c r="CA177" s="36">
        <v>0</v>
      </c>
      <c r="CB177" s="36">
        <v>0</v>
      </c>
      <c r="CC177" s="36">
        <v>0</v>
      </c>
      <c r="CD177" s="36">
        <v>0</v>
      </c>
      <c r="CE177" s="36">
        <v>0</v>
      </c>
      <c r="CF177" s="36">
        <v>0</v>
      </c>
      <c r="CG177" s="36">
        <v>0</v>
      </c>
      <c r="CH177" s="36">
        <v>0</v>
      </c>
      <c r="CI177" s="36">
        <v>0</v>
      </c>
      <c r="CJ177" s="36">
        <v>0</v>
      </c>
      <c r="CK177" s="36">
        <v>0</v>
      </c>
      <c r="CL177" s="36">
        <v>0</v>
      </c>
      <c r="CM177" s="36">
        <v>0</v>
      </c>
      <c r="CN177" s="36">
        <v>0</v>
      </c>
      <c r="CO177" s="36">
        <v>0</v>
      </c>
      <c r="CP177" s="36">
        <v>0</v>
      </c>
      <c r="CQ177" s="36">
        <v>0</v>
      </c>
      <c r="CR177" s="36">
        <v>0</v>
      </c>
      <c r="CS177" s="36">
        <v>0</v>
      </c>
      <c r="CT177" s="36">
        <v>0</v>
      </c>
      <c r="CU177" s="36">
        <v>0</v>
      </c>
      <c r="CV177" s="36">
        <v>0</v>
      </c>
      <c r="CW177" s="36">
        <v>0</v>
      </c>
      <c r="CX177" s="36">
        <v>0</v>
      </c>
      <c r="CY177" s="36">
        <v>0</v>
      </c>
      <c r="CZ177" s="36">
        <v>0</v>
      </c>
      <c r="DA177" s="36">
        <v>0</v>
      </c>
      <c r="DB177" s="36">
        <v>0</v>
      </c>
      <c r="DC177" s="36">
        <v>0</v>
      </c>
      <c r="DD177" s="36">
        <v>0</v>
      </c>
      <c r="DE177" s="36">
        <v>0</v>
      </c>
      <c r="DF177" s="36">
        <v>0</v>
      </c>
      <c r="DG177" s="36">
        <v>0</v>
      </c>
      <c r="DH177" s="36">
        <v>0</v>
      </c>
      <c r="DI177" s="36">
        <v>0</v>
      </c>
      <c r="DJ177" s="36">
        <v>0</v>
      </c>
      <c r="DK177" s="36">
        <v>0</v>
      </c>
      <c r="DL177" s="36">
        <v>0</v>
      </c>
      <c r="DM177" s="36">
        <v>0</v>
      </c>
      <c r="DN177" s="36">
        <v>0</v>
      </c>
      <c r="DO177" s="36">
        <v>0</v>
      </c>
      <c r="DP177" s="36">
        <v>0</v>
      </c>
      <c r="DQ177" s="36">
        <v>0</v>
      </c>
      <c r="DR177" s="36">
        <v>0</v>
      </c>
      <c r="DS177" s="36">
        <v>0</v>
      </c>
      <c r="DT177" s="36">
        <v>0</v>
      </c>
      <c r="DU177" s="36">
        <v>0</v>
      </c>
      <c r="DV177" s="36">
        <v>0</v>
      </c>
      <c r="DW177" s="36">
        <v>0</v>
      </c>
      <c r="DX177" s="36">
        <v>0</v>
      </c>
      <c r="DY177" s="36">
        <v>0</v>
      </c>
      <c r="DZ177" s="36">
        <v>0</v>
      </c>
      <c r="EA177" s="36">
        <v>0</v>
      </c>
      <c r="EB177" s="36">
        <v>0</v>
      </c>
      <c r="EC177" s="36">
        <v>0</v>
      </c>
      <c r="ED177" s="36">
        <v>0</v>
      </c>
      <c r="EE177" s="36">
        <v>0</v>
      </c>
      <c r="EF177" s="36">
        <v>0</v>
      </c>
      <c r="EG177" s="36">
        <v>0</v>
      </c>
      <c r="EH177" s="36">
        <v>0</v>
      </c>
      <c r="EI177" s="36">
        <v>0</v>
      </c>
      <c r="EJ177" s="36">
        <v>0</v>
      </c>
      <c r="EK177" s="36">
        <v>0</v>
      </c>
      <c r="EL177" s="36">
        <v>0</v>
      </c>
      <c r="EM177" s="36">
        <v>0</v>
      </c>
      <c r="EN177" s="36">
        <v>0</v>
      </c>
      <c r="EO177" s="36">
        <v>0</v>
      </c>
      <c r="EP177" s="36">
        <v>0</v>
      </c>
      <c r="EQ177" s="36">
        <v>0</v>
      </c>
      <c r="ER177" s="36">
        <v>0</v>
      </c>
      <c r="ES177" s="36">
        <v>0</v>
      </c>
      <c r="ET177" s="36">
        <v>0</v>
      </c>
      <c r="EU177" s="36">
        <v>0</v>
      </c>
      <c r="EV177" s="36">
        <v>0</v>
      </c>
      <c r="EW177" s="36">
        <v>0</v>
      </c>
      <c r="EX177" s="36">
        <v>0</v>
      </c>
      <c r="EY177" s="36">
        <v>0</v>
      </c>
      <c r="EZ177" s="36">
        <v>0</v>
      </c>
      <c r="FA177" s="36">
        <v>0</v>
      </c>
      <c r="FB177" s="36">
        <v>0</v>
      </c>
      <c r="FC177" s="36">
        <v>0</v>
      </c>
      <c r="FD177" s="36">
        <v>0</v>
      </c>
      <c r="FE177" s="36">
        <v>0</v>
      </c>
      <c r="FF177" s="36">
        <v>0</v>
      </c>
      <c r="FG177" s="36">
        <v>0</v>
      </c>
      <c r="FH177" s="36">
        <v>0</v>
      </c>
      <c r="FI177" s="36">
        <v>0</v>
      </c>
      <c r="FJ177" s="36">
        <v>0</v>
      </c>
      <c r="FK177" s="36">
        <v>0</v>
      </c>
      <c r="FL177" s="36">
        <v>0</v>
      </c>
      <c r="FM177" s="36">
        <v>0</v>
      </c>
      <c r="FN177" s="36">
        <v>0</v>
      </c>
      <c r="FO177" s="36">
        <v>0</v>
      </c>
      <c r="FP177" s="36">
        <v>0</v>
      </c>
      <c r="FQ177" s="36">
        <v>0</v>
      </c>
      <c r="FR177" s="36">
        <v>0</v>
      </c>
      <c r="FS177" s="36">
        <v>0</v>
      </c>
      <c r="FT177" s="36">
        <v>0</v>
      </c>
      <c r="FU177" s="36">
        <v>0</v>
      </c>
      <c r="FV177" s="36">
        <v>0</v>
      </c>
      <c r="FW177" s="36">
        <v>0</v>
      </c>
      <c r="FX177" s="36">
        <v>0</v>
      </c>
      <c r="FY177" s="36">
        <v>0</v>
      </c>
      <c r="FZ177" s="36">
        <v>0</v>
      </c>
      <c r="GA177" s="36">
        <v>0</v>
      </c>
      <c r="GB177" s="36">
        <v>0</v>
      </c>
      <c r="GC177" s="36">
        <v>0</v>
      </c>
      <c r="GD177" s="36">
        <v>0</v>
      </c>
      <c r="GE177" s="36">
        <v>0</v>
      </c>
      <c r="GF177" s="36">
        <v>0</v>
      </c>
      <c r="GG177" s="36"/>
      <c r="GH177" s="36"/>
      <c r="GI177" s="36"/>
      <c r="GJ177" s="36"/>
      <c r="GK177" s="36"/>
      <c r="GL177" s="36"/>
      <c r="GM177" s="36"/>
      <c r="GN177" s="36"/>
      <c r="GO177" s="36"/>
      <c r="GP177" s="36"/>
      <c r="GQ177" s="36"/>
      <c r="GR177" s="36"/>
      <c r="GS177" s="36"/>
      <c r="GT177" s="36"/>
      <c r="GU177" s="36">
        <v>0</v>
      </c>
      <c r="GV177" s="36">
        <v>0</v>
      </c>
      <c r="GW177" s="36">
        <v>0</v>
      </c>
      <c r="GX177" s="36">
        <v>0</v>
      </c>
      <c r="GY177" s="36">
        <v>0</v>
      </c>
      <c r="GZ177" s="36">
        <v>0</v>
      </c>
      <c r="HA177" s="36">
        <v>0</v>
      </c>
      <c r="HB177" s="36">
        <v>1534.3425258896912</v>
      </c>
      <c r="HC177" s="36">
        <f t="shared" si="2"/>
        <v>327590.22944739222</v>
      </c>
      <c r="HD177" s="36">
        <f>SUM(FR$5:FR$213)</f>
        <v>327590.22944739222</v>
      </c>
      <c r="HE177" s="41">
        <v>0</v>
      </c>
    </row>
    <row r="178" spans="1:213" hidden="1" outlineLevel="1" x14ac:dyDescent="0.2">
      <c r="A178" s="15" t="s">
        <v>1542</v>
      </c>
      <c r="B178" s="44">
        <v>1070.6977549738269</v>
      </c>
      <c r="C178" s="44">
        <v>102.13088710768216</v>
      </c>
      <c r="D178" s="44">
        <v>0</v>
      </c>
      <c r="E178" s="44">
        <v>583.38252034268214</v>
      </c>
      <c r="F178" s="44">
        <v>1422.4107740210768</v>
      </c>
      <c r="G178" s="44">
        <v>3461.1416418095964</v>
      </c>
      <c r="H178" s="44">
        <v>631.20046493242046</v>
      </c>
      <c r="I178" s="44">
        <v>4208.5628025397855</v>
      </c>
      <c r="J178" s="44">
        <v>796.32021066730988</v>
      </c>
      <c r="K178" s="44">
        <v>155.18808108463188</v>
      </c>
      <c r="L178" s="44">
        <v>488.96343264042611</v>
      </c>
      <c r="M178" s="44">
        <v>36.194614100703369</v>
      </c>
      <c r="N178" s="44">
        <v>22.40376748479261</v>
      </c>
      <c r="O178" s="44">
        <v>373.77717105224662</v>
      </c>
      <c r="P178" s="44">
        <v>712.60428406751851</v>
      </c>
      <c r="Q178" s="44">
        <v>689.45954964862131</v>
      </c>
      <c r="R178" s="44">
        <v>2299.4601900628959</v>
      </c>
      <c r="S178" s="44">
        <v>1526.0005558868188</v>
      </c>
      <c r="T178" s="44">
        <v>1935.617249651606</v>
      </c>
      <c r="U178" s="44">
        <v>124.83598392484186</v>
      </c>
      <c r="V178" s="44">
        <v>1131.7503018973687</v>
      </c>
      <c r="W178" s="44">
        <v>137.01001899796248</v>
      </c>
      <c r="X178" s="44">
        <v>1309.5998357460103</v>
      </c>
      <c r="Y178" s="44">
        <v>1162.0959931682555</v>
      </c>
      <c r="Z178" s="44">
        <v>1777.5448512731346</v>
      </c>
      <c r="AA178" s="44">
        <v>2488.3354552179294</v>
      </c>
      <c r="AB178" s="44">
        <v>1674.2530789063421</v>
      </c>
      <c r="AC178" s="44">
        <v>183.64002601223686</v>
      </c>
      <c r="AD178" s="44">
        <v>348.72804936598567</v>
      </c>
      <c r="AE178" s="44">
        <v>2288.4314244338252</v>
      </c>
      <c r="AF178" s="44">
        <v>913.43203295636283</v>
      </c>
      <c r="AG178" s="44">
        <v>194.48705049228423</v>
      </c>
      <c r="AH178" s="44">
        <v>479.86473789719764</v>
      </c>
      <c r="AI178" s="44">
        <v>1996.9094197928484</v>
      </c>
      <c r="AJ178" s="44">
        <v>988.24774503577771</v>
      </c>
      <c r="AK178" s="44">
        <v>2299.2524787992802</v>
      </c>
      <c r="AL178" s="44">
        <v>23190.172336218464</v>
      </c>
      <c r="AM178" s="44">
        <v>13574.644030858899</v>
      </c>
      <c r="AN178" s="44">
        <v>4787.8515456491405</v>
      </c>
      <c r="AO178" s="44">
        <v>2783.7622473231031</v>
      </c>
      <c r="AP178" s="44">
        <v>4594.4441907522287</v>
      </c>
      <c r="AQ178" s="44">
        <v>261.79590260337704</v>
      </c>
      <c r="AR178" s="44">
        <v>6896.8276032540771</v>
      </c>
      <c r="AS178" s="44">
        <v>7461.8220148906903</v>
      </c>
      <c r="AT178" s="44">
        <v>8396.575649690667</v>
      </c>
      <c r="AU178" s="44">
        <v>24929.774461952573</v>
      </c>
      <c r="AV178" s="44">
        <v>5631.1935072652377</v>
      </c>
      <c r="AW178" s="44">
        <v>16292.80805808988</v>
      </c>
      <c r="AX178" s="44">
        <v>851.37915235057585</v>
      </c>
      <c r="AY178" s="44">
        <v>1068.1365756465952</v>
      </c>
      <c r="AZ178" s="44">
        <v>1587.4736609981437</v>
      </c>
      <c r="BA178" s="44">
        <v>500.39469521979493</v>
      </c>
      <c r="BB178" s="44">
        <v>21396.357033111919</v>
      </c>
      <c r="BC178" s="44">
        <v>59746.675340579823</v>
      </c>
      <c r="BD178" s="44">
        <v>14391.518646328883</v>
      </c>
      <c r="BE178" s="44">
        <v>16274.616014399231</v>
      </c>
      <c r="BF178" s="44">
        <v>257.73121846789439</v>
      </c>
      <c r="BG178" s="44">
        <v>898.38541462489923</v>
      </c>
      <c r="BH178" s="44">
        <v>2070.7200955031608</v>
      </c>
      <c r="BI178" s="44">
        <v>110.28074466942608</v>
      </c>
      <c r="BJ178" s="44">
        <v>3161.5198410302182</v>
      </c>
      <c r="BK178" s="36">
        <v>0</v>
      </c>
      <c r="BL178" s="36">
        <v>0</v>
      </c>
      <c r="BM178" s="36">
        <v>0</v>
      </c>
      <c r="BN178" s="36">
        <v>0</v>
      </c>
      <c r="BO178" s="36">
        <v>0</v>
      </c>
      <c r="BP178" s="36">
        <v>0</v>
      </c>
      <c r="BQ178" s="36">
        <v>0</v>
      </c>
      <c r="BR178" s="36">
        <v>0</v>
      </c>
      <c r="BS178" s="36">
        <v>0</v>
      </c>
      <c r="BT178" s="36">
        <v>0</v>
      </c>
      <c r="BU178" s="36">
        <v>0</v>
      </c>
      <c r="BV178" s="36">
        <v>0</v>
      </c>
      <c r="BW178" s="36">
        <v>0</v>
      </c>
      <c r="BX178" s="36">
        <v>0</v>
      </c>
      <c r="BY178" s="36">
        <v>0</v>
      </c>
      <c r="BZ178" s="36">
        <v>0</v>
      </c>
      <c r="CA178" s="36">
        <v>0</v>
      </c>
      <c r="CB178" s="36">
        <v>0</v>
      </c>
      <c r="CC178" s="36">
        <v>0</v>
      </c>
      <c r="CD178" s="36">
        <v>0</v>
      </c>
      <c r="CE178" s="36">
        <v>0</v>
      </c>
      <c r="CF178" s="36">
        <v>0</v>
      </c>
      <c r="CG178" s="36">
        <v>0</v>
      </c>
      <c r="CH178" s="36">
        <v>0</v>
      </c>
      <c r="CI178" s="36">
        <v>0</v>
      </c>
      <c r="CJ178" s="36">
        <v>0</v>
      </c>
      <c r="CK178" s="36">
        <v>0</v>
      </c>
      <c r="CL178" s="36">
        <v>0</v>
      </c>
      <c r="CM178" s="36">
        <v>0</v>
      </c>
      <c r="CN178" s="36">
        <v>0</v>
      </c>
      <c r="CO178" s="36">
        <v>0</v>
      </c>
      <c r="CP178" s="36">
        <v>0</v>
      </c>
      <c r="CQ178" s="36">
        <v>0</v>
      </c>
      <c r="CR178" s="36">
        <v>0</v>
      </c>
      <c r="CS178" s="36">
        <v>0</v>
      </c>
      <c r="CT178" s="36">
        <v>0</v>
      </c>
      <c r="CU178" s="36">
        <v>0</v>
      </c>
      <c r="CV178" s="36">
        <v>0</v>
      </c>
      <c r="CW178" s="36">
        <v>0</v>
      </c>
      <c r="CX178" s="36">
        <v>0</v>
      </c>
      <c r="CY178" s="36">
        <v>0</v>
      </c>
      <c r="CZ178" s="36">
        <v>0</v>
      </c>
      <c r="DA178" s="36">
        <v>0</v>
      </c>
      <c r="DB178" s="36">
        <v>0</v>
      </c>
      <c r="DC178" s="36">
        <v>0</v>
      </c>
      <c r="DD178" s="36">
        <v>0</v>
      </c>
      <c r="DE178" s="36">
        <v>0</v>
      </c>
      <c r="DF178" s="36">
        <v>0</v>
      </c>
      <c r="DG178" s="36">
        <v>0</v>
      </c>
      <c r="DH178" s="36">
        <v>0</v>
      </c>
      <c r="DI178" s="36">
        <v>0</v>
      </c>
      <c r="DJ178" s="36">
        <v>0</v>
      </c>
      <c r="DK178" s="36">
        <v>0</v>
      </c>
      <c r="DL178" s="36">
        <v>0</v>
      </c>
      <c r="DM178" s="36">
        <v>0</v>
      </c>
      <c r="DN178" s="36">
        <v>0</v>
      </c>
      <c r="DO178" s="36">
        <v>0</v>
      </c>
      <c r="DP178" s="36">
        <v>0</v>
      </c>
      <c r="DQ178" s="36">
        <v>0</v>
      </c>
      <c r="DR178" s="36">
        <v>0</v>
      </c>
      <c r="DS178" s="36">
        <v>0</v>
      </c>
      <c r="DT178" s="36">
        <v>0</v>
      </c>
      <c r="DU178" s="36">
        <v>0</v>
      </c>
      <c r="DV178" s="36">
        <v>0</v>
      </c>
      <c r="DW178" s="36">
        <v>0</v>
      </c>
      <c r="DX178" s="36">
        <v>0</v>
      </c>
      <c r="DY178" s="36">
        <v>0</v>
      </c>
      <c r="DZ178" s="36">
        <v>0</v>
      </c>
      <c r="EA178" s="36">
        <v>0</v>
      </c>
      <c r="EB178" s="36">
        <v>0</v>
      </c>
      <c r="EC178" s="36">
        <v>0</v>
      </c>
      <c r="ED178" s="36">
        <v>0</v>
      </c>
      <c r="EE178" s="36">
        <v>0</v>
      </c>
      <c r="EF178" s="36">
        <v>0</v>
      </c>
      <c r="EG178" s="36">
        <v>0</v>
      </c>
      <c r="EH178" s="36">
        <v>0</v>
      </c>
      <c r="EI178" s="36">
        <v>0</v>
      </c>
      <c r="EJ178" s="36">
        <v>0</v>
      </c>
      <c r="EK178" s="36">
        <v>0</v>
      </c>
      <c r="EL178" s="36">
        <v>0</v>
      </c>
      <c r="EM178" s="36">
        <v>0</v>
      </c>
      <c r="EN178" s="36">
        <v>0</v>
      </c>
      <c r="EO178" s="36">
        <v>0</v>
      </c>
      <c r="EP178" s="36">
        <v>0</v>
      </c>
      <c r="EQ178" s="36">
        <v>0</v>
      </c>
      <c r="ER178" s="36">
        <v>0</v>
      </c>
      <c r="ES178" s="36">
        <v>0</v>
      </c>
      <c r="ET178" s="36">
        <v>0</v>
      </c>
      <c r="EU178" s="36">
        <v>0</v>
      </c>
      <c r="EV178" s="36">
        <v>0</v>
      </c>
      <c r="EW178" s="36">
        <v>0</v>
      </c>
      <c r="EX178" s="36">
        <v>0</v>
      </c>
      <c r="EY178" s="36">
        <v>0</v>
      </c>
      <c r="EZ178" s="36">
        <v>0</v>
      </c>
      <c r="FA178" s="36">
        <v>0</v>
      </c>
      <c r="FB178" s="36">
        <v>0</v>
      </c>
      <c r="FC178" s="36">
        <v>0</v>
      </c>
      <c r="FD178" s="36">
        <v>0</v>
      </c>
      <c r="FE178" s="36">
        <v>0</v>
      </c>
      <c r="FF178" s="36">
        <v>0</v>
      </c>
      <c r="FG178" s="36">
        <v>0</v>
      </c>
      <c r="FH178" s="36">
        <v>0</v>
      </c>
      <c r="FI178" s="36">
        <v>0</v>
      </c>
      <c r="FJ178" s="36">
        <v>0</v>
      </c>
      <c r="FK178" s="36">
        <v>0</v>
      </c>
      <c r="FL178" s="36">
        <v>0</v>
      </c>
      <c r="FM178" s="36">
        <v>0</v>
      </c>
      <c r="FN178" s="36">
        <v>0</v>
      </c>
      <c r="FO178" s="36">
        <v>0</v>
      </c>
      <c r="FP178" s="36">
        <v>0</v>
      </c>
      <c r="FQ178" s="36">
        <v>0</v>
      </c>
      <c r="FR178" s="36">
        <v>0</v>
      </c>
      <c r="FS178" s="36">
        <v>0</v>
      </c>
      <c r="FT178" s="36">
        <v>0</v>
      </c>
      <c r="FU178" s="36">
        <v>0</v>
      </c>
      <c r="FV178" s="36">
        <v>0</v>
      </c>
      <c r="FW178" s="36">
        <v>0</v>
      </c>
      <c r="FX178" s="36">
        <v>0</v>
      </c>
      <c r="FY178" s="36">
        <v>0</v>
      </c>
      <c r="FZ178" s="36">
        <v>0</v>
      </c>
      <c r="GA178" s="36">
        <v>0</v>
      </c>
      <c r="GB178" s="36">
        <v>0</v>
      </c>
      <c r="GC178" s="36">
        <v>0</v>
      </c>
      <c r="GD178" s="36">
        <v>0</v>
      </c>
      <c r="GE178" s="36">
        <v>0</v>
      </c>
      <c r="GF178" s="36">
        <v>0</v>
      </c>
      <c r="GG178" s="36"/>
      <c r="GH178" s="36"/>
      <c r="GI178" s="36"/>
      <c r="GJ178" s="36"/>
      <c r="GK178" s="36"/>
      <c r="GL178" s="36"/>
      <c r="GM178" s="36"/>
      <c r="GN178" s="36"/>
      <c r="GO178" s="36"/>
      <c r="GP178" s="36"/>
      <c r="GQ178" s="36"/>
      <c r="GR178" s="36"/>
      <c r="GS178" s="36"/>
      <c r="GT178" s="36"/>
      <c r="GU178" s="36">
        <v>0</v>
      </c>
      <c r="GV178" s="36">
        <v>0</v>
      </c>
      <c r="GW178" s="36">
        <v>0</v>
      </c>
      <c r="GX178" s="36">
        <v>0</v>
      </c>
      <c r="GY178" s="36">
        <v>0</v>
      </c>
      <c r="GZ178" s="36">
        <v>0</v>
      </c>
      <c r="HA178" s="36">
        <v>0</v>
      </c>
      <c r="HB178" s="36">
        <v>1322.9355779603673</v>
      </c>
      <c r="HC178" s="36">
        <f t="shared" si="2"/>
        <v>282453.72999543149</v>
      </c>
      <c r="HD178" s="36">
        <f>SUM(FS$5:FS$213)</f>
        <v>282453.72999543149</v>
      </c>
      <c r="HE178" s="41">
        <v>0</v>
      </c>
    </row>
    <row r="179" spans="1:213" hidden="1" outlineLevel="1" x14ac:dyDescent="0.2">
      <c r="A179" s="15" t="s">
        <v>1543</v>
      </c>
      <c r="B179" s="44">
        <v>332.65794589211555</v>
      </c>
      <c r="C179" s="44">
        <v>38.967515021246591</v>
      </c>
      <c r="D179" s="44">
        <v>19.331114077615236</v>
      </c>
      <c r="E179" s="44">
        <v>342.37333177745376</v>
      </c>
      <c r="F179" s="44">
        <v>101.02570502889405</v>
      </c>
      <c r="G179" s="44">
        <v>3190.8995177513252</v>
      </c>
      <c r="H179" s="44">
        <v>55.056954979762679</v>
      </c>
      <c r="I179" s="44">
        <v>1029.9587507898873</v>
      </c>
      <c r="J179" s="44">
        <v>838.79466317760125</v>
      </c>
      <c r="K179" s="44">
        <v>38.805413769287838</v>
      </c>
      <c r="L179" s="44">
        <v>87.224011663650998</v>
      </c>
      <c r="M179" s="44">
        <v>73.774667004752317</v>
      </c>
      <c r="N179" s="44">
        <v>8.7968033947039999</v>
      </c>
      <c r="O179" s="44">
        <v>164.97425564038778</v>
      </c>
      <c r="P179" s="44">
        <v>22.447608610567805</v>
      </c>
      <c r="Q179" s="44">
        <v>369.63868711420395</v>
      </c>
      <c r="R179" s="44">
        <v>160.06334806230802</v>
      </c>
      <c r="S179" s="44">
        <v>814.27670566302663</v>
      </c>
      <c r="T179" s="44">
        <v>437.28826701531239</v>
      </c>
      <c r="U179" s="44">
        <v>2.3119112950092351</v>
      </c>
      <c r="V179" s="44">
        <v>20.518380648006946</v>
      </c>
      <c r="W179" s="44">
        <v>0</v>
      </c>
      <c r="X179" s="44">
        <v>81.120698496261838</v>
      </c>
      <c r="Y179" s="44">
        <v>333.40122632410663</v>
      </c>
      <c r="Z179" s="44">
        <v>601.12675847996695</v>
      </c>
      <c r="AA179" s="44">
        <v>418.72059189015329</v>
      </c>
      <c r="AB179" s="44">
        <v>108.30571418124983</v>
      </c>
      <c r="AC179" s="44">
        <v>201.75526993396679</v>
      </c>
      <c r="AD179" s="44">
        <v>53.661203513182663</v>
      </c>
      <c r="AE179" s="44">
        <v>586.02865214036399</v>
      </c>
      <c r="AF179" s="44">
        <v>27.563469032990234</v>
      </c>
      <c r="AG179" s="44">
        <v>39.309759780225491</v>
      </c>
      <c r="AH179" s="44">
        <v>16.453295107042283</v>
      </c>
      <c r="AI179" s="44">
        <v>373.72121085707084</v>
      </c>
      <c r="AJ179" s="44">
        <v>113.69943524532849</v>
      </c>
      <c r="AK179" s="44">
        <v>77.74958780464604</v>
      </c>
      <c r="AL179" s="44">
        <v>17221.35315114203</v>
      </c>
      <c r="AM179" s="44">
        <v>19459.686737603886</v>
      </c>
      <c r="AN179" s="44">
        <v>9091.3421299833426</v>
      </c>
      <c r="AO179" s="44">
        <v>15390.966374555514</v>
      </c>
      <c r="AP179" s="44">
        <v>694.67222508520399</v>
      </c>
      <c r="AQ179" s="44">
        <v>398.72352417669003</v>
      </c>
      <c r="AR179" s="44">
        <v>2123.4192917734817</v>
      </c>
      <c r="AS179" s="44">
        <v>1634.9668243657165</v>
      </c>
      <c r="AT179" s="44">
        <v>1436.4859369043495</v>
      </c>
      <c r="AU179" s="44">
        <v>194.3608201262812</v>
      </c>
      <c r="AV179" s="44">
        <v>407.92355266922203</v>
      </c>
      <c r="AW179" s="44">
        <v>0</v>
      </c>
      <c r="AX179" s="44">
        <v>3473.7841190026111</v>
      </c>
      <c r="AY179" s="44">
        <v>58.334769335207923</v>
      </c>
      <c r="AZ179" s="44">
        <v>287.23575281553673</v>
      </c>
      <c r="BA179" s="44">
        <v>72.891686141926954</v>
      </c>
      <c r="BB179" s="44">
        <v>35251.231339987979</v>
      </c>
      <c r="BC179" s="44">
        <v>84258.67996526316</v>
      </c>
      <c r="BD179" s="44">
        <v>7263.770217190824</v>
      </c>
      <c r="BE179" s="44">
        <v>25880.170118637365</v>
      </c>
      <c r="BF179" s="44">
        <v>165.16068612804804</v>
      </c>
      <c r="BG179" s="44">
        <v>25.236632001644004</v>
      </c>
      <c r="BH179" s="44">
        <v>1376.8425484719628</v>
      </c>
      <c r="BI179" s="44">
        <v>1496.5235353693699</v>
      </c>
      <c r="BJ179" s="44">
        <v>3831.5034255476644</v>
      </c>
      <c r="BK179" s="36">
        <v>0</v>
      </c>
      <c r="BL179" s="36">
        <v>0</v>
      </c>
      <c r="BM179" s="36">
        <v>0</v>
      </c>
      <c r="BN179" s="36">
        <v>0</v>
      </c>
      <c r="BO179" s="36">
        <v>0</v>
      </c>
      <c r="BP179" s="36">
        <v>0</v>
      </c>
      <c r="BQ179" s="36">
        <v>0</v>
      </c>
      <c r="BR179" s="36">
        <v>0</v>
      </c>
      <c r="BS179" s="36">
        <v>0</v>
      </c>
      <c r="BT179" s="36">
        <v>0</v>
      </c>
      <c r="BU179" s="36">
        <v>0</v>
      </c>
      <c r="BV179" s="36">
        <v>0</v>
      </c>
      <c r="BW179" s="36">
        <v>0</v>
      </c>
      <c r="BX179" s="36">
        <v>0</v>
      </c>
      <c r="BY179" s="36">
        <v>0</v>
      </c>
      <c r="BZ179" s="36">
        <v>0</v>
      </c>
      <c r="CA179" s="36">
        <v>0</v>
      </c>
      <c r="CB179" s="36">
        <v>0</v>
      </c>
      <c r="CC179" s="36">
        <v>0</v>
      </c>
      <c r="CD179" s="36">
        <v>0</v>
      </c>
      <c r="CE179" s="36">
        <v>0</v>
      </c>
      <c r="CF179" s="36">
        <v>0</v>
      </c>
      <c r="CG179" s="36">
        <v>0</v>
      </c>
      <c r="CH179" s="36">
        <v>0</v>
      </c>
      <c r="CI179" s="36">
        <v>0</v>
      </c>
      <c r="CJ179" s="36">
        <v>0</v>
      </c>
      <c r="CK179" s="36">
        <v>0</v>
      </c>
      <c r="CL179" s="36">
        <v>0</v>
      </c>
      <c r="CM179" s="36">
        <v>0</v>
      </c>
      <c r="CN179" s="36">
        <v>0</v>
      </c>
      <c r="CO179" s="36">
        <v>0</v>
      </c>
      <c r="CP179" s="36">
        <v>0</v>
      </c>
      <c r="CQ179" s="36">
        <v>0</v>
      </c>
      <c r="CR179" s="36">
        <v>0</v>
      </c>
      <c r="CS179" s="36">
        <v>0</v>
      </c>
      <c r="CT179" s="36">
        <v>0</v>
      </c>
      <c r="CU179" s="36">
        <v>0</v>
      </c>
      <c r="CV179" s="36">
        <v>0</v>
      </c>
      <c r="CW179" s="36">
        <v>0</v>
      </c>
      <c r="CX179" s="36">
        <v>0</v>
      </c>
      <c r="CY179" s="36">
        <v>0</v>
      </c>
      <c r="CZ179" s="36">
        <v>0</v>
      </c>
      <c r="DA179" s="36">
        <v>0</v>
      </c>
      <c r="DB179" s="36">
        <v>0</v>
      </c>
      <c r="DC179" s="36">
        <v>0</v>
      </c>
      <c r="DD179" s="36">
        <v>0</v>
      </c>
      <c r="DE179" s="36">
        <v>0</v>
      </c>
      <c r="DF179" s="36">
        <v>0</v>
      </c>
      <c r="DG179" s="36">
        <v>0</v>
      </c>
      <c r="DH179" s="36">
        <v>0</v>
      </c>
      <c r="DI179" s="36">
        <v>0</v>
      </c>
      <c r="DJ179" s="36">
        <v>0</v>
      </c>
      <c r="DK179" s="36">
        <v>0</v>
      </c>
      <c r="DL179" s="36">
        <v>0</v>
      </c>
      <c r="DM179" s="36">
        <v>0</v>
      </c>
      <c r="DN179" s="36">
        <v>0</v>
      </c>
      <c r="DO179" s="36">
        <v>0</v>
      </c>
      <c r="DP179" s="36">
        <v>0</v>
      </c>
      <c r="DQ179" s="36">
        <v>0</v>
      </c>
      <c r="DR179" s="36">
        <v>0</v>
      </c>
      <c r="DS179" s="36">
        <v>0</v>
      </c>
      <c r="DT179" s="36">
        <v>0</v>
      </c>
      <c r="DU179" s="36">
        <v>0</v>
      </c>
      <c r="DV179" s="36">
        <v>0</v>
      </c>
      <c r="DW179" s="36">
        <v>0</v>
      </c>
      <c r="DX179" s="36">
        <v>0</v>
      </c>
      <c r="DY179" s="36">
        <v>0</v>
      </c>
      <c r="DZ179" s="36">
        <v>0</v>
      </c>
      <c r="EA179" s="36">
        <v>0</v>
      </c>
      <c r="EB179" s="36">
        <v>0</v>
      </c>
      <c r="EC179" s="36">
        <v>0</v>
      </c>
      <c r="ED179" s="36">
        <v>0</v>
      </c>
      <c r="EE179" s="36">
        <v>0</v>
      </c>
      <c r="EF179" s="36">
        <v>0</v>
      </c>
      <c r="EG179" s="36">
        <v>0</v>
      </c>
      <c r="EH179" s="36">
        <v>0</v>
      </c>
      <c r="EI179" s="36">
        <v>0</v>
      </c>
      <c r="EJ179" s="36">
        <v>0</v>
      </c>
      <c r="EK179" s="36">
        <v>0</v>
      </c>
      <c r="EL179" s="36">
        <v>0</v>
      </c>
      <c r="EM179" s="36">
        <v>0</v>
      </c>
      <c r="EN179" s="36">
        <v>0</v>
      </c>
      <c r="EO179" s="36">
        <v>0</v>
      </c>
      <c r="EP179" s="36">
        <v>0</v>
      </c>
      <c r="EQ179" s="36">
        <v>0</v>
      </c>
      <c r="ER179" s="36">
        <v>0</v>
      </c>
      <c r="ES179" s="36">
        <v>0</v>
      </c>
      <c r="ET179" s="36">
        <v>0</v>
      </c>
      <c r="EU179" s="36">
        <v>0</v>
      </c>
      <c r="EV179" s="36">
        <v>0</v>
      </c>
      <c r="EW179" s="36">
        <v>0</v>
      </c>
      <c r="EX179" s="36">
        <v>0</v>
      </c>
      <c r="EY179" s="36">
        <v>0</v>
      </c>
      <c r="EZ179" s="36">
        <v>0</v>
      </c>
      <c r="FA179" s="36">
        <v>0</v>
      </c>
      <c r="FB179" s="36">
        <v>0</v>
      </c>
      <c r="FC179" s="36">
        <v>0</v>
      </c>
      <c r="FD179" s="36">
        <v>0</v>
      </c>
      <c r="FE179" s="36">
        <v>0</v>
      </c>
      <c r="FF179" s="36">
        <v>0</v>
      </c>
      <c r="FG179" s="36">
        <v>0</v>
      </c>
      <c r="FH179" s="36">
        <v>0</v>
      </c>
      <c r="FI179" s="36">
        <v>0</v>
      </c>
      <c r="FJ179" s="36">
        <v>0</v>
      </c>
      <c r="FK179" s="36">
        <v>0</v>
      </c>
      <c r="FL179" s="36">
        <v>0</v>
      </c>
      <c r="FM179" s="36">
        <v>0</v>
      </c>
      <c r="FN179" s="36">
        <v>0</v>
      </c>
      <c r="FO179" s="36">
        <v>0</v>
      </c>
      <c r="FP179" s="36">
        <v>0</v>
      </c>
      <c r="FQ179" s="36">
        <v>0</v>
      </c>
      <c r="FR179" s="36">
        <v>0</v>
      </c>
      <c r="FS179" s="36">
        <v>0</v>
      </c>
      <c r="FT179" s="36">
        <v>0</v>
      </c>
      <c r="FU179" s="36">
        <v>0</v>
      </c>
      <c r="FV179" s="36">
        <v>0</v>
      </c>
      <c r="FW179" s="36">
        <v>0</v>
      </c>
      <c r="FX179" s="36">
        <v>0</v>
      </c>
      <c r="FY179" s="36">
        <v>0</v>
      </c>
      <c r="FZ179" s="36">
        <v>0</v>
      </c>
      <c r="GA179" s="36">
        <v>0</v>
      </c>
      <c r="GB179" s="36">
        <v>0</v>
      </c>
      <c r="GC179" s="36">
        <v>0</v>
      </c>
      <c r="GD179" s="36">
        <v>0</v>
      </c>
      <c r="GE179" s="36">
        <v>0</v>
      </c>
      <c r="GF179" s="36">
        <v>0</v>
      </c>
      <c r="GG179" s="36"/>
      <c r="GH179" s="36"/>
      <c r="GI179" s="36"/>
      <c r="GJ179" s="36"/>
      <c r="GK179" s="36"/>
      <c r="GL179" s="36"/>
      <c r="GM179" s="36"/>
      <c r="GN179" s="36"/>
      <c r="GO179" s="36"/>
      <c r="GP179" s="36"/>
      <c r="GQ179" s="36"/>
      <c r="GR179" s="36"/>
      <c r="GS179" s="36"/>
      <c r="GT179" s="36"/>
      <c r="GU179" s="36">
        <v>0</v>
      </c>
      <c r="GV179" s="36">
        <v>0</v>
      </c>
      <c r="GW179" s="36">
        <v>0</v>
      </c>
      <c r="GX179" s="36">
        <v>0</v>
      </c>
      <c r="GY179" s="36">
        <v>0</v>
      </c>
      <c r="GZ179" s="36">
        <v>0</v>
      </c>
      <c r="HA179" s="36">
        <v>0</v>
      </c>
      <c r="HB179" s="36">
        <v>1141.9813599820268</v>
      </c>
      <c r="HC179" s="36">
        <f t="shared" si="2"/>
        <v>243819.04915542473</v>
      </c>
      <c r="HD179" s="36">
        <f>SUM(FT$5:FT$213)</f>
        <v>243819.04915542473</v>
      </c>
      <c r="HE179" s="41">
        <v>0</v>
      </c>
    </row>
    <row r="180" spans="1:213" hidden="1" outlineLevel="1" x14ac:dyDescent="0.2">
      <c r="A180" s="15" t="s">
        <v>1544</v>
      </c>
      <c r="B180" s="44">
        <v>2706.0129835986613</v>
      </c>
      <c r="C180" s="44">
        <v>63.064697173959608</v>
      </c>
      <c r="D180" s="44">
        <v>1778.777569303277</v>
      </c>
      <c r="E180" s="44">
        <v>0</v>
      </c>
      <c r="F180" s="44">
        <v>0</v>
      </c>
      <c r="G180" s="44">
        <v>0</v>
      </c>
      <c r="H180" s="44">
        <v>0</v>
      </c>
      <c r="I180" s="44">
        <v>141.02605255846626</v>
      </c>
      <c r="J180" s="44">
        <v>0</v>
      </c>
      <c r="K180" s="44">
        <v>0</v>
      </c>
      <c r="L180" s="44">
        <v>0</v>
      </c>
      <c r="M180" s="44">
        <v>0</v>
      </c>
      <c r="N180" s="44">
        <v>0</v>
      </c>
      <c r="O180" s="44">
        <v>27.186380161928302</v>
      </c>
      <c r="P180" s="44">
        <v>0</v>
      </c>
      <c r="Q180" s="44">
        <v>0</v>
      </c>
      <c r="R180" s="44">
        <v>0</v>
      </c>
      <c r="S180" s="44">
        <v>0</v>
      </c>
      <c r="T180" s="44">
        <v>0</v>
      </c>
      <c r="U180" s="44">
        <v>0</v>
      </c>
      <c r="V180" s="44">
        <v>0</v>
      </c>
      <c r="W180" s="44">
        <v>0</v>
      </c>
      <c r="X180" s="44">
        <v>0</v>
      </c>
      <c r="Y180" s="44">
        <v>0</v>
      </c>
      <c r="Z180" s="44">
        <v>0</v>
      </c>
      <c r="AA180" s="44">
        <v>0</v>
      </c>
      <c r="AB180" s="44">
        <v>0</v>
      </c>
      <c r="AC180" s="44">
        <v>0</v>
      </c>
      <c r="AD180" s="44">
        <v>0</v>
      </c>
      <c r="AE180" s="44">
        <v>0</v>
      </c>
      <c r="AF180" s="44">
        <v>0</v>
      </c>
      <c r="AG180" s="44">
        <v>3.6641439588322466</v>
      </c>
      <c r="AH180" s="44">
        <v>0</v>
      </c>
      <c r="AI180" s="44">
        <v>0</v>
      </c>
      <c r="AJ180" s="44">
        <v>0</v>
      </c>
      <c r="AK180" s="44">
        <v>10.969226249543794</v>
      </c>
      <c r="AL180" s="44">
        <v>46.485975677864758</v>
      </c>
      <c r="AM180" s="44">
        <v>14.617344547935614</v>
      </c>
      <c r="AN180" s="44">
        <v>0</v>
      </c>
      <c r="AO180" s="44">
        <v>6.9411223345674102</v>
      </c>
      <c r="AP180" s="44">
        <v>0</v>
      </c>
      <c r="AQ180" s="44">
        <v>0</v>
      </c>
      <c r="AR180" s="44">
        <v>0</v>
      </c>
      <c r="AS180" s="44">
        <v>48.349376432605709</v>
      </c>
      <c r="AT180" s="44">
        <v>0</v>
      </c>
      <c r="AU180" s="44">
        <v>0</v>
      </c>
      <c r="AV180" s="44">
        <v>0</v>
      </c>
      <c r="AW180" s="44">
        <v>0</v>
      </c>
      <c r="AX180" s="44">
        <v>0</v>
      </c>
      <c r="AY180" s="44">
        <v>0</v>
      </c>
      <c r="AZ180" s="44">
        <v>0</v>
      </c>
      <c r="BA180" s="44">
        <v>0</v>
      </c>
      <c r="BB180" s="44">
        <v>42.048328041783193</v>
      </c>
      <c r="BC180" s="44">
        <v>23.552867359673083</v>
      </c>
      <c r="BD180" s="44">
        <v>28.684211856753993</v>
      </c>
      <c r="BE180" s="44">
        <v>6.180840107745496</v>
      </c>
      <c r="BF180" s="44">
        <v>5.9165203479553856</v>
      </c>
      <c r="BG180" s="44">
        <v>0</v>
      </c>
      <c r="BH180" s="44">
        <v>60.247138969625347</v>
      </c>
      <c r="BI180" s="44">
        <v>0</v>
      </c>
      <c r="BJ180" s="44">
        <v>0</v>
      </c>
      <c r="BK180" s="36">
        <v>0</v>
      </c>
      <c r="BL180" s="36">
        <v>0</v>
      </c>
      <c r="BM180" s="36">
        <v>0</v>
      </c>
      <c r="BN180" s="36">
        <v>0</v>
      </c>
      <c r="BO180" s="36">
        <v>0</v>
      </c>
      <c r="BP180" s="36">
        <v>0</v>
      </c>
      <c r="BQ180" s="36">
        <v>0</v>
      </c>
      <c r="BR180" s="36">
        <v>0</v>
      </c>
      <c r="BS180" s="36">
        <v>0</v>
      </c>
      <c r="BT180" s="36">
        <v>0</v>
      </c>
      <c r="BU180" s="36">
        <v>0</v>
      </c>
      <c r="BV180" s="36">
        <v>0</v>
      </c>
      <c r="BW180" s="36">
        <v>0</v>
      </c>
      <c r="BX180" s="36">
        <v>0</v>
      </c>
      <c r="BY180" s="36">
        <v>0</v>
      </c>
      <c r="BZ180" s="36">
        <v>0</v>
      </c>
      <c r="CA180" s="36">
        <v>0</v>
      </c>
      <c r="CB180" s="36">
        <v>0</v>
      </c>
      <c r="CC180" s="36">
        <v>0</v>
      </c>
      <c r="CD180" s="36">
        <v>0</v>
      </c>
      <c r="CE180" s="36">
        <v>0</v>
      </c>
      <c r="CF180" s="36">
        <v>0</v>
      </c>
      <c r="CG180" s="36">
        <v>0</v>
      </c>
      <c r="CH180" s="36">
        <v>0</v>
      </c>
      <c r="CI180" s="36">
        <v>0</v>
      </c>
      <c r="CJ180" s="36">
        <v>0</v>
      </c>
      <c r="CK180" s="36">
        <v>0</v>
      </c>
      <c r="CL180" s="36">
        <v>0</v>
      </c>
      <c r="CM180" s="36">
        <v>0</v>
      </c>
      <c r="CN180" s="36">
        <v>0</v>
      </c>
      <c r="CO180" s="36">
        <v>0</v>
      </c>
      <c r="CP180" s="36">
        <v>0</v>
      </c>
      <c r="CQ180" s="36">
        <v>0</v>
      </c>
      <c r="CR180" s="36">
        <v>0</v>
      </c>
      <c r="CS180" s="36">
        <v>0</v>
      </c>
      <c r="CT180" s="36">
        <v>0</v>
      </c>
      <c r="CU180" s="36">
        <v>0</v>
      </c>
      <c r="CV180" s="36">
        <v>0</v>
      </c>
      <c r="CW180" s="36">
        <v>0</v>
      </c>
      <c r="CX180" s="36">
        <v>0</v>
      </c>
      <c r="CY180" s="36">
        <v>0</v>
      </c>
      <c r="CZ180" s="36">
        <v>0</v>
      </c>
      <c r="DA180" s="36">
        <v>0</v>
      </c>
      <c r="DB180" s="36">
        <v>0</v>
      </c>
      <c r="DC180" s="36">
        <v>0</v>
      </c>
      <c r="DD180" s="36">
        <v>0</v>
      </c>
      <c r="DE180" s="36">
        <v>0</v>
      </c>
      <c r="DF180" s="36">
        <v>0</v>
      </c>
      <c r="DG180" s="36">
        <v>0</v>
      </c>
      <c r="DH180" s="36">
        <v>0</v>
      </c>
      <c r="DI180" s="36">
        <v>0</v>
      </c>
      <c r="DJ180" s="36">
        <v>0</v>
      </c>
      <c r="DK180" s="36">
        <v>0</v>
      </c>
      <c r="DL180" s="36">
        <v>0</v>
      </c>
      <c r="DM180" s="36">
        <v>0</v>
      </c>
      <c r="DN180" s="36">
        <v>0</v>
      </c>
      <c r="DO180" s="36">
        <v>0</v>
      </c>
      <c r="DP180" s="36">
        <v>0</v>
      </c>
      <c r="DQ180" s="36">
        <v>0</v>
      </c>
      <c r="DR180" s="36">
        <v>0</v>
      </c>
      <c r="DS180" s="36">
        <v>0</v>
      </c>
      <c r="DT180" s="36">
        <v>0</v>
      </c>
      <c r="DU180" s="36">
        <v>0</v>
      </c>
      <c r="DV180" s="36">
        <v>0</v>
      </c>
      <c r="DW180" s="36">
        <v>0</v>
      </c>
      <c r="DX180" s="36">
        <v>0</v>
      </c>
      <c r="DY180" s="36">
        <v>0</v>
      </c>
      <c r="DZ180" s="36">
        <v>0</v>
      </c>
      <c r="EA180" s="36">
        <v>0</v>
      </c>
      <c r="EB180" s="36">
        <v>0</v>
      </c>
      <c r="EC180" s="36">
        <v>0</v>
      </c>
      <c r="ED180" s="36">
        <v>0</v>
      </c>
      <c r="EE180" s="36">
        <v>0</v>
      </c>
      <c r="EF180" s="36">
        <v>0</v>
      </c>
      <c r="EG180" s="36">
        <v>0</v>
      </c>
      <c r="EH180" s="36">
        <v>0</v>
      </c>
      <c r="EI180" s="36">
        <v>0</v>
      </c>
      <c r="EJ180" s="36">
        <v>0</v>
      </c>
      <c r="EK180" s="36">
        <v>0</v>
      </c>
      <c r="EL180" s="36">
        <v>0</v>
      </c>
      <c r="EM180" s="36">
        <v>0</v>
      </c>
      <c r="EN180" s="36">
        <v>0</v>
      </c>
      <c r="EO180" s="36">
        <v>0</v>
      </c>
      <c r="EP180" s="36">
        <v>0</v>
      </c>
      <c r="EQ180" s="36">
        <v>0</v>
      </c>
      <c r="ER180" s="36">
        <v>0</v>
      </c>
      <c r="ES180" s="36">
        <v>0</v>
      </c>
      <c r="ET180" s="36">
        <v>0</v>
      </c>
      <c r="EU180" s="36">
        <v>0</v>
      </c>
      <c r="EV180" s="36">
        <v>0</v>
      </c>
      <c r="EW180" s="36">
        <v>0</v>
      </c>
      <c r="EX180" s="36">
        <v>0</v>
      </c>
      <c r="EY180" s="36">
        <v>0</v>
      </c>
      <c r="EZ180" s="36">
        <v>0</v>
      </c>
      <c r="FA180" s="36">
        <v>0</v>
      </c>
      <c r="FB180" s="36">
        <v>0</v>
      </c>
      <c r="FC180" s="36">
        <v>0</v>
      </c>
      <c r="FD180" s="36">
        <v>0</v>
      </c>
      <c r="FE180" s="36">
        <v>0</v>
      </c>
      <c r="FF180" s="36">
        <v>0</v>
      </c>
      <c r="FG180" s="36">
        <v>0</v>
      </c>
      <c r="FH180" s="36">
        <v>0</v>
      </c>
      <c r="FI180" s="36">
        <v>0</v>
      </c>
      <c r="FJ180" s="36">
        <v>0</v>
      </c>
      <c r="FK180" s="36">
        <v>0</v>
      </c>
      <c r="FL180" s="36">
        <v>0</v>
      </c>
      <c r="FM180" s="36">
        <v>0</v>
      </c>
      <c r="FN180" s="36">
        <v>0</v>
      </c>
      <c r="FO180" s="36">
        <v>0</v>
      </c>
      <c r="FP180" s="36">
        <v>0</v>
      </c>
      <c r="FQ180" s="36">
        <v>0</v>
      </c>
      <c r="FR180" s="36">
        <v>0</v>
      </c>
      <c r="FS180" s="36">
        <v>0</v>
      </c>
      <c r="FT180" s="36">
        <v>0</v>
      </c>
      <c r="FU180" s="36">
        <v>0</v>
      </c>
      <c r="FV180" s="36">
        <v>0</v>
      </c>
      <c r="FW180" s="36">
        <v>0</v>
      </c>
      <c r="FX180" s="36">
        <v>0</v>
      </c>
      <c r="FY180" s="36">
        <v>0</v>
      </c>
      <c r="FZ180" s="36">
        <v>0</v>
      </c>
      <c r="GA180" s="36">
        <v>0</v>
      </c>
      <c r="GB180" s="36">
        <v>0</v>
      </c>
      <c r="GC180" s="36">
        <v>0</v>
      </c>
      <c r="GD180" s="36">
        <v>0</v>
      </c>
      <c r="GE180" s="36">
        <v>0</v>
      </c>
      <c r="GF180" s="36">
        <v>0</v>
      </c>
      <c r="GG180" s="36"/>
      <c r="GH180" s="36"/>
      <c r="GI180" s="36"/>
      <c r="GJ180" s="36"/>
      <c r="GK180" s="36"/>
      <c r="GL180" s="36"/>
      <c r="GM180" s="36"/>
      <c r="GN180" s="36"/>
      <c r="GO180" s="36"/>
      <c r="GP180" s="36"/>
      <c r="GQ180" s="36"/>
      <c r="GR180" s="36"/>
      <c r="GS180" s="36"/>
      <c r="GT180" s="36"/>
      <c r="GU180" s="36">
        <v>0</v>
      </c>
      <c r="GV180" s="36">
        <v>0</v>
      </c>
      <c r="GW180" s="36">
        <v>0</v>
      </c>
      <c r="GX180" s="36">
        <v>0</v>
      </c>
      <c r="GY180" s="36">
        <v>0</v>
      </c>
      <c r="GZ180" s="36">
        <v>0</v>
      </c>
      <c r="HA180" s="36">
        <v>0</v>
      </c>
      <c r="HB180" s="36">
        <v>23.59341281542153</v>
      </c>
      <c r="HC180" s="36">
        <f t="shared" si="2"/>
        <v>5037.318191496599</v>
      </c>
      <c r="HD180" s="36">
        <f>SUM(FU$5:FU$213)</f>
        <v>5037.318191496599</v>
      </c>
      <c r="HE180" s="41">
        <v>0</v>
      </c>
    </row>
    <row r="181" spans="1:213" hidden="1" outlineLevel="1" x14ac:dyDescent="0.2">
      <c r="A181" s="15" t="s">
        <v>1545</v>
      </c>
      <c r="B181" s="44">
        <v>715.85971051745446</v>
      </c>
      <c r="C181" s="44">
        <v>10.661073232781645</v>
      </c>
      <c r="D181" s="44">
        <v>51.107999194160584</v>
      </c>
      <c r="E181" s="44">
        <v>7153.5255482610846</v>
      </c>
      <c r="F181" s="44">
        <v>2746.4590807440231</v>
      </c>
      <c r="G181" s="44">
        <v>27772.505299860401</v>
      </c>
      <c r="H181" s="44">
        <v>3768.6915438181513</v>
      </c>
      <c r="I181" s="44">
        <v>8667.9529159571721</v>
      </c>
      <c r="J181" s="44">
        <v>789.58866030537138</v>
      </c>
      <c r="K181" s="44">
        <v>979.77723889517301</v>
      </c>
      <c r="L181" s="44">
        <v>1382.7508774897594</v>
      </c>
      <c r="M181" s="44">
        <v>159.52487898825225</v>
      </c>
      <c r="N181" s="44">
        <v>305.40576806078224</v>
      </c>
      <c r="O181" s="44">
        <v>1925.468446505809</v>
      </c>
      <c r="P181" s="44">
        <v>1216.1801646984693</v>
      </c>
      <c r="Q181" s="44">
        <v>1942.5679623567057</v>
      </c>
      <c r="R181" s="44">
        <v>2927.4080319253403</v>
      </c>
      <c r="S181" s="44">
        <v>673.59455146801986</v>
      </c>
      <c r="T181" s="44">
        <v>893.86704189047441</v>
      </c>
      <c r="U181" s="44">
        <v>628.38056570784227</v>
      </c>
      <c r="V181" s="44">
        <v>1747.6153900093564</v>
      </c>
      <c r="W181" s="44">
        <v>126.48717519165363</v>
      </c>
      <c r="X181" s="44">
        <v>2388.2929338777371</v>
      </c>
      <c r="Y181" s="44">
        <v>4257.7781908479355</v>
      </c>
      <c r="Z181" s="44">
        <v>11040.72808455861</v>
      </c>
      <c r="AA181" s="44">
        <v>8722.6110047522343</v>
      </c>
      <c r="AB181" s="44">
        <v>2735.2769708870601</v>
      </c>
      <c r="AC181" s="44">
        <v>147.48349455577309</v>
      </c>
      <c r="AD181" s="44">
        <v>258.08183472379091</v>
      </c>
      <c r="AE181" s="44">
        <v>4501.3314228093386</v>
      </c>
      <c r="AF181" s="44">
        <v>1063.5144485665214</v>
      </c>
      <c r="AG181" s="44">
        <v>469.53374338276325</v>
      </c>
      <c r="AH181" s="44">
        <v>608.60833120791358</v>
      </c>
      <c r="AI181" s="44">
        <v>6303.1936350685592</v>
      </c>
      <c r="AJ181" s="44">
        <v>1126.1219205026732</v>
      </c>
      <c r="AK181" s="44">
        <v>37150.91459870441</v>
      </c>
      <c r="AL181" s="44">
        <v>5203.9858173858893</v>
      </c>
      <c r="AM181" s="44">
        <v>5287.1736421508394</v>
      </c>
      <c r="AN181" s="44">
        <v>17829.82837657048</v>
      </c>
      <c r="AO181" s="44">
        <v>309.07113518823428</v>
      </c>
      <c r="AP181" s="44">
        <v>2427.9582189206271</v>
      </c>
      <c r="AQ181" s="44">
        <v>4.2390067553226256</v>
      </c>
      <c r="AR181" s="44">
        <v>419.2215245317355</v>
      </c>
      <c r="AS181" s="44">
        <v>309.57578027046605</v>
      </c>
      <c r="AT181" s="44">
        <v>1546.5366104269146</v>
      </c>
      <c r="AU181" s="44">
        <v>202.32622043301814</v>
      </c>
      <c r="AV181" s="44">
        <v>41.959803275241505</v>
      </c>
      <c r="AW181" s="44">
        <v>0</v>
      </c>
      <c r="AX181" s="44">
        <v>24.770357952519319</v>
      </c>
      <c r="AY181" s="44">
        <v>354.22803840851731</v>
      </c>
      <c r="AZ181" s="44">
        <v>2422.0213781534871</v>
      </c>
      <c r="BA181" s="44">
        <v>0.65384297987972906</v>
      </c>
      <c r="BB181" s="44">
        <v>9029.2075544643594</v>
      </c>
      <c r="BC181" s="44">
        <v>3242.455461701933</v>
      </c>
      <c r="BD181" s="44">
        <v>419.67504700878862</v>
      </c>
      <c r="BE181" s="44">
        <v>438.31110189903791</v>
      </c>
      <c r="BF181" s="44">
        <v>143.35803381720027</v>
      </c>
      <c r="BG181" s="44">
        <v>15.608877235308334</v>
      </c>
      <c r="BH181" s="44">
        <v>561.52352734244539</v>
      </c>
      <c r="BI181" s="44">
        <v>33.840972961827234</v>
      </c>
      <c r="BJ181" s="44">
        <v>107.15179294635881</v>
      </c>
      <c r="BK181" s="36">
        <v>0</v>
      </c>
      <c r="BL181" s="36">
        <v>0</v>
      </c>
      <c r="BM181" s="36">
        <v>0</v>
      </c>
      <c r="BN181" s="36">
        <v>0</v>
      </c>
      <c r="BO181" s="36">
        <v>0</v>
      </c>
      <c r="BP181" s="36">
        <v>0</v>
      </c>
      <c r="BQ181" s="36">
        <v>0</v>
      </c>
      <c r="BR181" s="36">
        <v>0</v>
      </c>
      <c r="BS181" s="36">
        <v>0</v>
      </c>
      <c r="BT181" s="36">
        <v>0</v>
      </c>
      <c r="BU181" s="36">
        <v>0</v>
      </c>
      <c r="BV181" s="36">
        <v>0</v>
      </c>
      <c r="BW181" s="36">
        <v>0</v>
      </c>
      <c r="BX181" s="36">
        <v>0</v>
      </c>
      <c r="BY181" s="36">
        <v>0</v>
      </c>
      <c r="BZ181" s="36">
        <v>0</v>
      </c>
      <c r="CA181" s="36">
        <v>0</v>
      </c>
      <c r="CB181" s="36">
        <v>0</v>
      </c>
      <c r="CC181" s="36">
        <v>0</v>
      </c>
      <c r="CD181" s="36">
        <v>0</v>
      </c>
      <c r="CE181" s="36">
        <v>0</v>
      </c>
      <c r="CF181" s="36">
        <v>0</v>
      </c>
      <c r="CG181" s="36">
        <v>0</v>
      </c>
      <c r="CH181" s="36">
        <v>0</v>
      </c>
      <c r="CI181" s="36">
        <v>0</v>
      </c>
      <c r="CJ181" s="36">
        <v>0</v>
      </c>
      <c r="CK181" s="36">
        <v>0</v>
      </c>
      <c r="CL181" s="36">
        <v>0</v>
      </c>
      <c r="CM181" s="36">
        <v>0</v>
      </c>
      <c r="CN181" s="36">
        <v>0</v>
      </c>
      <c r="CO181" s="36">
        <v>0</v>
      </c>
      <c r="CP181" s="36">
        <v>0</v>
      </c>
      <c r="CQ181" s="36">
        <v>0</v>
      </c>
      <c r="CR181" s="36">
        <v>0</v>
      </c>
      <c r="CS181" s="36">
        <v>0</v>
      </c>
      <c r="CT181" s="36">
        <v>0</v>
      </c>
      <c r="CU181" s="36">
        <v>0</v>
      </c>
      <c r="CV181" s="36">
        <v>0</v>
      </c>
      <c r="CW181" s="36">
        <v>0</v>
      </c>
      <c r="CX181" s="36">
        <v>0</v>
      </c>
      <c r="CY181" s="36">
        <v>0</v>
      </c>
      <c r="CZ181" s="36">
        <v>0</v>
      </c>
      <c r="DA181" s="36">
        <v>0</v>
      </c>
      <c r="DB181" s="36">
        <v>0</v>
      </c>
      <c r="DC181" s="36">
        <v>0</v>
      </c>
      <c r="DD181" s="36">
        <v>0</v>
      </c>
      <c r="DE181" s="36">
        <v>0</v>
      </c>
      <c r="DF181" s="36">
        <v>0</v>
      </c>
      <c r="DG181" s="36">
        <v>0</v>
      </c>
      <c r="DH181" s="36">
        <v>0</v>
      </c>
      <c r="DI181" s="36">
        <v>0</v>
      </c>
      <c r="DJ181" s="36">
        <v>0</v>
      </c>
      <c r="DK181" s="36">
        <v>0</v>
      </c>
      <c r="DL181" s="36">
        <v>0</v>
      </c>
      <c r="DM181" s="36">
        <v>0</v>
      </c>
      <c r="DN181" s="36">
        <v>0</v>
      </c>
      <c r="DO181" s="36">
        <v>0</v>
      </c>
      <c r="DP181" s="36">
        <v>0</v>
      </c>
      <c r="DQ181" s="36">
        <v>0</v>
      </c>
      <c r="DR181" s="36">
        <v>0</v>
      </c>
      <c r="DS181" s="36">
        <v>0</v>
      </c>
      <c r="DT181" s="36">
        <v>0</v>
      </c>
      <c r="DU181" s="36">
        <v>0</v>
      </c>
      <c r="DV181" s="36">
        <v>0</v>
      </c>
      <c r="DW181" s="36">
        <v>0</v>
      </c>
      <c r="DX181" s="36">
        <v>0</v>
      </c>
      <c r="DY181" s="36">
        <v>0</v>
      </c>
      <c r="DZ181" s="36">
        <v>0</v>
      </c>
      <c r="EA181" s="36">
        <v>0</v>
      </c>
      <c r="EB181" s="36">
        <v>0</v>
      </c>
      <c r="EC181" s="36">
        <v>0</v>
      </c>
      <c r="ED181" s="36">
        <v>0</v>
      </c>
      <c r="EE181" s="36">
        <v>0</v>
      </c>
      <c r="EF181" s="36">
        <v>0</v>
      </c>
      <c r="EG181" s="36">
        <v>0</v>
      </c>
      <c r="EH181" s="36">
        <v>0</v>
      </c>
      <c r="EI181" s="36">
        <v>0</v>
      </c>
      <c r="EJ181" s="36">
        <v>0</v>
      </c>
      <c r="EK181" s="36">
        <v>0</v>
      </c>
      <c r="EL181" s="36">
        <v>0</v>
      </c>
      <c r="EM181" s="36">
        <v>0</v>
      </c>
      <c r="EN181" s="36">
        <v>0</v>
      </c>
      <c r="EO181" s="36">
        <v>0</v>
      </c>
      <c r="EP181" s="36">
        <v>0</v>
      </c>
      <c r="EQ181" s="36">
        <v>0</v>
      </c>
      <c r="ER181" s="36">
        <v>0</v>
      </c>
      <c r="ES181" s="36">
        <v>0</v>
      </c>
      <c r="ET181" s="36">
        <v>0</v>
      </c>
      <c r="EU181" s="36">
        <v>0</v>
      </c>
      <c r="EV181" s="36">
        <v>0</v>
      </c>
      <c r="EW181" s="36">
        <v>0</v>
      </c>
      <c r="EX181" s="36">
        <v>0</v>
      </c>
      <c r="EY181" s="36">
        <v>0</v>
      </c>
      <c r="EZ181" s="36">
        <v>0</v>
      </c>
      <c r="FA181" s="36">
        <v>0</v>
      </c>
      <c r="FB181" s="36">
        <v>0</v>
      </c>
      <c r="FC181" s="36">
        <v>0</v>
      </c>
      <c r="FD181" s="36">
        <v>0</v>
      </c>
      <c r="FE181" s="36">
        <v>0</v>
      </c>
      <c r="FF181" s="36">
        <v>0</v>
      </c>
      <c r="FG181" s="36">
        <v>0</v>
      </c>
      <c r="FH181" s="36">
        <v>0</v>
      </c>
      <c r="FI181" s="36">
        <v>0</v>
      </c>
      <c r="FJ181" s="36">
        <v>0</v>
      </c>
      <c r="FK181" s="36">
        <v>0</v>
      </c>
      <c r="FL181" s="36">
        <v>0</v>
      </c>
      <c r="FM181" s="36">
        <v>0</v>
      </c>
      <c r="FN181" s="36">
        <v>0</v>
      </c>
      <c r="FO181" s="36">
        <v>0</v>
      </c>
      <c r="FP181" s="36">
        <v>0</v>
      </c>
      <c r="FQ181" s="36">
        <v>0</v>
      </c>
      <c r="FR181" s="36">
        <v>0</v>
      </c>
      <c r="FS181" s="36">
        <v>0</v>
      </c>
      <c r="FT181" s="36">
        <v>0</v>
      </c>
      <c r="FU181" s="36">
        <v>0</v>
      </c>
      <c r="FV181" s="36">
        <v>0</v>
      </c>
      <c r="FW181" s="36">
        <v>0</v>
      </c>
      <c r="FX181" s="36">
        <v>0</v>
      </c>
      <c r="FY181" s="36">
        <v>0</v>
      </c>
      <c r="FZ181" s="36">
        <v>0</v>
      </c>
      <c r="GA181" s="36">
        <v>0</v>
      </c>
      <c r="GB181" s="36">
        <v>0</v>
      </c>
      <c r="GC181" s="36">
        <v>0</v>
      </c>
      <c r="GD181" s="36">
        <v>0</v>
      </c>
      <c r="GE181" s="36">
        <v>0</v>
      </c>
      <c r="GF181" s="36">
        <v>0</v>
      </c>
      <c r="GG181" s="36"/>
      <c r="GH181" s="36"/>
      <c r="GI181" s="36"/>
      <c r="GJ181" s="36"/>
      <c r="GK181" s="36"/>
      <c r="GL181" s="36"/>
      <c r="GM181" s="36"/>
      <c r="GN181" s="36"/>
      <c r="GO181" s="36"/>
      <c r="GP181" s="36"/>
      <c r="GQ181" s="36"/>
      <c r="GR181" s="36"/>
      <c r="GS181" s="36"/>
      <c r="GT181" s="36"/>
      <c r="GU181" s="36">
        <v>0</v>
      </c>
      <c r="GV181" s="36">
        <v>0</v>
      </c>
      <c r="GW181" s="36">
        <v>0</v>
      </c>
      <c r="GX181" s="36">
        <v>0</v>
      </c>
      <c r="GY181" s="36">
        <v>0</v>
      </c>
      <c r="GZ181" s="36">
        <v>0</v>
      </c>
      <c r="HA181" s="36">
        <v>0</v>
      </c>
      <c r="HB181" s="36">
        <v>930.48762536593074</v>
      </c>
      <c r="HC181" s="36">
        <f t="shared" si="2"/>
        <v>198664.02028766993</v>
      </c>
      <c r="HD181" s="36">
        <f>SUM(FV$5:FV$213)</f>
        <v>198664.0202876699</v>
      </c>
      <c r="HE181" s="41">
        <v>0</v>
      </c>
    </row>
    <row r="182" spans="1:213" hidden="1" outlineLevel="1" x14ac:dyDescent="0.2">
      <c r="A182" s="15" t="s">
        <v>1546</v>
      </c>
      <c r="B182" s="44">
        <v>2600.7250604017722</v>
      </c>
      <c r="C182" s="44">
        <v>159.7067648977002</v>
      </c>
      <c r="D182" s="44">
        <v>36.288809418422169</v>
      </c>
      <c r="E182" s="44">
        <v>5483.1458321071541</v>
      </c>
      <c r="F182" s="44">
        <v>2493.9901005121346</v>
      </c>
      <c r="G182" s="44">
        <v>21591.175242320605</v>
      </c>
      <c r="H182" s="44">
        <v>2768.6123979994641</v>
      </c>
      <c r="I182" s="44">
        <v>6564.2864470696186</v>
      </c>
      <c r="J182" s="44">
        <v>1988.4301185533357</v>
      </c>
      <c r="K182" s="44">
        <v>1314.6474003575897</v>
      </c>
      <c r="L182" s="44">
        <v>1667.6249900563676</v>
      </c>
      <c r="M182" s="44">
        <v>506.64790428555966</v>
      </c>
      <c r="N182" s="44">
        <v>110.44387915946344</v>
      </c>
      <c r="O182" s="44">
        <v>1124.2578820329697</v>
      </c>
      <c r="P182" s="44">
        <v>1803.3540362004655</v>
      </c>
      <c r="Q182" s="44">
        <v>1853.6170395314971</v>
      </c>
      <c r="R182" s="44">
        <v>2754.0249873864054</v>
      </c>
      <c r="S182" s="44">
        <v>1931.1259974392499</v>
      </c>
      <c r="T182" s="44">
        <v>2822.0925208773701</v>
      </c>
      <c r="U182" s="44">
        <v>1257.6219548734257</v>
      </c>
      <c r="V182" s="44">
        <v>2338.2056075758169</v>
      </c>
      <c r="W182" s="44">
        <v>439.59739036409769</v>
      </c>
      <c r="X182" s="44">
        <v>1665.0892983316505</v>
      </c>
      <c r="Y182" s="44">
        <v>4342.2180418177504</v>
      </c>
      <c r="Z182" s="44">
        <v>2563.2589426625045</v>
      </c>
      <c r="AA182" s="44">
        <v>2836.3953261470269</v>
      </c>
      <c r="AB182" s="44">
        <v>1583.8393290919357</v>
      </c>
      <c r="AC182" s="44">
        <v>63.548249307060857</v>
      </c>
      <c r="AD182" s="44">
        <v>510.29364901969666</v>
      </c>
      <c r="AE182" s="44">
        <v>5542.7918266938568</v>
      </c>
      <c r="AF182" s="44">
        <v>311.59129217258334</v>
      </c>
      <c r="AG182" s="44">
        <v>162.10371596368608</v>
      </c>
      <c r="AH182" s="44">
        <v>855.38249875287931</v>
      </c>
      <c r="AI182" s="44">
        <v>2079.7490251059671</v>
      </c>
      <c r="AJ182" s="44">
        <v>6728.9051783490695</v>
      </c>
      <c r="AK182" s="44">
        <v>1979.9716459941078</v>
      </c>
      <c r="AL182" s="44">
        <v>9132.7719546292192</v>
      </c>
      <c r="AM182" s="44">
        <v>1905.0797263083407</v>
      </c>
      <c r="AN182" s="44">
        <v>897.79979896814791</v>
      </c>
      <c r="AO182" s="44">
        <v>608.72586973656223</v>
      </c>
      <c r="AP182" s="44">
        <v>21476.438173846705</v>
      </c>
      <c r="AQ182" s="44">
        <v>43.240212700495753</v>
      </c>
      <c r="AR182" s="44">
        <v>670.19779916616289</v>
      </c>
      <c r="AS182" s="44">
        <v>2367.9807533979424</v>
      </c>
      <c r="AT182" s="44">
        <v>3165.2827440681122</v>
      </c>
      <c r="AU182" s="44">
        <v>417.38636024601863</v>
      </c>
      <c r="AV182" s="44">
        <v>31.811395885384105</v>
      </c>
      <c r="AW182" s="44">
        <v>0</v>
      </c>
      <c r="AX182" s="44">
        <v>130.33597619662265</v>
      </c>
      <c r="AY182" s="44">
        <v>913.79047353153499</v>
      </c>
      <c r="AZ182" s="44">
        <v>60.167146416683259</v>
      </c>
      <c r="BA182" s="44">
        <v>19.306942994311864</v>
      </c>
      <c r="BB182" s="44">
        <v>2949.7235876739446</v>
      </c>
      <c r="BC182" s="44">
        <v>3925.1879175553422</v>
      </c>
      <c r="BD182" s="44">
        <v>834.63244231464625</v>
      </c>
      <c r="BE182" s="44">
        <v>1012.3616772219368</v>
      </c>
      <c r="BF182" s="44">
        <v>1055.5715437193783</v>
      </c>
      <c r="BG182" s="44">
        <v>8.7092251284135429</v>
      </c>
      <c r="BH182" s="44">
        <v>138.64746970280859</v>
      </c>
      <c r="BI182" s="44">
        <v>60.397574752579189</v>
      </c>
      <c r="BJ182" s="44">
        <v>628.16603498243808</v>
      </c>
      <c r="BK182" s="36">
        <v>0</v>
      </c>
      <c r="BL182" s="36">
        <v>0</v>
      </c>
      <c r="BM182" s="36">
        <v>0</v>
      </c>
      <c r="BN182" s="36">
        <v>0</v>
      </c>
      <c r="BO182" s="36">
        <v>0</v>
      </c>
      <c r="BP182" s="36">
        <v>0</v>
      </c>
      <c r="BQ182" s="36">
        <v>0</v>
      </c>
      <c r="BR182" s="36">
        <v>0</v>
      </c>
      <c r="BS182" s="36">
        <v>0</v>
      </c>
      <c r="BT182" s="36">
        <v>0</v>
      </c>
      <c r="BU182" s="36">
        <v>0</v>
      </c>
      <c r="BV182" s="36">
        <v>0</v>
      </c>
      <c r="BW182" s="36">
        <v>0</v>
      </c>
      <c r="BX182" s="36">
        <v>0</v>
      </c>
      <c r="BY182" s="36">
        <v>0</v>
      </c>
      <c r="BZ182" s="36">
        <v>0</v>
      </c>
      <c r="CA182" s="36">
        <v>0</v>
      </c>
      <c r="CB182" s="36">
        <v>0</v>
      </c>
      <c r="CC182" s="36">
        <v>0</v>
      </c>
      <c r="CD182" s="36">
        <v>0</v>
      </c>
      <c r="CE182" s="36">
        <v>0</v>
      </c>
      <c r="CF182" s="36">
        <v>0</v>
      </c>
      <c r="CG182" s="36">
        <v>0</v>
      </c>
      <c r="CH182" s="36">
        <v>0</v>
      </c>
      <c r="CI182" s="36">
        <v>0</v>
      </c>
      <c r="CJ182" s="36">
        <v>0</v>
      </c>
      <c r="CK182" s="36">
        <v>0</v>
      </c>
      <c r="CL182" s="36">
        <v>0</v>
      </c>
      <c r="CM182" s="36">
        <v>0</v>
      </c>
      <c r="CN182" s="36">
        <v>0</v>
      </c>
      <c r="CO182" s="36">
        <v>0</v>
      </c>
      <c r="CP182" s="36">
        <v>0</v>
      </c>
      <c r="CQ182" s="36">
        <v>0</v>
      </c>
      <c r="CR182" s="36">
        <v>0</v>
      </c>
      <c r="CS182" s="36">
        <v>0</v>
      </c>
      <c r="CT182" s="36">
        <v>0</v>
      </c>
      <c r="CU182" s="36">
        <v>0</v>
      </c>
      <c r="CV182" s="36">
        <v>0</v>
      </c>
      <c r="CW182" s="36">
        <v>0</v>
      </c>
      <c r="CX182" s="36">
        <v>0</v>
      </c>
      <c r="CY182" s="36">
        <v>0</v>
      </c>
      <c r="CZ182" s="36">
        <v>0</v>
      </c>
      <c r="DA182" s="36">
        <v>0</v>
      </c>
      <c r="DB182" s="36">
        <v>0</v>
      </c>
      <c r="DC182" s="36">
        <v>0</v>
      </c>
      <c r="DD182" s="36">
        <v>0</v>
      </c>
      <c r="DE182" s="36">
        <v>0</v>
      </c>
      <c r="DF182" s="36">
        <v>0</v>
      </c>
      <c r="DG182" s="36">
        <v>0</v>
      </c>
      <c r="DH182" s="36">
        <v>0</v>
      </c>
      <c r="DI182" s="36">
        <v>0</v>
      </c>
      <c r="DJ182" s="36">
        <v>0</v>
      </c>
      <c r="DK182" s="36">
        <v>0</v>
      </c>
      <c r="DL182" s="36">
        <v>0</v>
      </c>
      <c r="DM182" s="36">
        <v>0</v>
      </c>
      <c r="DN182" s="36">
        <v>0</v>
      </c>
      <c r="DO182" s="36">
        <v>0</v>
      </c>
      <c r="DP182" s="36">
        <v>0</v>
      </c>
      <c r="DQ182" s="36">
        <v>0</v>
      </c>
      <c r="DR182" s="36">
        <v>0</v>
      </c>
      <c r="DS182" s="36">
        <v>0</v>
      </c>
      <c r="DT182" s="36">
        <v>0</v>
      </c>
      <c r="DU182" s="36">
        <v>0</v>
      </c>
      <c r="DV182" s="36">
        <v>0</v>
      </c>
      <c r="DW182" s="36">
        <v>0</v>
      </c>
      <c r="DX182" s="36">
        <v>0</v>
      </c>
      <c r="DY182" s="36">
        <v>0</v>
      </c>
      <c r="DZ182" s="36">
        <v>0</v>
      </c>
      <c r="EA182" s="36">
        <v>0</v>
      </c>
      <c r="EB182" s="36">
        <v>0</v>
      </c>
      <c r="EC182" s="36">
        <v>0</v>
      </c>
      <c r="ED182" s="36">
        <v>0</v>
      </c>
      <c r="EE182" s="36">
        <v>0</v>
      </c>
      <c r="EF182" s="36">
        <v>0</v>
      </c>
      <c r="EG182" s="36">
        <v>0</v>
      </c>
      <c r="EH182" s="36">
        <v>0</v>
      </c>
      <c r="EI182" s="36">
        <v>0</v>
      </c>
      <c r="EJ182" s="36">
        <v>0</v>
      </c>
      <c r="EK182" s="36">
        <v>0</v>
      </c>
      <c r="EL182" s="36">
        <v>0</v>
      </c>
      <c r="EM182" s="36">
        <v>0</v>
      </c>
      <c r="EN182" s="36">
        <v>0</v>
      </c>
      <c r="EO182" s="36">
        <v>0</v>
      </c>
      <c r="EP182" s="36">
        <v>0</v>
      </c>
      <c r="EQ182" s="36">
        <v>0</v>
      </c>
      <c r="ER182" s="36">
        <v>0</v>
      </c>
      <c r="ES182" s="36">
        <v>0</v>
      </c>
      <c r="ET182" s="36">
        <v>0</v>
      </c>
      <c r="EU182" s="36">
        <v>0</v>
      </c>
      <c r="EV182" s="36">
        <v>0</v>
      </c>
      <c r="EW182" s="36">
        <v>0</v>
      </c>
      <c r="EX182" s="36">
        <v>0</v>
      </c>
      <c r="EY182" s="36">
        <v>0</v>
      </c>
      <c r="EZ182" s="36">
        <v>0</v>
      </c>
      <c r="FA182" s="36">
        <v>0</v>
      </c>
      <c r="FB182" s="36">
        <v>0</v>
      </c>
      <c r="FC182" s="36">
        <v>0</v>
      </c>
      <c r="FD182" s="36">
        <v>0</v>
      </c>
      <c r="FE182" s="36">
        <v>0</v>
      </c>
      <c r="FF182" s="36">
        <v>0</v>
      </c>
      <c r="FG182" s="36">
        <v>0</v>
      </c>
      <c r="FH182" s="36">
        <v>0</v>
      </c>
      <c r="FI182" s="36">
        <v>0</v>
      </c>
      <c r="FJ182" s="36">
        <v>0</v>
      </c>
      <c r="FK182" s="36">
        <v>0</v>
      </c>
      <c r="FL182" s="36">
        <v>0</v>
      </c>
      <c r="FM182" s="36">
        <v>0</v>
      </c>
      <c r="FN182" s="36">
        <v>0</v>
      </c>
      <c r="FO182" s="36">
        <v>0</v>
      </c>
      <c r="FP182" s="36">
        <v>0</v>
      </c>
      <c r="FQ182" s="36">
        <v>0</v>
      </c>
      <c r="FR182" s="36">
        <v>0</v>
      </c>
      <c r="FS182" s="36">
        <v>0</v>
      </c>
      <c r="FT182" s="36">
        <v>0</v>
      </c>
      <c r="FU182" s="36">
        <v>0</v>
      </c>
      <c r="FV182" s="36">
        <v>0</v>
      </c>
      <c r="FW182" s="36">
        <v>0</v>
      </c>
      <c r="FX182" s="36">
        <v>0</v>
      </c>
      <c r="FY182" s="36">
        <v>0</v>
      </c>
      <c r="FZ182" s="36">
        <v>0</v>
      </c>
      <c r="GA182" s="36">
        <v>0</v>
      </c>
      <c r="GB182" s="36">
        <v>0</v>
      </c>
      <c r="GC182" s="36">
        <v>0</v>
      </c>
      <c r="GD182" s="36">
        <v>0</v>
      </c>
      <c r="GE182" s="36">
        <v>0</v>
      </c>
      <c r="GF182" s="36">
        <v>0</v>
      </c>
      <c r="GG182" s="36"/>
      <c r="GH182" s="36"/>
      <c r="GI182" s="36"/>
      <c r="GJ182" s="36"/>
      <c r="GK182" s="36"/>
      <c r="GL182" s="36"/>
      <c r="GM182" s="36"/>
      <c r="GN182" s="36"/>
      <c r="GO182" s="36"/>
      <c r="GP182" s="36"/>
      <c r="GQ182" s="36"/>
      <c r="GR182" s="36"/>
      <c r="GS182" s="36"/>
      <c r="GT182" s="36"/>
      <c r="GU182" s="36">
        <v>0</v>
      </c>
      <c r="GV182" s="36">
        <v>0</v>
      </c>
      <c r="GW182" s="36">
        <v>0</v>
      </c>
      <c r="GX182" s="36">
        <v>0</v>
      </c>
      <c r="GY182" s="36">
        <v>0</v>
      </c>
      <c r="GZ182" s="36">
        <v>0</v>
      </c>
      <c r="HA182" s="36">
        <v>0</v>
      </c>
      <c r="HB182" s="36">
        <v>693.10500759013019</v>
      </c>
      <c r="HC182" s="36">
        <f t="shared" si="2"/>
        <v>147981.5781915641</v>
      </c>
      <c r="HD182" s="36">
        <f>SUM(FW$5:FW$213)</f>
        <v>147981.5781915641</v>
      </c>
      <c r="HE182" s="41">
        <v>0</v>
      </c>
    </row>
    <row r="183" spans="1:213" hidden="1" outlineLevel="1" x14ac:dyDescent="0.2">
      <c r="A183" s="15" t="s">
        <v>1547</v>
      </c>
      <c r="B183" s="44">
        <v>22489.631463436926</v>
      </c>
      <c r="C183" s="44">
        <v>579.96842073152197</v>
      </c>
      <c r="D183" s="44">
        <v>218.65945730182889</v>
      </c>
      <c r="E183" s="44">
        <v>916.54635439242679</v>
      </c>
      <c r="F183" s="44">
        <v>1186.7008126255828</v>
      </c>
      <c r="G183" s="44">
        <v>10110.449681434469</v>
      </c>
      <c r="H183" s="44">
        <v>3516.2764367756458</v>
      </c>
      <c r="I183" s="44">
        <v>8923.4062984583634</v>
      </c>
      <c r="J183" s="44">
        <v>1724.9192855277606</v>
      </c>
      <c r="K183" s="44">
        <v>476.27596724240391</v>
      </c>
      <c r="L183" s="44">
        <v>373.14498039107417</v>
      </c>
      <c r="M183" s="44">
        <v>92.287451281876784</v>
      </c>
      <c r="N183" s="44">
        <v>51.213355438614208</v>
      </c>
      <c r="O183" s="44">
        <v>777.04260997713493</v>
      </c>
      <c r="P183" s="44">
        <v>894.48183427150093</v>
      </c>
      <c r="Q183" s="44">
        <v>884.86941651069469</v>
      </c>
      <c r="R183" s="44">
        <v>438.31114235177267</v>
      </c>
      <c r="S183" s="44">
        <v>909.77804246197513</v>
      </c>
      <c r="T183" s="44">
        <v>1907.71268234645</v>
      </c>
      <c r="U183" s="44">
        <v>232.80860573590948</v>
      </c>
      <c r="V183" s="44">
        <v>919.32195818811761</v>
      </c>
      <c r="W183" s="44">
        <v>223.54857448882225</v>
      </c>
      <c r="X183" s="44">
        <v>1242.1427023472281</v>
      </c>
      <c r="Y183" s="44">
        <v>758.99360223199619</v>
      </c>
      <c r="Z183" s="44">
        <v>747.67317788721675</v>
      </c>
      <c r="AA183" s="44">
        <v>890.55718811003931</v>
      </c>
      <c r="AB183" s="44">
        <v>1614.5197328149879</v>
      </c>
      <c r="AC183" s="44">
        <v>25.537777170221357</v>
      </c>
      <c r="AD183" s="44">
        <v>58.43960415179648</v>
      </c>
      <c r="AE183" s="44">
        <v>1901.0075809215905</v>
      </c>
      <c r="AF183" s="44">
        <v>473.81330624047217</v>
      </c>
      <c r="AG183" s="44">
        <v>213.95447833377958</v>
      </c>
      <c r="AH183" s="44">
        <v>1954.2008084613942</v>
      </c>
      <c r="AI183" s="44">
        <v>326.97813310071706</v>
      </c>
      <c r="AJ183" s="44">
        <v>533.02012990220078</v>
      </c>
      <c r="AK183" s="44">
        <v>8668.4043997533081</v>
      </c>
      <c r="AL183" s="44">
        <v>12242.967998999704</v>
      </c>
      <c r="AM183" s="44">
        <v>20048.053769497557</v>
      </c>
      <c r="AN183" s="44">
        <v>2100.6243683163025</v>
      </c>
      <c r="AO183" s="44">
        <v>2208.6170257453955</v>
      </c>
      <c r="AP183" s="44">
        <v>2517.1708513861108</v>
      </c>
      <c r="AQ183" s="44">
        <v>9.5149514109547209</v>
      </c>
      <c r="AR183" s="44">
        <v>258.23255421117568</v>
      </c>
      <c r="AS183" s="44">
        <v>3097.1876916560741</v>
      </c>
      <c r="AT183" s="44">
        <v>984.13076586422483</v>
      </c>
      <c r="AU183" s="44">
        <v>423.39328184923289</v>
      </c>
      <c r="AV183" s="44">
        <v>56.989526790716575</v>
      </c>
      <c r="AW183" s="44">
        <v>25.998306928343492</v>
      </c>
      <c r="AX183" s="44">
        <v>613.83022772864808</v>
      </c>
      <c r="AY183" s="44">
        <v>609.90267404219799</v>
      </c>
      <c r="AZ183" s="44">
        <v>79.725593633566689</v>
      </c>
      <c r="BA183" s="44">
        <v>30.472085647881773</v>
      </c>
      <c r="BB183" s="44">
        <v>16931.929603302637</v>
      </c>
      <c r="BC183" s="44">
        <v>7790.3148971574647</v>
      </c>
      <c r="BD183" s="44">
        <v>7522.1157504200874</v>
      </c>
      <c r="BE183" s="44">
        <v>4328.9011068072505</v>
      </c>
      <c r="BF183" s="44">
        <v>19408.635105802743</v>
      </c>
      <c r="BG183" s="44">
        <v>183.70866262830259</v>
      </c>
      <c r="BH183" s="44">
        <v>1712.5343457223839</v>
      </c>
      <c r="BI183" s="44">
        <v>402.59952810851769</v>
      </c>
      <c r="BJ183" s="44">
        <v>40556.232525729931</v>
      </c>
      <c r="BK183" s="36">
        <v>0</v>
      </c>
      <c r="BL183" s="36">
        <v>0</v>
      </c>
      <c r="BM183" s="36">
        <v>0</v>
      </c>
      <c r="BN183" s="36">
        <v>0</v>
      </c>
      <c r="BO183" s="36">
        <v>0</v>
      </c>
      <c r="BP183" s="36">
        <v>0</v>
      </c>
      <c r="BQ183" s="36">
        <v>0</v>
      </c>
      <c r="BR183" s="36">
        <v>0</v>
      </c>
      <c r="BS183" s="36">
        <v>0</v>
      </c>
      <c r="BT183" s="36">
        <v>0</v>
      </c>
      <c r="BU183" s="36">
        <v>0</v>
      </c>
      <c r="BV183" s="36">
        <v>0</v>
      </c>
      <c r="BW183" s="36">
        <v>0</v>
      </c>
      <c r="BX183" s="36">
        <v>0</v>
      </c>
      <c r="BY183" s="36">
        <v>0</v>
      </c>
      <c r="BZ183" s="36">
        <v>0</v>
      </c>
      <c r="CA183" s="36">
        <v>0</v>
      </c>
      <c r="CB183" s="36">
        <v>0</v>
      </c>
      <c r="CC183" s="36">
        <v>0</v>
      </c>
      <c r="CD183" s="36">
        <v>0</v>
      </c>
      <c r="CE183" s="36">
        <v>0</v>
      </c>
      <c r="CF183" s="36">
        <v>0</v>
      </c>
      <c r="CG183" s="36">
        <v>0</v>
      </c>
      <c r="CH183" s="36">
        <v>0</v>
      </c>
      <c r="CI183" s="36">
        <v>0</v>
      </c>
      <c r="CJ183" s="36">
        <v>0</v>
      </c>
      <c r="CK183" s="36">
        <v>0</v>
      </c>
      <c r="CL183" s="36">
        <v>0</v>
      </c>
      <c r="CM183" s="36">
        <v>0</v>
      </c>
      <c r="CN183" s="36">
        <v>0</v>
      </c>
      <c r="CO183" s="36">
        <v>0</v>
      </c>
      <c r="CP183" s="36">
        <v>0</v>
      </c>
      <c r="CQ183" s="36">
        <v>0</v>
      </c>
      <c r="CR183" s="36">
        <v>0</v>
      </c>
      <c r="CS183" s="36">
        <v>0</v>
      </c>
      <c r="CT183" s="36">
        <v>0</v>
      </c>
      <c r="CU183" s="36">
        <v>0</v>
      </c>
      <c r="CV183" s="36">
        <v>0</v>
      </c>
      <c r="CW183" s="36">
        <v>0</v>
      </c>
      <c r="CX183" s="36">
        <v>0</v>
      </c>
      <c r="CY183" s="36">
        <v>0</v>
      </c>
      <c r="CZ183" s="36">
        <v>0</v>
      </c>
      <c r="DA183" s="36">
        <v>0</v>
      </c>
      <c r="DB183" s="36">
        <v>0</v>
      </c>
      <c r="DC183" s="36">
        <v>0</v>
      </c>
      <c r="DD183" s="36">
        <v>0</v>
      </c>
      <c r="DE183" s="36">
        <v>0</v>
      </c>
      <c r="DF183" s="36">
        <v>0</v>
      </c>
      <c r="DG183" s="36">
        <v>0</v>
      </c>
      <c r="DH183" s="36">
        <v>0</v>
      </c>
      <c r="DI183" s="36">
        <v>0</v>
      </c>
      <c r="DJ183" s="36">
        <v>0</v>
      </c>
      <c r="DK183" s="36">
        <v>0</v>
      </c>
      <c r="DL183" s="36">
        <v>0</v>
      </c>
      <c r="DM183" s="36">
        <v>0</v>
      </c>
      <c r="DN183" s="36">
        <v>0</v>
      </c>
      <c r="DO183" s="36">
        <v>0</v>
      </c>
      <c r="DP183" s="36">
        <v>0</v>
      </c>
      <c r="DQ183" s="36">
        <v>0</v>
      </c>
      <c r="DR183" s="36">
        <v>0</v>
      </c>
      <c r="DS183" s="36">
        <v>0</v>
      </c>
      <c r="DT183" s="36">
        <v>0</v>
      </c>
      <c r="DU183" s="36">
        <v>0</v>
      </c>
      <c r="DV183" s="36">
        <v>0</v>
      </c>
      <c r="DW183" s="36">
        <v>0</v>
      </c>
      <c r="DX183" s="36">
        <v>0</v>
      </c>
      <c r="DY183" s="36">
        <v>0</v>
      </c>
      <c r="DZ183" s="36">
        <v>0</v>
      </c>
      <c r="EA183" s="36">
        <v>0</v>
      </c>
      <c r="EB183" s="36">
        <v>0</v>
      </c>
      <c r="EC183" s="36">
        <v>0</v>
      </c>
      <c r="ED183" s="36">
        <v>0</v>
      </c>
      <c r="EE183" s="36">
        <v>0</v>
      </c>
      <c r="EF183" s="36">
        <v>0</v>
      </c>
      <c r="EG183" s="36">
        <v>0</v>
      </c>
      <c r="EH183" s="36">
        <v>0</v>
      </c>
      <c r="EI183" s="36">
        <v>0</v>
      </c>
      <c r="EJ183" s="36">
        <v>0</v>
      </c>
      <c r="EK183" s="36">
        <v>0</v>
      </c>
      <c r="EL183" s="36">
        <v>0</v>
      </c>
      <c r="EM183" s="36">
        <v>0</v>
      </c>
      <c r="EN183" s="36">
        <v>0</v>
      </c>
      <c r="EO183" s="36">
        <v>0</v>
      </c>
      <c r="EP183" s="36">
        <v>0</v>
      </c>
      <c r="EQ183" s="36">
        <v>0</v>
      </c>
      <c r="ER183" s="36">
        <v>0</v>
      </c>
      <c r="ES183" s="36">
        <v>0</v>
      </c>
      <c r="ET183" s="36">
        <v>0</v>
      </c>
      <c r="EU183" s="36">
        <v>0</v>
      </c>
      <c r="EV183" s="36">
        <v>0</v>
      </c>
      <c r="EW183" s="36">
        <v>0</v>
      </c>
      <c r="EX183" s="36">
        <v>0</v>
      </c>
      <c r="EY183" s="36">
        <v>0</v>
      </c>
      <c r="EZ183" s="36">
        <v>0</v>
      </c>
      <c r="FA183" s="36">
        <v>0</v>
      </c>
      <c r="FB183" s="36">
        <v>0</v>
      </c>
      <c r="FC183" s="36">
        <v>0</v>
      </c>
      <c r="FD183" s="36">
        <v>0</v>
      </c>
      <c r="FE183" s="36">
        <v>0</v>
      </c>
      <c r="FF183" s="36">
        <v>0</v>
      </c>
      <c r="FG183" s="36">
        <v>0</v>
      </c>
      <c r="FH183" s="36">
        <v>0</v>
      </c>
      <c r="FI183" s="36">
        <v>0</v>
      </c>
      <c r="FJ183" s="36">
        <v>0</v>
      </c>
      <c r="FK183" s="36">
        <v>0</v>
      </c>
      <c r="FL183" s="36">
        <v>0</v>
      </c>
      <c r="FM183" s="36">
        <v>0</v>
      </c>
      <c r="FN183" s="36">
        <v>0</v>
      </c>
      <c r="FO183" s="36">
        <v>0</v>
      </c>
      <c r="FP183" s="36">
        <v>0</v>
      </c>
      <c r="FQ183" s="36">
        <v>0</v>
      </c>
      <c r="FR183" s="36">
        <v>0</v>
      </c>
      <c r="FS183" s="36">
        <v>0</v>
      </c>
      <c r="FT183" s="36">
        <v>0</v>
      </c>
      <c r="FU183" s="36">
        <v>0</v>
      </c>
      <c r="FV183" s="36">
        <v>0</v>
      </c>
      <c r="FW183" s="36">
        <v>0</v>
      </c>
      <c r="FX183" s="36">
        <v>0</v>
      </c>
      <c r="FY183" s="36">
        <v>0</v>
      </c>
      <c r="FZ183" s="36">
        <v>0</v>
      </c>
      <c r="GA183" s="36">
        <v>0</v>
      </c>
      <c r="GB183" s="36">
        <v>0</v>
      </c>
      <c r="GC183" s="36">
        <v>0</v>
      </c>
      <c r="GD183" s="36">
        <v>0</v>
      </c>
      <c r="GE183" s="36">
        <v>0</v>
      </c>
      <c r="GF183" s="36">
        <v>0</v>
      </c>
      <c r="GG183" s="36"/>
      <c r="GH183" s="36"/>
      <c r="GI183" s="36"/>
      <c r="GJ183" s="36"/>
      <c r="GK183" s="36"/>
      <c r="GL183" s="36"/>
      <c r="GM183" s="36"/>
      <c r="GN183" s="36"/>
      <c r="GO183" s="36"/>
      <c r="GP183" s="36"/>
      <c r="GQ183" s="36"/>
      <c r="GR183" s="36"/>
      <c r="GS183" s="36"/>
      <c r="GT183" s="36"/>
      <c r="GU183" s="36">
        <v>0</v>
      </c>
      <c r="GV183" s="36">
        <v>0</v>
      </c>
      <c r="GW183" s="36">
        <v>0</v>
      </c>
      <c r="GX183" s="36">
        <v>0</v>
      </c>
      <c r="GY183" s="36">
        <v>0</v>
      </c>
      <c r="GZ183" s="36">
        <v>0</v>
      </c>
      <c r="HA183" s="36">
        <v>0</v>
      </c>
      <c r="HB183" s="36">
        <v>1041.8582608342729</v>
      </c>
      <c r="HC183" s="36">
        <f t="shared" si="2"/>
        <v>222442.23891301948</v>
      </c>
      <c r="HD183" s="36">
        <f>SUM(FX$5:FX$213)</f>
        <v>222442.23891301948</v>
      </c>
      <c r="HE183" s="41">
        <v>0</v>
      </c>
    </row>
    <row r="184" spans="1:213" collapsed="1" x14ac:dyDescent="0.2">
      <c r="A184" s="15" t="s">
        <v>1548</v>
      </c>
      <c r="B184" s="44">
        <v>0</v>
      </c>
      <c r="C184" s="44">
        <v>0</v>
      </c>
      <c r="D184" s="44">
        <v>0</v>
      </c>
      <c r="E184" s="44">
        <v>0</v>
      </c>
      <c r="F184" s="44">
        <v>0</v>
      </c>
      <c r="G184" s="44">
        <v>0</v>
      </c>
      <c r="H184" s="44">
        <v>0</v>
      </c>
      <c r="I184" s="44">
        <v>0</v>
      </c>
      <c r="J184" s="44">
        <v>0</v>
      </c>
      <c r="K184" s="44">
        <v>0</v>
      </c>
      <c r="L184" s="44">
        <v>0</v>
      </c>
      <c r="M184" s="44">
        <v>0</v>
      </c>
      <c r="N184" s="44">
        <v>0</v>
      </c>
      <c r="O184" s="44">
        <v>0</v>
      </c>
      <c r="P184" s="44">
        <v>0</v>
      </c>
      <c r="Q184" s="44">
        <v>0</v>
      </c>
      <c r="R184" s="44">
        <v>0</v>
      </c>
      <c r="S184" s="44">
        <v>0</v>
      </c>
      <c r="T184" s="44">
        <v>0</v>
      </c>
      <c r="U184" s="44">
        <v>0</v>
      </c>
      <c r="V184" s="44">
        <v>0</v>
      </c>
      <c r="W184" s="44">
        <v>0</v>
      </c>
      <c r="X184" s="44">
        <v>0</v>
      </c>
      <c r="Y184" s="44">
        <v>0</v>
      </c>
      <c r="Z184" s="44">
        <v>0</v>
      </c>
      <c r="AA184" s="44">
        <v>0</v>
      </c>
      <c r="AB184" s="44">
        <v>0</v>
      </c>
      <c r="AC184" s="44">
        <v>0</v>
      </c>
      <c r="AD184" s="44">
        <v>0</v>
      </c>
      <c r="AE184" s="44">
        <v>0</v>
      </c>
      <c r="AF184" s="44">
        <v>0</v>
      </c>
      <c r="AG184" s="44">
        <v>0</v>
      </c>
      <c r="AH184" s="44">
        <v>0</v>
      </c>
      <c r="AI184" s="44">
        <v>0</v>
      </c>
      <c r="AJ184" s="44">
        <v>0</v>
      </c>
      <c r="AK184" s="44">
        <v>0</v>
      </c>
      <c r="AL184" s="44">
        <v>0</v>
      </c>
      <c r="AM184" s="44">
        <v>0</v>
      </c>
      <c r="AN184" s="44">
        <v>0</v>
      </c>
      <c r="AO184" s="44">
        <v>0</v>
      </c>
      <c r="AP184" s="44">
        <v>0</v>
      </c>
      <c r="AQ184" s="44">
        <v>0</v>
      </c>
      <c r="AR184" s="44">
        <v>0</v>
      </c>
      <c r="AS184" s="44">
        <v>0</v>
      </c>
      <c r="AT184" s="44">
        <v>0</v>
      </c>
      <c r="AU184" s="44">
        <v>0</v>
      </c>
      <c r="AV184" s="44">
        <v>0</v>
      </c>
      <c r="AW184" s="44">
        <v>0</v>
      </c>
      <c r="AX184" s="44">
        <v>0</v>
      </c>
      <c r="AY184" s="44">
        <v>0</v>
      </c>
      <c r="AZ184" s="44">
        <v>0</v>
      </c>
      <c r="BA184" s="44">
        <v>0</v>
      </c>
      <c r="BB184" s="44">
        <v>0</v>
      </c>
      <c r="BC184" s="44">
        <v>0</v>
      </c>
      <c r="BD184" s="44">
        <v>0</v>
      </c>
      <c r="BE184" s="44">
        <v>0</v>
      </c>
      <c r="BF184" s="44">
        <v>0</v>
      </c>
      <c r="BG184" s="44">
        <v>0</v>
      </c>
      <c r="BH184" s="44">
        <v>0</v>
      </c>
      <c r="BI184" s="44">
        <v>0</v>
      </c>
      <c r="BJ184" s="44">
        <v>123776.61170002034</v>
      </c>
      <c r="BK184" s="36">
        <v>0</v>
      </c>
      <c r="BL184" s="36">
        <v>0</v>
      </c>
      <c r="BM184" s="36">
        <v>0</v>
      </c>
      <c r="BN184" s="36">
        <v>0</v>
      </c>
      <c r="BO184" s="36">
        <v>0</v>
      </c>
      <c r="BP184" s="36">
        <v>0</v>
      </c>
      <c r="BQ184" s="36">
        <v>0</v>
      </c>
      <c r="BR184" s="36">
        <v>0</v>
      </c>
      <c r="BS184" s="36">
        <v>0</v>
      </c>
      <c r="BT184" s="36">
        <v>0</v>
      </c>
      <c r="BU184" s="36">
        <v>0</v>
      </c>
      <c r="BV184" s="36">
        <v>0</v>
      </c>
      <c r="BW184" s="36">
        <v>0</v>
      </c>
      <c r="BX184" s="36">
        <v>0</v>
      </c>
      <c r="BY184" s="36">
        <v>0</v>
      </c>
      <c r="BZ184" s="36">
        <v>0</v>
      </c>
      <c r="CA184" s="36">
        <v>0</v>
      </c>
      <c r="CB184" s="36">
        <v>0</v>
      </c>
      <c r="CC184" s="36">
        <v>0</v>
      </c>
      <c r="CD184" s="36">
        <v>0</v>
      </c>
      <c r="CE184" s="36">
        <v>0</v>
      </c>
      <c r="CF184" s="36">
        <v>0</v>
      </c>
      <c r="CG184" s="36">
        <v>0</v>
      </c>
      <c r="CH184" s="36">
        <v>0</v>
      </c>
      <c r="CI184" s="36">
        <v>0</v>
      </c>
      <c r="CJ184" s="36">
        <v>0</v>
      </c>
      <c r="CK184" s="36">
        <v>0</v>
      </c>
      <c r="CL184" s="36">
        <v>0</v>
      </c>
      <c r="CM184" s="36">
        <v>0</v>
      </c>
      <c r="CN184" s="36">
        <v>0</v>
      </c>
      <c r="CO184" s="36">
        <v>0</v>
      </c>
      <c r="CP184" s="36">
        <v>0</v>
      </c>
      <c r="CQ184" s="36">
        <v>0</v>
      </c>
      <c r="CR184" s="36">
        <v>0</v>
      </c>
      <c r="CS184" s="36">
        <v>0</v>
      </c>
      <c r="CT184" s="36">
        <v>0</v>
      </c>
      <c r="CU184" s="36">
        <v>0</v>
      </c>
      <c r="CV184" s="36">
        <v>0</v>
      </c>
      <c r="CW184" s="36">
        <v>0</v>
      </c>
      <c r="CX184" s="36">
        <v>0</v>
      </c>
      <c r="CY184" s="36">
        <v>0</v>
      </c>
      <c r="CZ184" s="36">
        <v>0</v>
      </c>
      <c r="DA184" s="36">
        <v>0</v>
      </c>
      <c r="DB184" s="36">
        <v>0</v>
      </c>
      <c r="DC184" s="36">
        <v>0</v>
      </c>
      <c r="DD184" s="36">
        <v>0</v>
      </c>
      <c r="DE184" s="36">
        <v>0</v>
      </c>
      <c r="DF184" s="36">
        <v>0</v>
      </c>
      <c r="DG184" s="36">
        <v>0</v>
      </c>
      <c r="DH184" s="36">
        <v>0</v>
      </c>
      <c r="DI184" s="36">
        <v>0</v>
      </c>
      <c r="DJ184" s="36">
        <v>0</v>
      </c>
      <c r="DK184" s="36">
        <v>0</v>
      </c>
      <c r="DL184" s="36">
        <v>0</v>
      </c>
      <c r="DM184" s="36">
        <v>0</v>
      </c>
      <c r="DN184" s="36">
        <v>0</v>
      </c>
      <c r="DO184" s="36">
        <v>0</v>
      </c>
      <c r="DP184" s="36">
        <v>0</v>
      </c>
      <c r="DQ184" s="36">
        <v>0</v>
      </c>
      <c r="DR184" s="36">
        <v>0</v>
      </c>
      <c r="DS184" s="36">
        <v>0</v>
      </c>
      <c r="DT184" s="36">
        <v>0</v>
      </c>
      <c r="DU184" s="36">
        <v>0</v>
      </c>
      <c r="DV184" s="36">
        <v>0</v>
      </c>
      <c r="DW184" s="36">
        <v>0</v>
      </c>
      <c r="DX184" s="36">
        <v>0</v>
      </c>
      <c r="DY184" s="36">
        <v>0</v>
      </c>
      <c r="DZ184" s="36">
        <v>0</v>
      </c>
      <c r="EA184" s="36">
        <v>0</v>
      </c>
      <c r="EB184" s="36">
        <v>0</v>
      </c>
      <c r="EC184" s="36">
        <v>0</v>
      </c>
      <c r="ED184" s="36">
        <v>0</v>
      </c>
      <c r="EE184" s="36">
        <v>0</v>
      </c>
      <c r="EF184" s="36">
        <v>0</v>
      </c>
      <c r="EG184" s="36">
        <v>0</v>
      </c>
      <c r="EH184" s="36">
        <v>0</v>
      </c>
      <c r="EI184" s="36">
        <v>0</v>
      </c>
      <c r="EJ184" s="36">
        <v>0</v>
      </c>
      <c r="EK184" s="36">
        <v>0</v>
      </c>
      <c r="EL184" s="36">
        <v>0</v>
      </c>
      <c r="EM184" s="36">
        <v>0</v>
      </c>
      <c r="EN184" s="36">
        <v>0</v>
      </c>
      <c r="EO184" s="36">
        <v>0</v>
      </c>
      <c r="EP184" s="36">
        <v>0</v>
      </c>
      <c r="EQ184" s="36">
        <v>0</v>
      </c>
      <c r="ER184" s="36">
        <v>0</v>
      </c>
      <c r="ES184" s="36">
        <v>0</v>
      </c>
      <c r="ET184" s="36">
        <v>0</v>
      </c>
      <c r="EU184" s="36">
        <v>0</v>
      </c>
      <c r="EV184" s="36">
        <v>0</v>
      </c>
      <c r="EW184" s="36">
        <v>0</v>
      </c>
      <c r="EX184" s="36">
        <v>0</v>
      </c>
      <c r="EY184" s="36">
        <v>0</v>
      </c>
      <c r="EZ184" s="36">
        <v>0</v>
      </c>
      <c r="FA184" s="36">
        <v>0</v>
      </c>
      <c r="FB184" s="36">
        <v>0</v>
      </c>
      <c r="FC184" s="36">
        <v>0</v>
      </c>
      <c r="FD184" s="36">
        <v>0</v>
      </c>
      <c r="FE184" s="36">
        <v>0</v>
      </c>
      <c r="FF184" s="36">
        <v>0</v>
      </c>
      <c r="FG184" s="36">
        <v>0</v>
      </c>
      <c r="FH184" s="36">
        <v>0</v>
      </c>
      <c r="FI184" s="36">
        <v>0</v>
      </c>
      <c r="FJ184" s="36">
        <v>0</v>
      </c>
      <c r="FK184" s="36">
        <v>0</v>
      </c>
      <c r="FL184" s="36">
        <v>0</v>
      </c>
      <c r="FM184" s="36">
        <v>0</v>
      </c>
      <c r="FN184" s="36">
        <v>0</v>
      </c>
      <c r="FO184" s="36">
        <v>0</v>
      </c>
      <c r="FP184" s="36">
        <v>0</v>
      </c>
      <c r="FQ184" s="36">
        <v>0</v>
      </c>
      <c r="FR184" s="36">
        <v>0</v>
      </c>
      <c r="FS184" s="36">
        <v>0</v>
      </c>
      <c r="FT184" s="36">
        <v>0</v>
      </c>
      <c r="FU184" s="36">
        <v>0</v>
      </c>
      <c r="FV184" s="36">
        <v>0</v>
      </c>
      <c r="FW184" s="36">
        <v>0</v>
      </c>
      <c r="FX184" s="36">
        <v>0</v>
      </c>
      <c r="FY184" s="36">
        <v>0</v>
      </c>
      <c r="FZ184" s="36">
        <v>0</v>
      </c>
      <c r="GA184" s="36">
        <v>0</v>
      </c>
      <c r="GB184" s="36">
        <v>0</v>
      </c>
      <c r="GC184" s="36">
        <v>0</v>
      </c>
      <c r="GD184" s="36">
        <v>0</v>
      </c>
      <c r="GE184" s="36">
        <v>0</v>
      </c>
      <c r="GF184" s="36">
        <v>0</v>
      </c>
      <c r="GG184" s="36"/>
      <c r="GH184" s="36"/>
      <c r="GI184" s="36"/>
      <c r="GJ184" s="36"/>
      <c r="GK184" s="36"/>
      <c r="GL184" s="36"/>
      <c r="GM184" s="36"/>
      <c r="GN184" s="36"/>
      <c r="GO184" s="36"/>
      <c r="GP184" s="36"/>
      <c r="GQ184" s="36"/>
      <c r="GR184" s="36"/>
      <c r="GS184" s="36"/>
      <c r="GT184" s="36"/>
      <c r="GU184" s="36">
        <v>0</v>
      </c>
      <c r="GV184" s="36">
        <v>0</v>
      </c>
      <c r="GW184" s="36">
        <v>0</v>
      </c>
      <c r="GX184" s="36">
        <v>0</v>
      </c>
      <c r="GY184" s="36">
        <v>0</v>
      </c>
      <c r="GZ184" s="36">
        <v>0</v>
      </c>
      <c r="HA184" s="36">
        <v>0</v>
      </c>
      <c r="HB184" s="36">
        <v>582.46370226585918</v>
      </c>
      <c r="HC184" s="36">
        <f t="shared" si="2"/>
        <v>124359.07540228619</v>
      </c>
      <c r="HD184" s="36">
        <f>SUM(FY$5:FY$213)</f>
        <v>124359.07540228619</v>
      </c>
      <c r="HE184" s="41">
        <v>0</v>
      </c>
    </row>
    <row r="185" spans="1:213" x14ac:dyDescent="0.2">
      <c r="A185" s="16" t="s">
        <v>1533</v>
      </c>
      <c r="B185" s="45">
        <v>7836.3750694975961</v>
      </c>
      <c r="C185" s="45">
        <v>104.73466341398895</v>
      </c>
      <c r="D185" s="45">
        <v>61.491125578235717</v>
      </c>
      <c r="E185" s="45">
        <v>806.7085575980592</v>
      </c>
      <c r="F185" s="45">
        <v>420.62422451871788</v>
      </c>
      <c r="G185" s="45">
        <v>1084.4997330753922</v>
      </c>
      <c r="H185" s="45">
        <v>208.83725235121275</v>
      </c>
      <c r="I185" s="45">
        <v>2071.9439608624775</v>
      </c>
      <c r="J185" s="45">
        <v>104.80173810532592</v>
      </c>
      <c r="K185" s="45">
        <v>235.70775089326378</v>
      </c>
      <c r="L185" s="45">
        <v>52.647157790701065</v>
      </c>
      <c r="M185" s="45">
        <v>61.006788970874474</v>
      </c>
      <c r="N185" s="45">
        <v>51.192227446597478</v>
      </c>
      <c r="O185" s="45">
        <v>389.64930579608182</v>
      </c>
      <c r="P185" s="45">
        <v>304.186683675354</v>
      </c>
      <c r="Q185" s="45">
        <v>36.534562567482169</v>
      </c>
      <c r="R185" s="45">
        <v>1160.1517683488319</v>
      </c>
      <c r="S185" s="45">
        <v>42.006541449041443</v>
      </c>
      <c r="T185" s="45">
        <v>911.28938307731585</v>
      </c>
      <c r="U185" s="45">
        <v>13.788023468139375</v>
      </c>
      <c r="V185" s="45">
        <v>336.51040864600651</v>
      </c>
      <c r="W185" s="45">
        <v>2.8456393818417478</v>
      </c>
      <c r="X185" s="45">
        <v>244.70569200142714</v>
      </c>
      <c r="Y185" s="45">
        <v>186.86172026223556</v>
      </c>
      <c r="Z185" s="45">
        <v>404.15127394349048</v>
      </c>
      <c r="AA185" s="45">
        <v>674.82583346767888</v>
      </c>
      <c r="AB185" s="45">
        <v>76.123631402994477</v>
      </c>
      <c r="AC185" s="45">
        <v>-6.6335960987383338</v>
      </c>
      <c r="AD185" s="45">
        <v>8.7054310192224698</v>
      </c>
      <c r="AE185" s="45">
        <v>926.59064638007987</v>
      </c>
      <c r="AF185" s="45">
        <v>331.738575126066</v>
      </c>
      <c r="AG185" s="45">
        <v>0</v>
      </c>
      <c r="AH185" s="45">
        <v>357.56261556525988</v>
      </c>
      <c r="AI185" s="45">
        <v>182.8300364504027</v>
      </c>
      <c r="AJ185" s="45">
        <v>39.674784036710911</v>
      </c>
      <c r="AK185" s="45">
        <v>2195.9202707805257</v>
      </c>
      <c r="AL185" s="45">
        <v>9083.8202112906674</v>
      </c>
      <c r="AM185" s="45">
        <v>3089.3134202446404</v>
      </c>
      <c r="AN185" s="45">
        <v>3536.3446896856749</v>
      </c>
      <c r="AO185" s="45">
        <v>5170.8147151364637</v>
      </c>
      <c r="AP185" s="45">
        <v>225.080659344455</v>
      </c>
      <c r="AQ185" s="45">
        <v>228.0880074699142</v>
      </c>
      <c r="AR185" s="45">
        <v>350.37603195226581</v>
      </c>
      <c r="AS185" s="45">
        <v>1590.4687102608432</v>
      </c>
      <c r="AT185" s="45">
        <v>523.5212874622531</v>
      </c>
      <c r="AU185" s="45">
        <v>989.73661503230403</v>
      </c>
      <c r="AV185" s="45">
        <v>173.97177564757826</v>
      </c>
      <c r="AW185" s="45">
        <v>437.4107319912145</v>
      </c>
      <c r="AX185" s="45">
        <v>17941.651283207695</v>
      </c>
      <c r="AY185" s="45">
        <v>233.04671160589317</v>
      </c>
      <c r="AZ185" s="45">
        <v>95.291638802753781</v>
      </c>
      <c r="BA185" s="45">
        <v>780.0224173807934</v>
      </c>
      <c r="BB185" s="45">
        <v>2842.2379522661927</v>
      </c>
      <c r="BC185" s="45">
        <v>2221.2201234777808</v>
      </c>
      <c r="BD185" s="45">
        <v>11457.854485516047</v>
      </c>
      <c r="BE185" s="45">
        <v>487.95882927815643</v>
      </c>
      <c r="BF185" s="45">
        <v>-6.6603110976248008</v>
      </c>
      <c r="BG185" s="45">
        <v>168.38464223086757</v>
      </c>
      <c r="BH185" s="45">
        <v>1215.2316185342891</v>
      </c>
      <c r="BI185" s="45">
        <v>7.1209257728650179</v>
      </c>
      <c r="BJ185" s="45">
        <v>1112.998418317821</v>
      </c>
      <c r="BK185" s="36">
        <v>0</v>
      </c>
      <c r="BL185" s="36">
        <v>0</v>
      </c>
      <c r="BM185" s="36">
        <v>0</v>
      </c>
      <c r="BN185" s="36">
        <v>0</v>
      </c>
      <c r="BO185" s="36">
        <v>0</v>
      </c>
      <c r="BP185" s="36">
        <v>0</v>
      </c>
      <c r="BQ185" s="36">
        <v>0</v>
      </c>
      <c r="BR185" s="36">
        <v>0</v>
      </c>
      <c r="BS185" s="36">
        <v>0</v>
      </c>
      <c r="BT185" s="36">
        <v>0</v>
      </c>
      <c r="BU185" s="36">
        <v>0</v>
      </c>
      <c r="BV185" s="36">
        <v>0</v>
      </c>
      <c r="BW185" s="36">
        <v>0</v>
      </c>
      <c r="BX185" s="36">
        <v>0</v>
      </c>
      <c r="BY185" s="36">
        <v>0</v>
      </c>
      <c r="BZ185" s="36">
        <v>0</v>
      </c>
      <c r="CA185" s="36">
        <v>0</v>
      </c>
      <c r="CB185" s="36">
        <v>0</v>
      </c>
      <c r="CC185" s="36">
        <v>0</v>
      </c>
      <c r="CD185" s="36">
        <v>0</v>
      </c>
      <c r="CE185" s="36">
        <v>0</v>
      </c>
      <c r="CF185" s="36">
        <v>0</v>
      </c>
      <c r="CG185" s="36">
        <v>0</v>
      </c>
      <c r="CH185" s="36">
        <v>0</v>
      </c>
      <c r="CI185" s="36">
        <v>0</v>
      </c>
      <c r="CJ185" s="36">
        <v>0</v>
      </c>
      <c r="CK185" s="36">
        <v>0</v>
      </c>
      <c r="CL185" s="36">
        <v>0</v>
      </c>
      <c r="CM185" s="36">
        <v>0</v>
      </c>
      <c r="CN185" s="36">
        <v>0</v>
      </c>
      <c r="CO185" s="36">
        <v>0</v>
      </c>
      <c r="CP185" s="36">
        <v>0</v>
      </c>
      <c r="CQ185" s="36">
        <v>0</v>
      </c>
      <c r="CR185" s="36">
        <v>0</v>
      </c>
      <c r="CS185" s="36">
        <v>0</v>
      </c>
      <c r="CT185" s="36">
        <v>0</v>
      </c>
      <c r="CU185" s="36">
        <v>0</v>
      </c>
      <c r="CV185" s="36">
        <v>0</v>
      </c>
      <c r="CW185" s="36">
        <v>0</v>
      </c>
      <c r="CX185" s="36">
        <v>0</v>
      </c>
      <c r="CY185" s="36">
        <v>0</v>
      </c>
      <c r="CZ185" s="36">
        <v>0</v>
      </c>
      <c r="DA185" s="36">
        <v>0</v>
      </c>
      <c r="DB185" s="36">
        <v>0</v>
      </c>
      <c r="DC185" s="36">
        <v>0</v>
      </c>
      <c r="DD185" s="36">
        <v>0</v>
      </c>
      <c r="DE185" s="36">
        <v>0</v>
      </c>
      <c r="DF185" s="36">
        <v>0</v>
      </c>
      <c r="DG185" s="36">
        <v>0</v>
      </c>
      <c r="DH185" s="36">
        <v>0</v>
      </c>
      <c r="DI185" s="36">
        <v>0</v>
      </c>
      <c r="DJ185" s="36">
        <v>0</v>
      </c>
      <c r="DK185" s="36">
        <v>0</v>
      </c>
      <c r="DL185" s="36">
        <v>0</v>
      </c>
      <c r="DM185" s="36">
        <v>0</v>
      </c>
      <c r="DN185" s="36">
        <v>0</v>
      </c>
      <c r="DO185" s="36">
        <v>0</v>
      </c>
      <c r="DP185" s="36">
        <v>0</v>
      </c>
      <c r="DQ185" s="36">
        <v>0</v>
      </c>
      <c r="DR185" s="36">
        <v>0</v>
      </c>
      <c r="DS185" s="36">
        <v>0</v>
      </c>
      <c r="DT185" s="36">
        <v>0</v>
      </c>
      <c r="DU185" s="36">
        <v>0</v>
      </c>
      <c r="DV185" s="36">
        <v>0</v>
      </c>
      <c r="DW185" s="36">
        <v>0</v>
      </c>
      <c r="DX185" s="36">
        <v>0</v>
      </c>
      <c r="DY185" s="36">
        <v>0</v>
      </c>
      <c r="DZ185" s="36">
        <v>0</v>
      </c>
      <c r="EA185" s="36">
        <v>0</v>
      </c>
      <c r="EB185" s="36">
        <v>0</v>
      </c>
      <c r="EC185" s="36">
        <v>0</v>
      </c>
      <c r="ED185" s="36">
        <v>0</v>
      </c>
      <c r="EE185" s="36">
        <v>0</v>
      </c>
      <c r="EF185" s="36">
        <v>0</v>
      </c>
      <c r="EG185" s="36">
        <v>0</v>
      </c>
      <c r="EH185" s="36">
        <v>0</v>
      </c>
      <c r="EI185" s="36">
        <v>0</v>
      </c>
      <c r="EJ185" s="36">
        <v>0</v>
      </c>
      <c r="EK185" s="36">
        <v>0</v>
      </c>
      <c r="EL185" s="36">
        <v>0</v>
      </c>
      <c r="EM185" s="36">
        <v>0</v>
      </c>
      <c r="EN185" s="36">
        <v>0</v>
      </c>
      <c r="EO185" s="36">
        <v>0</v>
      </c>
      <c r="EP185" s="36">
        <v>0</v>
      </c>
      <c r="EQ185" s="36">
        <v>0</v>
      </c>
      <c r="ER185" s="36">
        <v>0</v>
      </c>
      <c r="ES185" s="36">
        <v>0</v>
      </c>
      <c r="ET185" s="36">
        <v>0</v>
      </c>
      <c r="EU185" s="36">
        <v>0</v>
      </c>
      <c r="EV185" s="36">
        <v>0</v>
      </c>
      <c r="EW185" s="36">
        <v>0</v>
      </c>
      <c r="EX185" s="36">
        <v>0</v>
      </c>
      <c r="EY185" s="36">
        <v>0</v>
      </c>
      <c r="EZ185" s="36">
        <v>0</v>
      </c>
      <c r="FA185" s="36">
        <v>0</v>
      </c>
      <c r="FB185" s="36">
        <v>0</v>
      </c>
      <c r="FC185" s="36">
        <v>0</v>
      </c>
      <c r="FD185" s="36">
        <v>0</v>
      </c>
      <c r="FE185" s="36">
        <v>0</v>
      </c>
      <c r="FF185" s="36">
        <v>0</v>
      </c>
      <c r="FG185" s="36">
        <v>0</v>
      </c>
      <c r="FH185" s="36">
        <v>0</v>
      </c>
      <c r="FI185" s="36">
        <v>0</v>
      </c>
      <c r="FJ185" s="36">
        <v>0</v>
      </c>
      <c r="FK185" s="36">
        <v>0</v>
      </c>
      <c r="FL185" s="36">
        <v>0</v>
      </c>
      <c r="FM185" s="36">
        <v>0</v>
      </c>
      <c r="FN185" s="36">
        <v>0</v>
      </c>
      <c r="FO185" s="36">
        <v>0</v>
      </c>
      <c r="FP185" s="36">
        <v>0</v>
      </c>
      <c r="FQ185" s="36">
        <v>0</v>
      </c>
      <c r="FR185" s="36">
        <v>0</v>
      </c>
      <c r="FS185" s="36">
        <v>0</v>
      </c>
      <c r="FT185" s="36">
        <v>0</v>
      </c>
      <c r="FU185" s="36">
        <v>0</v>
      </c>
      <c r="FV185" s="36">
        <v>0</v>
      </c>
      <c r="FW185" s="36">
        <v>0</v>
      </c>
      <c r="FX185" s="36">
        <v>0</v>
      </c>
      <c r="FY185" s="36">
        <v>0</v>
      </c>
      <c r="FZ185" s="36">
        <v>0</v>
      </c>
      <c r="GA185" s="36">
        <v>0</v>
      </c>
      <c r="GB185" s="36">
        <v>0</v>
      </c>
      <c r="GC185" s="36">
        <v>0</v>
      </c>
      <c r="GD185" s="36">
        <v>0</v>
      </c>
      <c r="GE185" s="36">
        <v>0</v>
      </c>
      <c r="GF185" s="36">
        <v>0</v>
      </c>
      <c r="GG185" s="36"/>
      <c r="GH185" s="36"/>
      <c r="GI185" s="36"/>
      <c r="GJ185" s="36"/>
      <c r="GK185" s="36"/>
      <c r="GL185" s="36"/>
      <c r="GM185" s="36"/>
      <c r="GN185" s="36"/>
      <c r="GO185" s="36"/>
      <c r="GP185" s="36"/>
      <c r="GQ185" s="36"/>
      <c r="GR185" s="36"/>
      <c r="GS185" s="36"/>
      <c r="GT185" s="36"/>
      <c r="GU185" s="36">
        <v>0</v>
      </c>
      <c r="GV185" s="36">
        <v>0</v>
      </c>
      <c r="GW185" s="36">
        <v>0</v>
      </c>
      <c r="GX185" s="36">
        <v>0</v>
      </c>
      <c r="GY185" s="36">
        <v>0</v>
      </c>
      <c r="GZ185" s="36">
        <v>0</v>
      </c>
      <c r="HA185" s="36">
        <v>0</v>
      </c>
      <c r="HB185" s="36">
        <v>4299.7993914383342</v>
      </c>
      <c r="HC185" s="36">
        <f t="shared" si="2"/>
        <v>90175.694463100037</v>
      </c>
      <c r="HD185" s="36">
        <f>SUM(FZ$5:FZ$213)</f>
        <v>90175.694463100066</v>
      </c>
      <c r="HE185" s="41">
        <v>0</v>
      </c>
    </row>
    <row r="186" spans="1:213" outlineLevel="1" x14ac:dyDescent="0.2">
      <c r="A186" s="16" t="s">
        <v>1534</v>
      </c>
      <c r="B186" s="45">
        <v>8600.0816487209995</v>
      </c>
      <c r="C186" s="45">
        <v>114.94174906426016</v>
      </c>
      <c r="D186" s="45">
        <v>908.44118928636021</v>
      </c>
      <c r="E186" s="45">
        <v>4963.0737615546968</v>
      </c>
      <c r="F186" s="45">
        <v>6025.8966929787193</v>
      </c>
      <c r="G186" s="45">
        <v>28251.07865817058</v>
      </c>
      <c r="H186" s="45">
        <v>1032.4007670763554</v>
      </c>
      <c r="I186" s="45">
        <v>8605.2893008593564</v>
      </c>
      <c r="J186" s="45">
        <v>6675.0653856222125</v>
      </c>
      <c r="K186" s="45">
        <v>1220.0706313220207</v>
      </c>
      <c r="L186" s="45">
        <v>776.51339003414068</v>
      </c>
      <c r="M186" s="45">
        <v>148.47714926490903</v>
      </c>
      <c r="N186" s="45">
        <v>110.29681647176974</v>
      </c>
      <c r="O186" s="45">
        <v>1147.1581141274057</v>
      </c>
      <c r="P186" s="45">
        <v>2205.407014563993</v>
      </c>
      <c r="Q186" s="45">
        <v>1638.2726368199224</v>
      </c>
      <c r="R186" s="45">
        <v>5607.8947370314372</v>
      </c>
      <c r="S186" s="45">
        <v>587.6003332492686</v>
      </c>
      <c r="T186" s="45">
        <v>3056.675958780228</v>
      </c>
      <c r="U186" s="45">
        <v>275.34131142931784</v>
      </c>
      <c r="V186" s="45">
        <v>170.31597662456142</v>
      </c>
      <c r="W186" s="45">
        <v>57.973142348539518</v>
      </c>
      <c r="X186" s="45">
        <v>765.19095387395168</v>
      </c>
      <c r="Y186" s="45">
        <v>2406.6697764783703</v>
      </c>
      <c r="Z186" s="45">
        <v>1463.2041267150491</v>
      </c>
      <c r="AA186" s="45">
        <v>2611.7624428939594</v>
      </c>
      <c r="AB186" s="45">
        <v>409.4453325393078</v>
      </c>
      <c r="AC186" s="45">
        <v>-243.03335686170985</v>
      </c>
      <c r="AD186" s="45">
        <v>120.13421363633145</v>
      </c>
      <c r="AE186" s="45">
        <v>3530.2933335886673</v>
      </c>
      <c r="AF186" s="45">
        <v>911.94569725078372</v>
      </c>
      <c r="AG186" s="45">
        <v>30.161274132396411</v>
      </c>
      <c r="AH186" s="45">
        <v>345.76742805901046</v>
      </c>
      <c r="AI186" s="45">
        <v>1114.0284392248441</v>
      </c>
      <c r="AJ186" s="45">
        <v>7310.1678834308032</v>
      </c>
      <c r="AK186" s="45">
        <v>7641.7170202234356</v>
      </c>
      <c r="AL186" s="45">
        <v>52081.721225519264</v>
      </c>
      <c r="AM186" s="45">
        <v>12602.248360116189</v>
      </c>
      <c r="AN186" s="45">
        <v>13456.531885988295</v>
      </c>
      <c r="AO186" s="45">
        <v>11166.719321501154</v>
      </c>
      <c r="AP186" s="45">
        <v>16121.245218956905</v>
      </c>
      <c r="AQ186" s="45">
        <v>268.66992203177193</v>
      </c>
      <c r="AR186" s="45">
        <v>898.24805915455283</v>
      </c>
      <c r="AS186" s="45">
        <v>11651.323987410458</v>
      </c>
      <c r="AT186" s="45">
        <v>5990.0815711209752</v>
      </c>
      <c r="AU186" s="45">
        <v>14474.948779554288</v>
      </c>
      <c r="AV186" s="45">
        <v>2544.3461455698625</v>
      </c>
      <c r="AW186" s="45">
        <v>6397.1543995000375</v>
      </c>
      <c r="AX186" s="45">
        <v>200302.95144088869</v>
      </c>
      <c r="AY186" s="45">
        <v>1636.2479008650491</v>
      </c>
      <c r="AZ186" s="45">
        <v>4518.4980531142292</v>
      </c>
      <c r="BA186" s="45">
        <v>1974.3329952101751</v>
      </c>
      <c r="BB186" s="45">
        <v>21591.620725473887</v>
      </c>
      <c r="BC186" s="45">
        <v>16873.93640482597</v>
      </c>
      <c r="BD186" s="45">
        <v>29001.243632242629</v>
      </c>
      <c r="BE186" s="45">
        <v>20753.210646115276</v>
      </c>
      <c r="BF186" s="45">
        <v>-46.15767378618213</v>
      </c>
      <c r="BG186" s="45">
        <v>1372.9397971860767</v>
      </c>
      <c r="BH186" s="45">
        <v>10783.18801767293</v>
      </c>
      <c r="BI186" s="45">
        <v>542.00032185882549</v>
      </c>
      <c r="BJ186" s="45">
        <v>84714.476768645531</v>
      </c>
      <c r="BK186" s="36">
        <v>0</v>
      </c>
      <c r="BL186" s="36">
        <v>0</v>
      </c>
      <c r="BM186" s="36">
        <v>0</v>
      </c>
      <c r="BN186" s="36">
        <v>0</v>
      </c>
      <c r="BO186" s="36">
        <v>0</v>
      </c>
      <c r="BP186" s="36">
        <v>0</v>
      </c>
      <c r="BQ186" s="36">
        <v>0</v>
      </c>
      <c r="BR186" s="36">
        <v>0</v>
      </c>
      <c r="BS186" s="36">
        <v>0</v>
      </c>
      <c r="BT186" s="36">
        <v>0</v>
      </c>
      <c r="BU186" s="36">
        <v>0</v>
      </c>
      <c r="BV186" s="36">
        <v>0</v>
      </c>
      <c r="BW186" s="36">
        <v>0</v>
      </c>
      <c r="BX186" s="36">
        <v>0</v>
      </c>
      <c r="BY186" s="36">
        <v>0</v>
      </c>
      <c r="BZ186" s="36">
        <v>0</v>
      </c>
      <c r="CA186" s="36">
        <v>0</v>
      </c>
      <c r="CB186" s="36">
        <v>0</v>
      </c>
      <c r="CC186" s="36">
        <v>0</v>
      </c>
      <c r="CD186" s="36">
        <v>0</v>
      </c>
      <c r="CE186" s="36">
        <v>0</v>
      </c>
      <c r="CF186" s="36">
        <v>0</v>
      </c>
      <c r="CG186" s="36">
        <v>0</v>
      </c>
      <c r="CH186" s="36">
        <v>0</v>
      </c>
      <c r="CI186" s="36">
        <v>0</v>
      </c>
      <c r="CJ186" s="36">
        <v>0</v>
      </c>
      <c r="CK186" s="36">
        <v>0</v>
      </c>
      <c r="CL186" s="36">
        <v>0</v>
      </c>
      <c r="CM186" s="36">
        <v>0</v>
      </c>
      <c r="CN186" s="36">
        <v>0</v>
      </c>
      <c r="CO186" s="36">
        <v>0</v>
      </c>
      <c r="CP186" s="36">
        <v>0</v>
      </c>
      <c r="CQ186" s="36">
        <v>0</v>
      </c>
      <c r="CR186" s="36">
        <v>0</v>
      </c>
      <c r="CS186" s="36">
        <v>0</v>
      </c>
      <c r="CT186" s="36">
        <v>0</v>
      </c>
      <c r="CU186" s="36">
        <v>0</v>
      </c>
      <c r="CV186" s="36">
        <v>0</v>
      </c>
      <c r="CW186" s="36">
        <v>0</v>
      </c>
      <c r="CX186" s="36">
        <v>0</v>
      </c>
      <c r="CY186" s="36">
        <v>0</v>
      </c>
      <c r="CZ186" s="36">
        <v>0</v>
      </c>
      <c r="DA186" s="36">
        <v>0</v>
      </c>
      <c r="DB186" s="36">
        <v>0</v>
      </c>
      <c r="DC186" s="36">
        <v>0</v>
      </c>
      <c r="DD186" s="36">
        <v>0</v>
      </c>
      <c r="DE186" s="36">
        <v>0</v>
      </c>
      <c r="DF186" s="36">
        <v>0</v>
      </c>
      <c r="DG186" s="36">
        <v>0</v>
      </c>
      <c r="DH186" s="36">
        <v>0</v>
      </c>
      <c r="DI186" s="36">
        <v>0</v>
      </c>
      <c r="DJ186" s="36">
        <v>0</v>
      </c>
      <c r="DK186" s="36">
        <v>0</v>
      </c>
      <c r="DL186" s="36">
        <v>0</v>
      </c>
      <c r="DM186" s="36">
        <v>0</v>
      </c>
      <c r="DN186" s="36">
        <v>0</v>
      </c>
      <c r="DO186" s="36">
        <v>0</v>
      </c>
      <c r="DP186" s="36">
        <v>0</v>
      </c>
      <c r="DQ186" s="36">
        <v>0</v>
      </c>
      <c r="DR186" s="36">
        <v>0</v>
      </c>
      <c r="DS186" s="36">
        <v>0</v>
      </c>
      <c r="DT186" s="36">
        <v>0</v>
      </c>
      <c r="DU186" s="36">
        <v>0</v>
      </c>
      <c r="DV186" s="36">
        <v>0</v>
      </c>
      <c r="DW186" s="36">
        <v>0</v>
      </c>
      <c r="DX186" s="36">
        <v>0</v>
      </c>
      <c r="DY186" s="36">
        <v>0</v>
      </c>
      <c r="DZ186" s="36">
        <v>0</v>
      </c>
      <c r="EA186" s="36">
        <v>0</v>
      </c>
      <c r="EB186" s="36">
        <v>0</v>
      </c>
      <c r="EC186" s="36">
        <v>0</v>
      </c>
      <c r="ED186" s="36">
        <v>0</v>
      </c>
      <c r="EE186" s="36">
        <v>0</v>
      </c>
      <c r="EF186" s="36">
        <v>0</v>
      </c>
      <c r="EG186" s="36">
        <v>0</v>
      </c>
      <c r="EH186" s="36">
        <v>0</v>
      </c>
      <c r="EI186" s="36">
        <v>0</v>
      </c>
      <c r="EJ186" s="36">
        <v>0</v>
      </c>
      <c r="EK186" s="36">
        <v>0</v>
      </c>
      <c r="EL186" s="36">
        <v>0</v>
      </c>
      <c r="EM186" s="36">
        <v>0</v>
      </c>
      <c r="EN186" s="36">
        <v>0</v>
      </c>
      <c r="EO186" s="36">
        <v>0</v>
      </c>
      <c r="EP186" s="36">
        <v>0</v>
      </c>
      <c r="EQ186" s="36">
        <v>0</v>
      </c>
      <c r="ER186" s="36">
        <v>0</v>
      </c>
      <c r="ES186" s="36">
        <v>0</v>
      </c>
      <c r="ET186" s="36">
        <v>0</v>
      </c>
      <c r="EU186" s="36">
        <v>0</v>
      </c>
      <c r="EV186" s="36">
        <v>0</v>
      </c>
      <c r="EW186" s="36">
        <v>0</v>
      </c>
      <c r="EX186" s="36">
        <v>0</v>
      </c>
      <c r="EY186" s="36">
        <v>0</v>
      </c>
      <c r="EZ186" s="36">
        <v>0</v>
      </c>
      <c r="FA186" s="36">
        <v>0</v>
      </c>
      <c r="FB186" s="36">
        <v>0</v>
      </c>
      <c r="FC186" s="36">
        <v>0</v>
      </c>
      <c r="FD186" s="36">
        <v>0</v>
      </c>
      <c r="FE186" s="36">
        <v>0</v>
      </c>
      <c r="FF186" s="36">
        <v>0</v>
      </c>
      <c r="FG186" s="36">
        <v>0</v>
      </c>
      <c r="FH186" s="36">
        <v>0</v>
      </c>
      <c r="FI186" s="36">
        <v>0</v>
      </c>
      <c r="FJ186" s="36">
        <v>0</v>
      </c>
      <c r="FK186" s="36">
        <v>0</v>
      </c>
      <c r="FL186" s="36">
        <v>0</v>
      </c>
      <c r="FM186" s="36">
        <v>0</v>
      </c>
      <c r="FN186" s="36">
        <v>0</v>
      </c>
      <c r="FO186" s="36">
        <v>0</v>
      </c>
      <c r="FP186" s="36">
        <v>0</v>
      </c>
      <c r="FQ186" s="36">
        <v>0</v>
      </c>
      <c r="FR186" s="36">
        <v>0</v>
      </c>
      <c r="FS186" s="36">
        <v>0</v>
      </c>
      <c r="FT186" s="36">
        <v>0</v>
      </c>
      <c r="FU186" s="36">
        <v>0</v>
      </c>
      <c r="FV186" s="36">
        <v>0</v>
      </c>
      <c r="FW186" s="36">
        <v>0</v>
      </c>
      <c r="FX186" s="36">
        <v>0</v>
      </c>
      <c r="FY186" s="36">
        <v>0</v>
      </c>
      <c r="FZ186" s="36">
        <v>0</v>
      </c>
      <c r="GA186" s="36">
        <v>0</v>
      </c>
      <c r="GB186" s="36">
        <v>0</v>
      </c>
      <c r="GC186" s="36">
        <v>0</v>
      </c>
      <c r="GD186" s="36">
        <v>0</v>
      </c>
      <c r="GE186" s="36">
        <v>0</v>
      </c>
      <c r="GF186" s="36">
        <v>0</v>
      </c>
      <c r="GG186" s="36"/>
      <c r="GH186" s="36"/>
      <c r="GI186" s="36"/>
      <c r="GJ186" s="36"/>
      <c r="GK186" s="36"/>
      <c r="GL186" s="36"/>
      <c r="GM186" s="36"/>
      <c r="GN186" s="36"/>
      <c r="GO186" s="36"/>
      <c r="GP186" s="36"/>
      <c r="GQ186" s="36"/>
      <c r="GR186" s="36"/>
      <c r="GS186" s="36"/>
      <c r="GT186" s="36"/>
      <c r="GU186" s="36">
        <v>0</v>
      </c>
      <c r="GV186" s="36">
        <v>0</v>
      </c>
      <c r="GW186" s="36">
        <v>0</v>
      </c>
      <c r="GX186" s="36">
        <v>0</v>
      </c>
      <c r="GY186" s="36">
        <v>0</v>
      </c>
      <c r="GZ186" s="36">
        <v>0</v>
      </c>
      <c r="HA186" s="36">
        <v>0</v>
      </c>
      <c r="HB186" s="36">
        <v>32658.980465069486</v>
      </c>
      <c r="HC186" s="36">
        <f t="shared" si="2"/>
        <v>684926.42930239264</v>
      </c>
      <c r="HD186" s="36">
        <f>SUM(GA$5:GA$213)</f>
        <v>684926.42930239253</v>
      </c>
      <c r="HE186" s="41">
        <v>0</v>
      </c>
    </row>
    <row r="187" spans="1:213" outlineLevel="1" x14ac:dyDescent="0.2">
      <c r="A187" s="16" t="s">
        <v>1535</v>
      </c>
      <c r="B187" s="45">
        <v>28568.296636169547</v>
      </c>
      <c r="C187" s="45">
        <v>381.82079162426288</v>
      </c>
      <c r="D187" s="45">
        <v>1599.6464420042432</v>
      </c>
      <c r="E187" s="45">
        <v>31860.502179213468</v>
      </c>
      <c r="F187" s="45">
        <v>9044.2910454446701</v>
      </c>
      <c r="G187" s="45">
        <v>48979.662030418825</v>
      </c>
      <c r="H187" s="45">
        <v>7927.4132436966074</v>
      </c>
      <c r="I187" s="45">
        <v>22166.766561199911</v>
      </c>
      <c r="J187" s="45">
        <v>20195.657603036074</v>
      </c>
      <c r="K187" s="45">
        <v>3750.3383904363773</v>
      </c>
      <c r="L187" s="45">
        <v>3466.8336275062716</v>
      </c>
      <c r="M187" s="45">
        <v>459.24327563332326</v>
      </c>
      <c r="N187" s="45">
        <v>236.62514696559907</v>
      </c>
      <c r="O187" s="45">
        <v>2049.3534609012431</v>
      </c>
      <c r="P187" s="45">
        <v>18847.074483581386</v>
      </c>
      <c r="Q187" s="45">
        <v>3638.800119093466</v>
      </c>
      <c r="R187" s="45">
        <v>42526.53508915507</v>
      </c>
      <c r="S187" s="45">
        <v>7518.4815666327058</v>
      </c>
      <c r="T187" s="45">
        <v>8455.702985426411</v>
      </c>
      <c r="U187" s="45">
        <v>935.86302225782788</v>
      </c>
      <c r="V187" s="45">
        <v>2597.7369047638167</v>
      </c>
      <c r="W187" s="45">
        <v>252.08181756868439</v>
      </c>
      <c r="X187" s="45">
        <v>4393.70351780086</v>
      </c>
      <c r="Y187" s="45">
        <v>14431.486259928577</v>
      </c>
      <c r="Z187" s="45">
        <v>10639.692598092746</v>
      </c>
      <c r="AA187" s="45">
        <v>7025.3103685438764</v>
      </c>
      <c r="AB187" s="45">
        <v>821.32904919299369</v>
      </c>
      <c r="AC187" s="45">
        <v>-761.43019603921016</v>
      </c>
      <c r="AD187" s="45">
        <v>684.32007619510284</v>
      </c>
      <c r="AE187" s="45">
        <v>15196.286378696203</v>
      </c>
      <c r="AF187" s="45">
        <v>975.10248216007187</v>
      </c>
      <c r="AG187" s="45">
        <v>208.52238906348134</v>
      </c>
      <c r="AH187" s="45">
        <v>3334.1859134261722</v>
      </c>
      <c r="AI187" s="45">
        <v>60703.255948178186</v>
      </c>
      <c r="AJ187" s="45">
        <v>16322.117162857941</v>
      </c>
      <c r="AK187" s="45">
        <v>18057.17152097524</v>
      </c>
      <c r="AL187" s="45">
        <v>44948.42828129897</v>
      </c>
      <c r="AM187" s="45">
        <v>28012.039032412107</v>
      </c>
      <c r="AN187" s="45">
        <v>11698.784614959348</v>
      </c>
      <c r="AO187" s="45">
        <v>3052.4985245294101</v>
      </c>
      <c r="AP187" s="45">
        <v>21385.109920484501</v>
      </c>
      <c r="AQ187" s="45">
        <v>1591.7650369598546</v>
      </c>
      <c r="AR187" s="45">
        <v>298.38117172376661</v>
      </c>
      <c r="AS187" s="45">
        <v>5319.6312643317278</v>
      </c>
      <c r="AT187" s="45">
        <v>11908.07454823777</v>
      </c>
      <c r="AU187" s="45">
        <v>5416.1960243496796</v>
      </c>
      <c r="AV187" s="45">
        <v>952.03635522841932</v>
      </c>
      <c r="AW187" s="45">
        <v>2393.6694183445707</v>
      </c>
      <c r="AX187" s="45">
        <v>47430.456558879683</v>
      </c>
      <c r="AY187" s="45">
        <v>3350.5937807003743</v>
      </c>
      <c r="AZ187" s="45">
        <v>4443.9521534752985</v>
      </c>
      <c r="BA187" s="45">
        <v>860.43182347386437</v>
      </c>
      <c r="BB187" s="45">
        <v>25894.813770888468</v>
      </c>
      <c r="BC187" s="45">
        <v>20236.898671958945</v>
      </c>
      <c r="BD187" s="45">
        <v>12638.999095916908</v>
      </c>
      <c r="BE187" s="45">
        <v>11556.827324891898</v>
      </c>
      <c r="BF187" s="45">
        <v>-52.699706291310306</v>
      </c>
      <c r="BG187" s="45">
        <v>330.46394196345807</v>
      </c>
      <c r="BH187" s="45">
        <v>5041.595598506744</v>
      </c>
      <c r="BI187" s="45">
        <v>283.62208623297448</v>
      </c>
      <c r="BJ187" s="45">
        <v>44330.041267976158</v>
      </c>
      <c r="BK187" s="36">
        <v>0</v>
      </c>
      <c r="BL187" s="36">
        <v>0</v>
      </c>
      <c r="BM187" s="36">
        <v>0</v>
      </c>
      <c r="BN187" s="36">
        <v>0</v>
      </c>
      <c r="BO187" s="36">
        <v>0</v>
      </c>
      <c r="BP187" s="36">
        <v>0</v>
      </c>
      <c r="BQ187" s="36">
        <v>0</v>
      </c>
      <c r="BR187" s="36">
        <v>0</v>
      </c>
      <c r="BS187" s="36">
        <v>0</v>
      </c>
      <c r="BT187" s="36">
        <v>0</v>
      </c>
      <c r="BU187" s="36">
        <v>0</v>
      </c>
      <c r="BV187" s="36">
        <v>0</v>
      </c>
      <c r="BW187" s="36">
        <v>0</v>
      </c>
      <c r="BX187" s="36">
        <v>0</v>
      </c>
      <c r="BY187" s="36">
        <v>0</v>
      </c>
      <c r="BZ187" s="36">
        <v>0</v>
      </c>
      <c r="CA187" s="36">
        <v>0</v>
      </c>
      <c r="CB187" s="36">
        <v>0</v>
      </c>
      <c r="CC187" s="36">
        <v>0</v>
      </c>
      <c r="CD187" s="36">
        <v>0</v>
      </c>
      <c r="CE187" s="36">
        <v>0</v>
      </c>
      <c r="CF187" s="36">
        <v>0</v>
      </c>
      <c r="CG187" s="36">
        <v>0</v>
      </c>
      <c r="CH187" s="36">
        <v>0</v>
      </c>
      <c r="CI187" s="36">
        <v>0</v>
      </c>
      <c r="CJ187" s="36">
        <v>0</v>
      </c>
      <c r="CK187" s="36">
        <v>0</v>
      </c>
      <c r="CL187" s="36">
        <v>0</v>
      </c>
      <c r="CM187" s="36">
        <v>0</v>
      </c>
      <c r="CN187" s="36">
        <v>0</v>
      </c>
      <c r="CO187" s="36">
        <v>0</v>
      </c>
      <c r="CP187" s="36">
        <v>0</v>
      </c>
      <c r="CQ187" s="36">
        <v>0</v>
      </c>
      <c r="CR187" s="36">
        <v>0</v>
      </c>
      <c r="CS187" s="36">
        <v>0</v>
      </c>
      <c r="CT187" s="36">
        <v>0</v>
      </c>
      <c r="CU187" s="36">
        <v>0</v>
      </c>
      <c r="CV187" s="36">
        <v>0</v>
      </c>
      <c r="CW187" s="36">
        <v>0</v>
      </c>
      <c r="CX187" s="36">
        <v>0</v>
      </c>
      <c r="CY187" s="36">
        <v>0</v>
      </c>
      <c r="CZ187" s="36">
        <v>0</v>
      </c>
      <c r="DA187" s="36">
        <v>0</v>
      </c>
      <c r="DB187" s="36">
        <v>0</v>
      </c>
      <c r="DC187" s="36">
        <v>0</v>
      </c>
      <c r="DD187" s="36">
        <v>0</v>
      </c>
      <c r="DE187" s="36">
        <v>0</v>
      </c>
      <c r="DF187" s="36">
        <v>0</v>
      </c>
      <c r="DG187" s="36">
        <v>0</v>
      </c>
      <c r="DH187" s="36">
        <v>0</v>
      </c>
      <c r="DI187" s="36">
        <v>0</v>
      </c>
      <c r="DJ187" s="36">
        <v>0</v>
      </c>
      <c r="DK187" s="36">
        <v>0</v>
      </c>
      <c r="DL187" s="36">
        <v>0</v>
      </c>
      <c r="DM187" s="36">
        <v>0</v>
      </c>
      <c r="DN187" s="36">
        <v>0</v>
      </c>
      <c r="DO187" s="36">
        <v>0</v>
      </c>
      <c r="DP187" s="36">
        <v>0</v>
      </c>
      <c r="DQ187" s="36">
        <v>0</v>
      </c>
      <c r="DR187" s="36">
        <v>0</v>
      </c>
      <c r="DS187" s="36">
        <v>0</v>
      </c>
      <c r="DT187" s="36">
        <v>0</v>
      </c>
      <c r="DU187" s="36">
        <v>0</v>
      </c>
      <c r="DV187" s="36">
        <v>0</v>
      </c>
      <c r="DW187" s="36">
        <v>0</v>
      </c>
      <c r="DX187" s="36">
        <v>0</v>
      </c>
      <c r="DY187" s="36">
        <v>0</v>
      </c>
      <c r="DZ187" s="36">
        <v>0</v>
      </c>
      <c r="EA187" s="36">
        <v>0</v>
      </c>
      <c r="EB187" s="36">
        <v>0</v>
      </c>
      <c r="EC187" s="36">
        <v>0</v>
      </c>
      <c r="ED187" s="36">
        <v>0</v>
      </c>
      <c r="EE187" s="36">
        <v>0</v>
      </c>
      <c r="EF187" s="36">
        <v>0</v>
      </c>
      <c r="EG187" s="36">
        <v>0</v>
      </c>
      <c r="EH187" s="36">
        <v>0</v>
      </c>
      <c r="EI187" s="36">
        <v>0</v>
      </c>
      <c r="EJ187" s="36">
        <v>0</v>
      </c>
      <c r="EK187" s="36">
        <v>0</v>
      </c>
      <c r="EL187" s="36">
        <v>0</v>
      </c>
      <c r="EM187" s="36">
        <v>0</v>
      </c>
      <c r="EN187" s="36">
        <v>0</v>
      </c>
      <c r="EO187" s="36">
        <v>0</v>
      </c>
      <c r="EP187" s="36">
        <v>0</v>
      </c>
      <c r="EQ187" s="36">
        <v>0</v>
      </c>
      <c r="ER187" s="36">
        <v>0</v>
      </c>
      <c r="ES187" s="36">
        <v>0</v>
      </c>
      <c r="ET187" s="36">
        <v>0</v>
      </c>
      <c r="EU187" s="36">
        <v>0</v>
      </c>
      <c r="EV187" s="36">
        <v>0</v>
      </c>
      <c r="EW187" s="36">
        <v>0</v>
      </c>
      <c r="EX187" s="36">
        <v>0</v>
      </c>
      <c r="EY187" s="36">
        <v>0</v>
      </c>
      <c r="EZ187" s="36">
        <v>0</v>
      </c>
      <c r="FA187" s="36">
        <v>0</v>
      </c>
      <c r="FB187" s="36">
        <v>0</v>
      </c>
      <c r="FC187" s="36">
        <v>0</v>
      </c>
      <c r="FD187" s="36">
        <v>0</v>
      </c>
      <c r="FE187" s="36">
        <v>0</v>
      </c>
      <c r="FF187" s="36">
        <v>0</v>
      </c>
      <c r="FG187" s="36">
        <v>0</v>
      </c>
      <c r="FH187" s="36">
        <v>0</v>
      </c>
      <c r="FI187" s="36">
        <v>0</v>
      </c>
      <c r="FJ187" s="36">
        <v>0</v>
      </c>
      <c r="FK187" s="36">
        <v>0</v>
      </c>
      <c r="FL187" s="36">
        <v>0</v>
      </c>
      <c r="FM187" s="36">
        <v>0</v>
      </c>
      <c r="FN187" s="36">
        <v>0</v>
      </c>
      <c r="FO187" s="36">
        <v>0</v>
      </c>
      <c r="FP187" s="36">
        <v>0</v>
      </c>
      <c r="FQ187" s="36">
        <v>0</v>
      </c>
      <c r="FR187" s="36">
        <v>0</v>
      </c>
      <c r="FS187" s="36">
        <v>0</v>
      </c>
      <c r="FT187" s="36">
        <v>0</v>
      </c>
      <c r="FU187" s="36">
        <v>0</v>
      </c>
      <c r="FV187" s="36">
        <v>0</v>
      </c>
      <c r="FW187" s="36">
        <v>0</v>
      </c>
      <c r="FX187" s="36">
        <v>0</v>
      </c>
      <c r="FY187" s="36">
        <v>0</v>
      </c>
      <c r="FZ187" s="36">
        <v>0</v>
      </c>
      <c r="GA187" s="36">
        <v>0</v>
      </c>
      <c r="GB187" s="36">
        <v>0</v>
      </c>
      <c r="GC187" s="36">
        <v>0</v>
      </c>
      <c r="GD187" s="36">
        <v>0</v>
      </c>
      <c r="GE187" s="36">
        <v>0</v>
      </c>
      <c r="GF187" s="36">
        <v>0</v>
      </c>
      <c r="GG187" s="36"/>
      <c r="GH187" s="36"/>
      <c r="GI187" s="36"/>
      <c r="GJ187" s="36"/>
      <c r="GK187" s="36"/>
      <c r="GL187" s="36"/>
      <c r="GM187" s="36"/>
      <c r="GN187" s="36"/>
      <c r="GO187" s="36"/>
      <c r="GP187" s="36"/>
      <c r="GQ187" s="36"/>
      <c r="GR187" s="36"/>
      <c r="GS187" s="36"/>
      <c r="GT187" s="36"/>
      <c r="GU187" s="36">
        <v>0</v>
      </c>
      <c r="GV187" s="36">
        <v>0</v>
      </c>
      <c r="GW187" s="36">
        <v>0</v>
      </c>
      <c r="GX187" s="36">
        <v>0</v>
      </c>
      <c r="GY187" s="36">
        <v>0</v>
      </c>
      <c r="GZ187" s="36">
        <v>0</v>
      </c>
      <c r="HA187" s="36">
        <v>0</v>
      </c>
      <c r="HB187" s="36">
        <v>36591.719586784995</v>
      </c>
      <c r="HC187" s="36">
        <f t="shared" si="2"/>
        <v>767404.11004002055</v>
      </c>
      <c r="HD187" s="36">
        <f>SUM(GB$5:GB$213)</f>
        <v>767404.11004002043</v>
      </c>
      <c r="HE187" s="41">
        <v>0</v>
      </c>
    </row>
    <row r="188" spans="1:213" outlineLevel="1" x14ac:dyDescent="0.2">
      <c r="A188" s="16" t="s">
        <v>1536</v>
      </c>
      <c r="B188" s="45">
        <v>104.71248169432661</v>
      </c>
      <c r="C188" s="45">
        <v>1.3995025031646287</v>
      </c>
      <c r="D188" s="45">
        <v>36.205989428079576</v>
      </c>
      <c r="E188" s="45">
        <v>27.605073868953287</v>
      </c>
      <c r="F188" s="45">
        <v>33.98307729392959</v>
      </c>
      <c r="G188" s="45">
        <v>156.60330844418311</v>
      </c>
      <c r="H188" s="45">
        <v>42.411379673359129</v>
      </c>
      <c r="I188" s="45">
        <v>412.22942758607701</v>
      </c>
      <c r="J188" s="45">
        <v>47.553622321946925</v>
      </c>
      <c r="K188" s="45">
        <v>67.258579455458701</v>
      </c>
      <c r="L188" s="45">
        <v>183.97394163885798</v>
      </c>
      <c r="M188" s="45">
        <v>4.3161961995613094</v>
      </c>
      <c r="N188" s="45">
        <v>1.923781682647147</v>
      </c>
      <c r="O188" s="45">
        <v>11.364252093722236</v>
      </c>
      <c r="P188" s="45">
        <v>53.68279828715287</v>
      </c>
      <c r="Q188" s="45">
        <v>111.14041568186353</v>
      </c>
      <c r="R188" s="45">
        <v>259.62475634404802</v>
      </c>
      <c r="S188" s="45">
        <v>6.4027174470006658</v>
      </c>
      <c r="T188" s="45">
        <v>145.78058998250489</v>
      </c>
      <c r="U188" s="45">
        <v>5.948732037053162</v>
      </c>
      <c r="V188" s="45">
        <v>9.7036607507117516</v>
      </c>
      <c r="W188" s="45">
        <v>1.7837889953396773</v>
      </c>
      <c r="X188" s="45">
        <v>24.031693055284709</v>
      </c>
      <c r="Y188" s="45">
        <v>37.862520303559556</v>
      </c>
      <c r="Z188" s="45">
        <v>115.99493854269561</v>
      </c>
      <c r="AA188" s="45">
        <v>258.39222036625779</v>
      </c>
      <c r="AB188" s="45">
        <v>36.778960391868345</v>
      </c>
      <c r="AC188" s="45">
        <v>-23.411470156403244</v>
      </c>
      <c r="AD188" s="45">
        <v>21.802135067334227</v>
      </c>
      <c r="AE188" s="45">
        <v>234.99411925818873</v>
      </c>
      <c r="AF188" s="45">
        <v>16.267656719059101</v>
      </c>
      <c r="AG188" s="45">
        <v>15.639179179761102</v>
      </c>
      <c r="AH188" s="45">
        <v>127.84678012265933</v>
      </c>
      <c r="AI188" s="45">
        <v>1871.1935391899001</v>
      </c>
      <c r="AJ188" s="45">
        <v>41.028272649806844</v>
      </c>
      <c r="AK188" s="45">
        <v>171.3470775681848</v>
      </c>
      <c r="AL188" s="45">
        <v>1954.2263200521222</v>
      </c>
      <c r="AM188" s="45">
        <v>1706.1505472157301</v>
      </c>
      <c r="AN188" s="45">
        <v>548.15674155791703</v>
      </c>
      <c r="AO188" s="45">
        <v>801.63163499132918</v>
      </c>
      <c r="AP188" s="45">
        <v>588.47106147085549</v>
      </c>
      <c r="AQ188" s="45">
        <v>7.7443658235322284</v>
      </c>
      <c r="AR188" s="45">
        <v>54.846943704137452</v>
      </c>
      <c r="AS188" s="45">
        <v>460.12555445420776</v>
      </c>
      <c r="AT188" s="45">
        <v>49179.319420280866</v>
      </c>
      <c r="AU188" s="45">
        <v>2664.1234842369536</v>
      </c>
      <c r="AV188" s="45">
        <v>468.28851843779495</v>
      </c>
      <c r="AW188" s="45">
        <v>1177.4003160598802</v>
      </c>
      <c r="AX188" s="45">
        <v>1422.8236446369831</v>
      </c>
      <c r="AY188" s="45">
        <v>205.72150558023898</v>
      </c>
      <c r="AZ188" s="45">
        <v>7095.4142656326921</v>
      </c>
      <c r="BA188" s="45">
        <v>90.930707896841682</v>
      </c>
      <c r="BB188" s="45">
        <v>5431.1477488477003</v>
      </c>
      <c r="BC188" s="45">
        <v>4244.4632982621288</v>
      </c>
      <c r="BD188" s="45">
        <v>1335.6934315367937</v>
      </c>
      <c r="BE188" s="45">
        <v>634.12588085352229</v>
      </c>
      <c r="BF188" s="45">
        <v>-3.0287187523741554</v>
      </c>
      <c r="BG188" s="45">
        <v>44.302963491681105</v>
      </c>
      <c r="BH188" s="45">
        <v>423.50482020629147</v>
      </c>
      <c r="BI188" s="45">
        <v>84.641146153296049</v>
      </c>
      <c r="BJ188" s="45">
        <v>13229.384043322729</v>
      </c>
      <c r="BK188" s="36">
        <v>0</v>
      </c>
      <c r="BL188" s="36">
        <v>0</v>
      </c>
      <c r="BM188" s="36">
        <v>0</v>
      </c>
      <c r="BN188" s="36">
        <v>0</v>
      </c>
      <c r="BO188" s="36">
        <v>0</v>
      </c>
      <c r="BP188" s="36">
        <v>0</v>
      </c>
      <c r="BQ188" s="36">
        <v>0</v>
      </c>
      <c r="BR188" s="36">
        <v>0</v>
      </c>
      <c r="BS188" s="36">
        <v>0</v>
      </c>
      <c r="BT188" s="36">
        <v>0</v>
      </c>
      <c r="BU188" s="36">
        <v>0</v>
      </c>
      <c r="BV188" s="36">
        <v>0</v>
      </c>
      <c r="BW188" s="36">
        <v>0</v>
      </c>
      <c r="BX188" s="36">
        <v>0</v>
      </c>
      <c r="BY188" s="36">
        <v>0</v>
      </c>
      <c r="BZ188" s="36">
        <v>0</v>
      </c>
      <c r="CA188" s="36">
        <v>0</v>
      </c>
      <c r="CB188" s="36">
        <v>0</v>
      </c>
      <c r="CC188" s="36">
        <v>0</v>
      </c>
      <c r="CD188" s="36">
        <v>0</v>
      </c>
      <c r="CE188" s="36">
        <v>0</v>
      </c>
      <c r="CF188" s="36">
        <v>0</v>
      </c>
      <c r="CG188" s="36">
        <v>0</v>
      </c>
      <c r="CH188" s="36">
        <v>0</v>
      </c>
      <c r="CI188" s="36">
        <v>0</v>
      </c>
      <c r="CJ188" s="36">
        <v>0</v>
      </c>
      <c r="CK188" s="36">
        <v>0</v>
      </c>
      <c r="CL188" s="36">
        <v>0</v>
      </c>
      <c r="CM188" s="36">
        <v>0</v>
      </c>
      <c r="CN188" s="36">
        <v>0</v>
      </c>
      <c r="CO188" s="36">
        <v>0</v>
      </c>
      <c r="CP188" s="36">
        <v>0</v>
      </c>
      <c r="CQ188" s="36">
        <v>0</v>
      </c>
      <c r="CR188" s="36">
        <v>0</v>
      </c>
      <c r="CS188" s="36">
        <v>0</v>
      </c>
      <c r="CT188" s="36">
        <v>0</v>
      </c>
      <c r="CU188" s="36">
        <v>0</v>
      </c>
      <c r="CV188" s="36">
        <v>0</v>
      </c>
      <c r="CW188" s="36">
        <v>0</v>
      </c>
      <c r="CX188" s="36">
        <v>0</v>
      </c>
      <c r="CY188" s="36">
        <v>0</v>
      </c>
      <c r="CZ188" s="36">
        <v>0</v>
      </c>
      <c r="DA188" s="36">
        <v>0</v>
      </c>
      <c r="DB188" s="36">
        <v>0</v>
      </c>
      <c r="DC188" s="36">
        <v>0</v>
      </c>
      <c r="DD188" s="36">
        <v>0</v>
      </c>
      <c r="DE188" s="36">
        <v>0</v>
      </c>
      <c r="DF188" s="36">
        <v>0</v>
      </c>
      <c r="DG188" s="36">
        <v>0</v>
      </c>
      <c r="DH188" s="36">
        <v>0</v>
      </c>
      <c r="DI188" s="36">
        <v>0</v>
      </c>
      <c r="DJ188" s="36">
        <v>0</v>
      </c>
      <c r="DK188" s="36">
        <v>0</v>
      </c>
      <c r="DL188" s="36">
        <v>0</v>
      </c>
      <c r="DM188" s="36">
        <v>0</v>
      </c>
      <c r="DN188" s="36">
        <v>0</v>
      </c>
      <c r="DO188" s="36">
        <v>0</v>
      </c>
      <c r="DP188" s="36">
        <v>0</v>
      </c>
      <c r="DQ188" s="36">
        <v>0</v>
      </c>
      <c r="DR188" s="36">
        <v>0</v>
      </c>
      <c r="DS188" s="36">
        <v>0</v>
      </c>
      <c r="DT188" s="36">
        <v>0</v>
      </c>
      <c r="DU188" s="36">
        <v>0</v>
      </c>
      <c r="DV188" s="36">
        <v>0</v>
      </c>
      <c r="DW188" s="36">
        <v>0</v>
      </c>
      <c r="DX188" s="36">
        <v>0</v>
      </c>
      <c r="DY188" s="36">
        <v>0</v>
      </c>
      <c r="DZ188" s="36">
        <v>0</v>
      </c>
      <c r="EA188" s="36">
        <v>0</v>
      </c>
      <c r="EB188" s="36">
        <v>0</v>
      </c>
      <c r="EC188" s="36">
        <v>0</v>
      </c>
      <c r="ED188" s="36">
        <v>0</v>
      </c>
      <c r="EE188" s="36">
        <v>0</v>
      </c>
      <c r="EF188" s="36">
        <v>0</v>
      </c>
      <c r="EG188" s="36">
        <v>0</v>
      </c>
      <c r="EH188" s="36">
        <v>0</v>
      </c>
      <c r="EI188" s="36">
        <v>0</v>
      </c>
      <c r="EJ188" s="36">
        <v>0</v>
      </c>
      <c r="EK188" s="36">
        <v>0</v>
      </c>
      <c r="EL188" s="36">
        <v>0</v>
      </c>
      <c r="EM188" s="36">
        <v>0</v>
      </c>
      <c r="EN188" s="36">
        <v>0</v>
      </c>
      <c r="EO188" s="36">
        <v>0</v>
      </c>
      <c r="EP188" s="36">
        <v>0</v>
      </c>
      <c r="EQ188" s="36">
        <v>0</v>
      </c>
      <c r="ER188" s="36">
        <v>0</v>
      </c>
      <c r="ES188" s="36">
        <v>0</v>
      </c>
      <c r="ET188" s="36">
        <v>0</v>
      </c>
      <c r="EU188" s="36">
        <v>0</v>
      </c>
      <c r="EV188" s="36">
        <v>0</v>
      </c>
      <c r="EW188" s="36">
        <v>0</v>
      </c>
      <c r="EX188" s="36">
        <v>0</v>
      </c>
      <c r="EY188" s="36">
        <v>0</v>
      </c>
      <c r="EZ188" s="36">
        <v>0</v>
      </c>
      <c r="FA188" s="36">
        <v>0</v>
      </c>
      <c r="FB188" s="36">
        <v>0</v>
      </c>
      <c r="FC188" s="36">
        <v>0</v>
      </c>
      <c r="FD188" s="36">
        <v>0</v>
      </c>
      <c r="FE188" s="36">
        <v>0</v>
      </c>
      <c r="FF188" s="36">
        <v>0</v>
      </c>
      <c r="FG188" s="36">
        <v>0</v>
      </c>
      <c r="FH188" s="36">
        <v>0</v>
      </c>
      <c r="FI188" s="36">
        <v>0</v>
      </c>
      <c r="FJ188" s="36">
        <v>0</v>
      </c>
      <c r="FK188" s="36">
        <v>0</v>
      </c>
      <c r="FL188" s="36">
        <v>0</v>
      </c>
      <c r="FM188" s="36">
        <v>0</v>
      </c>
      <c r="FN188" s="36">
        <v>0</v>
      </c>
      <c r="FO188" s="36">
        <v>0</v>
      </c>
      <c r="FP188" s="36">
        <v>0</v>
      </c>
      <c r="FQ188" s="36">
        <v>0</v>
      </c>
      <c r="FR188" s="36">
        <v>0</v>
      </c>
      <c r="FS188" s="36">
        <v>0</v>
      </c>
      <c r="FT188" s="36">
        <v>0</v>
      </c>
      <c r="FU188" s="36">
        <v>0</v>
      </c>
      <c r="FV188" s="36">
        <v>0</v>
      </c>
      <c r="FW188" s="36">
        <v>0</v>
      </c>
      <c r="FX188" s="36">
        <v>0</v>
      </c>
      <c r="FY188" s="36">
        <v>0</v>
      </c>
      <c r="FZ188" s="36">
        <v>0</v>
      </c>
      <c r="GA188" s="36">
        <v>0</v>
      </c>
      <c r="GB188" s="36">
        <v>0</v>
      </c>
      <c r="GC188" s="36">
        <v>0</v>
      </c>
      <c r="GD188" s="36">
        <v>0</v>
      </c>
      <c r="GE188" s="36">
        <v>0</v>
      </c>
      <c r="GF188" s="36">
        <v>0</v>
      </c>
      <c r="GG188" s="36"/>
      <c r="GH188" s="36"/>
      <c r="GI188" s="36"/>
      <c r="GJ188" s="36"/>
      <c r="GK188" s="36"/>
      <c r="GL188" s="36"/>
      <c r="GM188" s="36"/>
      <c r="GN188" s="36"/>
      <c r="GO188" s="36"/>
      <c r="GP188" s="36"/>
      <c r="GQ188" s="36"/>
      <c r="GR188" s="36"/>
      <c r="GS188" s="36"/>
      <c r="GT188" s="36"/>
      <c r="GU188" s="36">
        <v>0</v>
      </c>
      <c r="GV188" s="36">
        <v>0</v>
      </c>
      <c r="GW188" s="36">
        <v>0</v>
      </c>
      <c r="GX188" s="36">
        <v>0</v>
      </c>
      <c r="GY188" s="36">
        <v>0</v>
      </c>
      <c r="GZ188" s="36">
        <v>0</v>
      </c>
      <c r="HA188" s="36">
        <v>0</v>
      </c>
      <c r="HB188" s="36">
        <v>4933.1383580905867</v>
      </c>
      <c r="HC188" s="36">
        <f t="shared" si="2"/>
        <v>103458.12369971251</v>
      </c>
      <c r="HD188" s="36">
        <f>SUM(GC$5:GC$213)</f>
        <v>103458.12369971252</v>
      </c>
      <c r="HE188" s="41">
        <v>0</v>
      </c>
    </row>
    <row r="189" spans="1:213" outlineLevel="1" x14ac:dyDescent="0.2">
      <c r="A189" s="16" t="s">
        <v>1537</v>
      </c>
      <c r="B189" s="45">
        <v>2772.6044066019522</v>
      </c>
      <c r="C189" s="45">
        <v>37.056392366402555</v>
      </c>
      <c r="D189" s="45">
        <v>2677.5974908857029</v>
      </c>
      <c r="E189" s="45">
        <v>316.92748268779059</v>
      </c>
      <c r="F189" s="45">
        <v>121.55485339751736</v>
      </c>
      <c r="G189" s="45">
        <v>3555.2114720030449</v>
      </c>
      <c r="H189" s="45">
        <v>505.89043488830032</v>
      </c>
      <c r="I189" s="45">
        <v>2093.0804034476159</v>
      </c>
      <c r="J189" s="45">
        <v>1144.9449066745683</v>
      </c>
      <c r="K189" s="45">
        <v>228.67917014855959</v>
      </c>
      <c r="L189" s="45">
        <v>372.72642721638761</v>
      </c>
      <c r="M189" s="45">
        <v>31.076612636841428</v>
      </c>
      <c r="N189" s="45">
        <v>8.3363872914709702</v>
      </c>
      <c r="O189" s="45">
        <v>399.64286529589867</v>
      </c>
      <c r="P189" s="45">
        <v>258.85404105586042</v>
      </c>
      <c r="Q189" s="45">
        <v>185.05927705517846</v>
      </c>
      <c r="R189" s="45">
        <v>4569.3957116552465</v>
      </c>
      <c r="S189" s="45">
        <v>63.664756501308503</v>
      </c>
      <c r="T189" s="45">
        <v>428.33767468388947</v>
      </c>
      <c r="U189" s="45">
        <v>29.531205469656772</v>
      </c>
      <c r="V189" s="45">
        <v>145.38760676497432</v>
      </c>
      <c r="W189" s="45">
        <v>5.0270417141390906</v>
      </c>
      <c r="X189" s="45">
        <v>281.28004371526418</v>
      </c>
      <c r="Y189" s="45">
        <v>238.37389543226936</v>
      </c>
      <c r="Z189" s="45">
        <v>1600.4268971479114</v>
      </c>
      <c r="AA189" s="45">
        <v>1922.7165219172716</v>
      </c>
      <c r="AB189" s="45">
        <v>309.47158384980935</v>
      </c>
      <c r="AC189" s="45">
        <v>-40.133948839548417</v>
      </c>
      <c r="AD189" s="45">
        <v>77.864768097622246</v>
      </c>
      <c r="AE189" s="45">
        <v>306.15009938980313</v>
      </c>
      <c r="AF189" s="45">
        <v>227.26873357509035</v>
      </c>
      <c r="AG189" s="45">
        <v>121.3898193476695</v>
      </c>
      <c r="AH189" s="45">
        <v>522.28315288745489</v>
      </c>
      <c r="AI189" s="45">
        <v>667.08049672119944</v>
      </c>
      <c r="AJ189" s="45">
        <v>279.17063781281615</v>
      </c>
      <c r="AK189" s="45">
        <v>6795.8608119106511</v>
      </c>
      <c r="AL189" s="45">
        <v>17710.328890484878</v>
      </c>
      <c r="AM189" s="45">
        <v>3373.524945631103</v>
      </c>
      <c r="AN189" s="45">
        <v>6501.0608327759619</v>
      </c>
      <c r="AO189" s="45">
        <v>798.82545657245646</v>
      </c>
      <c r="AP189" s="45">
        <v>23488.402082136716</v>
      </c>
      <c r="AQ189" s="45">
        <v>143.56862795932821</v>
      </c>
      <c r="AR189" s="45">
        <v>4322.9050220141544</v>
      </c>
      <c r="AS189" s="45">
        <v>2983.0310158081429</v>
      </c>
      <c r="AT189" s="45">
        <v>572.38343639321909</v>
      </c>
      <c r="AU189" s="45">
        <v>6530.2173987761371</v>
      </c>
      <c r="AV189" s="45">
        <v>1147.8543876975937</v>
      </c>
      <c r="AW189" s="45">
        <v>2886.0073771921689</v>
      </c>
      <c r="AX189" s="45">
        <v>28960.764817421121</v>
      </c>
      <c r="AY189" s="45">
        <v>10417.508463132657</v>
      </c>
      <c r="AZ189" s="45">
        <v>936.90642046200549</v>
      </c>
      <c r="BA189" s="45">
        <v>114.80001871976262</v>
      </c>
      <c r="BB189" s="45">
        <v>15695.077031916995</v>
      </c>
      <c r="BC189" s="45">
        <v>12265.764347784943</v>
      </c>
      <c r="BD189" s="45">
        <v>1686.3129573152019</v>
      </c>
      <c r="BE189" s="45">
        <v>1692.0410481742633</v>
      </c>
      <c r="BF189" s="45">
        <v>-36.263859195093218</v>
      </c>
      <c r="BG189" s="45">
        <v>66.906516293559221</v>
      </c>
      <c r="BH189" s="45">
        <v>797.78057691726565</v>
      </c>
      <c r="BI189" s="45">
        <v>499.67974878217746</v>
      </c>
      <c r="BJ189" s="45">
        <v>78099.784746984165</v>
      </c>
      <c r="BK189" s="36">
        <v>0</v>
      </c>
      <c r="BL189" s="36">
        <v>0</v>
      </c>
      <c r="BM189" s="36">
        <v>0</v>
      </c>
      <c r="BN189" s="36">
        <v>0</v>
      </c>
      <c r="BO189" s="36">
        <v>0</v>
      </c>
      <c r="BP189" s="36">
        <v>0</v>
      </c>
      <c r="BQ189" s="36">
        <v>0</v>
      </c>
      <c r="BR189" s="36">
        <v>0</v>
      </c>
      <c r="BS189" s="36">
        <v>0</v>
      </c>
      <c r="BT189" s="36">
        <v>0</v>
      </c>
      <c r="BU189" s="36">
        <v>0</v>
      </c>
      <c r="BV189" s="36">
        <v>0</v>
      </c>
      <c r="BW189" s="36">
        <v>0</v>
      </c>
      <c r="BX189" s="36">
        <v>0</v>
      </c>
      <c r="BY189" s="36">
        <v>0</v>
      </c>
      <c r="BZ189" s="36">
        <v>0</v>
      </c>
      <c r="CA189" s="36">
        <v>0</v>
      </c>
      <c r="CB189" s="36">
        <v>0</v>
      </c>
      <c r="CC189" s="36">
        <v>0</v>
      </c>
      <c r="CD189" s="36">
        <v>0</v>
      </c>
      <c r="CE189" s="36">
        <v>0</v>
      </c>
      <c r="CF189" s="36">
        <v>0</v>
      </c>
      <c r="CG189" s="36">
        <v>0</v>
      </c>
      <c r="CH189" s="36">
        <v>0</v>
      </c>
      <c r="CI189" s="36">
        <v>0</v>
      </c>
      <c r="CJ189" s="36">
        <v>0</v>
      </c>
      <c r="CK189" s="36">
        <v>0</v>
      </c>
      <c r="CL189" s="36">
        <v>0</v>
      </c>
      <c r="CM189" s="36">
        <v>0</v>
      </c>
      <c r="CN189" s="36">
        <v>0</v>
      </c>
      <c r="CO189" s="36">
        <v>0</v>
      </c>
      <c r="CP189" s="36">
        <v>0</v>
      </c>
      <c r="CQ189" s="36">
        <v>0</v>
      </c>
      <c r="CR189" s="36">
        <v>0</v>
      </c>
      <c r="CS189" s="36">
        <v>0</v>
      </c>
      <c r="CT189" s="36">
        <v>0</v>
      </c>
      <c r="CU189" s="36">
        <v>0</v>
      </c>
      <c r="CV189" s="36">
        <v>0</v>
      </c>
      <c r="CW189" s="36">
        <v>0</v>
      </c>
      <c r="CX189" s="36">
        <v>0</v>
      </c>
      <c r="CY189" s="36">
        <v>0</v>
      </c>
      <c r="CZ189" s="36">
        <v>0</v>
      </c>
      <c r="DA189" s="36">
        <v>0</v>
      </c>
      <c r="DB189" s="36">
        <v>0</v>
      </c>
      <c r="DC189" s="36">
        <v>0</v>
      </c>
      <c r="DD189" s="36">
        <v>0</v>
      </c>
      <c r="DE189" s="36">
        <v>0</v>
      </c>
      <c r="DF189" s="36">
        <v>0</v>
      </c>
      <c r="DG189" s="36">
        <v>0</v>
      </c>
      <c r="DH189" s="36">
        <v>0</v>
      </c>
      <c r="DI189" s="36">
        <v>0</v>
      </c>
      <c r="DJ189" s="36">
        <v>0</v>
      </c>
      <c r="DK189" s="36">
        <v>0</v>
      </c>
      <c r="DL189" s="36">
        <v>0</v>
      </c>
      <c r="DM189" s="36">
        <v>0</v>
      </c>
      <c r="DN189" s="36">
        <v>0</v>
      </c>
      <c r="DO189" s="36">
        <v>0</v>
      </c>
      <c r="DP189" s="36">
        <v>0</v>
      </c>
      <c r="DQ189" s="36">
        <v>0</v>
      </c>
      <c r="DR189" s="36">
        <v>0</v>
      </c>
      <c r="DS189" s="36">
        <v>0</v>
      </c>
      <c r="DT189" s="36">
        <v>0</v>
      </c>
      <c r="DU189" s="36">
        <v>0</v>
      </c>
      <c r="DV189" s="36">
        <v>0</v>
      </c>
      <c r="DW189" s="36">
        <v>0</v>
      </c>
      <c r="DX189" s="36">
        <v>0</v>
      </c>
      <c r="DY189" s="36">
        <v>0</v>
      </c>
      <c r="DZ189" s="36">
        <v>0</v>
      </c>
      <c r="EA189" s="36">
        <v>0</v>
      </c>
      <c r="EB189" s="36">
        <v>0</v>
      </c>
      <c r="EC189" s="36">
        <v>0</v>
      </c>
      <c r="ED189" s="36">
        <v>0</v>
      </c>
      <c r="EE189" s="36">
        <v>0</v>
      </c>
      <c r="EF189" s="36">
        <v>0</v>
      </c>
      <c r="EG189" s="36">
        <v>0</v>
      </c>
      <c r="EH189" s="36">
        <v>0</v>
      </c>
      <c r="EI189" s="36">
        <v>0</v>
      </c>
      <c r="EJ189" s="36">
        <v>0</v>
      </c>
      <c r="EK189" s="36">
        <v>0</v>
      </c>
      <c r="EL189" s="36">
        <v>0</v>
      </c>
      <c r="EM189" s="36">
        <v>0</v>
      </c>
      <c r="EN189" s="36">
        <v>0</v>
      </c>
      <c r="EO189" s="36">
        <v>0</v>
      </c>
      <c r="EP189" s="36">
        <v>0</v>
      </c>
      <c r="EQ189" s="36">
        <v>0</v>
      </c>
      <c r="ER189" s="36">
        <v>0</v>
      </c>
      <c r="ES189" s="36">
        <v>0</v>
      </c>
      <c r="ET189" s="36">
        <v>0</v>
      </c>
      <c r="EU189" s="36">
        <v>0</v>
      </c>
      <c r="EV189" s="36">
        <v>0</v>
      </c>
      <c r="EW189" s="36">
        <v>0</v>
      </c>
      <c r="EX189" s="36">
        <v>0</v>
      </c>
      <c r="EY189" s="36">
        <v>0</v>
      </c>
      <c r="EZ189" s="36">
        <v>0</v>
      </c>
      <c r="FA189" s="36">
        <v>0</v>
      </c>
      <c r="FB189" s="36">
        <v>0</v>
      </c>
      <c r="FC189" s="36">
        <v>0</v>
      </c>
      <c r="FD189" s="36">
        <v>0</v>
      </c>
      <c r="FE189" s="36">
        <v>0</v>
      </c>
      <c r="FF189" s="36">
        <v>0</v>
      </c>
      <c r="FG189" s="36">
        <v>0</v>
      </c>
      <c r="FH189" s="36">
        <v>0</v>
      </c>
      <c r="FI189" s="36">
        <v>0</v>
      </c>
      <c r="FJ189" s="36">
        <v>0</v>
      </c>
      <c r="FK189" s="36">
        <v>0</v>
      </c>
      <c r="FL189" s="36">
        <v>0</v>
      </c>
      <c r="FM189" s="36">
        <v>0</v>
      </c>
      <c r="FN189" s="36">
        <v>0</v>
      </c>
      <c r="FO189" s="36">
        <v>0</v>
      </c>
      <c r="FP189" s="36">
        <v>0</v>
      </c>
      <c r="FQ189" s="36">
        <v>0</v>
      </c>
      <c r="FR189" s="36">
        <v>0</v>
      </c>
      <c r="FS189" s="36">
        <v>0</v>
      </c>
      <c r="FT189" s="36">
        <v>0</v>
      </c>
      <c r="FU189" s="36">
        <v>0</v>
      </c>
      <c r="FV189" s="36">
        <v>0</v>
      </c>
      <c r="FW189" s="36">
        <v>0</v>
      </c>
      <c r="FX189" s="36">
        <v>0</v>
      </c>
      <c r="FY189" s="36">
        <v>0</v>
      </c>
      <c r="FZ189" s="36">
        <v>0</v>
      </c>
      <c r="GA189" s="36">
        <v>0</v>
      </c>
      <c r="GB189" s="36">
        <v>0</v>
      </c>
      <c r="GC189" s="36">
        <v>0</v>
      </c>
      <c r="GD189" s="36">
        <v>0</v>
      </c>
      <c r="GE189" s="36">
        <v>0</v>
      </c>
      <c r="GF189" s="36">
        <v>0</v>
      </c>
      <c r="GG189" s="36"/>
      <c r="GH189" s="36"/>
      <c r="GI189" s="36"/>
      <c r="GJ189" s="36"/>
      <c r="GK189" s="36"/>
      <c r="GL189" s="36"/>
      <c r="GM189" s="36"/>
      <c r="GN189" s="36"/>
      <c r="GO189" s="36"/>
      <c r="GP189" s="36"/>
      <c r="GQ189" s="36"/>
      <c r="GR189" s="36"/>
      <c r="GS189" s="36"/>
      <c r="GT189" s="36"/>
      <c r="GU189" s="36">
        <v>0</v>
      </c>
      <c r="GV189" s="36">
        <v>0</v>
      </c>
      <c r="GW189" s="36">
        <v>0</v>
      </c>
      <c r="GX189" s="36">
        <v>0</v>
      </c>
      <c r="GY189" s="36">
        <v>0</v>
      </c>
      <c r="GZ189" s="36">
        <v>0</v>
      </c>
      <c r="HA189" s="36">
        <v>0</v>
      </c>
      <c r="HB189" s="36">
        <v>12763.572355898938</v>
      </c>
      <c r="HC189" s="36">
        <f t="shared" si="2"/>
        <v>267678.53479745745</v>
      </c>
      <c r="HD189" s="36">
        <f>SUM(GD$5:GD$213)</f>
        <v>267678.53479745745</v>
      </c>
      <c r="HE189" s="41">
        <v>0</v>
      </c>
    </row>
    <row r="190" spans="1:213" x14ac:dyDescent="0.2">
      <c r="A190" s="16" t="s">
        <v>1538</v>
      </c>
      <c r="B190" s="45">
        <v>53.730419780310527</v>
      </c>
      <c r="C190" s="45">
        <v>0.71811741792292005</v>
      </c>
      <c r="D190" s="45">
        <v>1284.8408870820833</v>
      </c>
      <c r="E190" s="45">
        <v>5061.8029688382258</v>
      </c>
      <c r="F190" s="45">
        <v>1539.4653004393351</v>
      </c>
      <c r="G190" s="45">
        <v>14717.725822805793</v>
      </c>
      <c r="H190" s="45">
        <v>1333.3587668651153</v>
      </c>
      <c r="I190" s="45">
        <v>12124.632442303135</v>
      </c>
      <c r="J190" s="45">
        <v>8526.6438508497795</v>
      </c>
      <c r="K190" s="45">
        <v>319.13240429930659</v>
      </c>
      <c r="L190" s="45">
        <v>1389.4271643024149</v>
      </c>
      <c r="M190" s="45">
        <v>3.3892660539374706</v>
      </c>
      <c r="N190" s="45">
        <v>21.524004721864848</v>
      </c>
      <c r="O190" s="45">
        <v>567.38407686096127</v>
      </c>
      <c r="P190" s="45">
        <v>608.37336735070801</v>
      </c>
      <c r="Q190" s="45">
        <v>2382.2536687837687</v>
      </c>
      <c r="R190" s="45">
        <v>3732.662211209285</v>
      </c>
      <c r="S190" s="45">
        <v>297.899601285404</v>
      </c>
      <c r="T190" s="45">
        <v>6433.3262649673816</v>
      </c>
      <c r="U190" s="45">
        <v>17.080685788889078</v>
      </c>
      <c r="V190" s="45">
        <v>105.92957228894734</v>
      </c>
      <c r="W190" s="45">
        <v>342.63036340824283</v>
      </c>
      <c r="X190" s="45">
        <v>866.7214662292115</v>
      </c>
      <c r="Y190" s="45">
        <v>4360.5934251820136</v>
      </c>
      <c r="Z190" s="45">
        <v>1376.9168402417824</v>
      </c>
      <c r="AA190" s="45">
        <v>2995.3461629510248</v>
      </c>
      <c r="AB190" s="45">
        <v>1306.7592931708421</v>
      </c>
      <c r="AC190" s="45">
        <v>-490.88611130663668</v>
      </c>
      <c r="AD190" s="45">
        <v>388.42804119102158</v>
      </c>
      <c r="AE190" s="45">
        <v>636.03119030569178</v>
      </c>
      <c r="AF190" s="45">
        <v>137.15289927692649</v>
      </c>
      <c r="AG190" s="45">
        <v>391.64524994234415</v>
      </c>
      <c r="AH190" s="45">
        <v>1238.5969003180603</v>
      </c>
      <c r="AI190" s="45">
        <v>1285.8665549680268</v>
      </c>
      <c r="AJ190" s="45">
        <v>392.66367142215358</v>
      </c>
      <c r="AK190" s="45">
        <v>936.20707973009019</v>
      </c>
      <c r="AL190" s="45">
        <v>22326.194548032363</v>
      </c>
      <c r="AM190" s="45">
        <v>16915.97415640076</v>
      </c>
      <c r="AN190" s="45">
        <v>12773.829732931181</v>
      </c>
      <c r="AO190" s="45">
        <v>3075.3199884396395</v>
      </c>
      <c r="AP190" s="45">
        <v>353.45187104578412</v>
      </c>
      <c r="AQ190" s="45">
        <v>121.3733098875893</v>
      </c>
      <c r="AR190" s="45">
        <v>99.979532115850972</v>
      </c>
      <c r="AS190" s="45">
        <v>4949.311947380048</v>
      </c>
      <c r="AT190" s="45">
        <v>11577.60567597957</v>
      </c>
      <c r="AU190" s="45">
        <v>63900.091923214663</v>
      </c>
      <c r="AV190" s="45">
        <v>11232.091737418736</v>
      </c>
      <c r="AW190" s="45">
        <v>28240.428370457874</v>
      </c>
      <c r="AX190" s="45">
        <v>12434.313394286684</v>
      </c>
      <c r="AY190" s="45">
        <v>275.94585752339583</v>
      </c>
      <c r="AZ190" s="45">
        <v>15695.190094529427</v>
      </c>
      <c r="BA190" s="45">
        <v>449.56957060863459</v>
      </c>
      <c r="BB190" s="45">
        <v>36431.538668880923</v>
      </c>
      <c r="BC190" s="45">
        <v>28471.390566034624</v>
      </c>
      <c r="BD190" s="45">
        <v>6603.7880532284607</v>
      </c>
      <c r="BE190" s="45">
        <v>14433.230704800259</v>
      </c>
      <c r="BF190" s="45">
        <v>-30.898350452898562</v>
      </c>
      <c r="BG190" s="45">
        <v>83.296658124844072</v>
      </c>
      <c r="BH190" s="45">
        <v>1709.5965071114472</v>
      </c>
      <c r="BI190" s="45">
        <v>95.420405356391257</v>
      </c>
      <c r="BJ190" s="45">
        <v>14914.178805458805</v>
      </c>
      <c r="BK190" s="36">
        <v>0</v>
      </c>
      <c r="BL190" s="36">
        <v>0</v>
      </c>
      <c r="BM190" s="36">
        <v>0</v>
      </c>
      <c r="BN190" s="36">
        <v>0</v>
      </c>
      <c r="BO190" s="36">
        <v>0</v>
      </c>
      <c r="BP190" s="36">
        <v>0</v>
      </c>
      <c r="BQ190" s="36">
        <v>0</v>
      </c>
      <c r="BR190" s="36">
        <v>0</v>
      </c>
      <c r="BS190" s="36">
        <v>0</v>
      </c>
      <c r="BT190" s="36">
        <v>0</v>
      </c>
      <c r="BU190" s="36">
        <v>0</v>
      </c>
      <c r="BV190" s="36">
        <v>0</v>
      </c>
      <c r="BW190" s="36">
        <v>0</v>
      </c>
      <c r="BX190" s="36">
        <v>0</v>
      </c>
      <c r="BY190" s="36">
        <v>0</v>
      </c>
      <c r="BZ190" s="36">
        <v>0</v>
      </c>
      <c r="CA190" s="36">
        <v>0</v>
      </c>
      <c r="CB190" s="36">
        <v>0</v>
      </c>
      <c r="CC190" s="36">
        <v>0</v>
      </c>
      <c r="CD190" s="36">
        <v>0</v>
      </c>
      <c r="CE190" s="36">
        <v>0</v>
      </c>
      <c r="CF190" s="36">
        <v>0</v>
      </c>
      <c r="CG190" s="36">
        <v>0</v>
      </c>
      <c r="CH190" s="36">
        <v>0</v>
      </c>
      <c r="CI190" s="36">
        <v>0</v>
      </c>
      <c r="CJ190" s="36">
        <v>0</v>
      </c>
      <c r="CK190" s="36">
        <v>0</v>
      </c>
      <c r="CL190" s="36">
        <v>0</v>
      </c>
      <c r="CM190" s="36">
        <v>0</v>
      </c>
      <c r="CN190" s="36">
        <v>0</v>
      </c>
      <c r="CO190" s="36">
        <v>0</v>
      </c>
      <c r="CP190" s="36">
        <v>0</v>
      </c>
      <c r="CQ190" s="36">
        <v>0</v>
      </c>
      <c r="CR190" s="36">
        <v>0</v>
      </c>
      <c r="CS190" s="36">
        <v>0</v>
      </c>
      <c r="CT190" s="36">
        <v>0</v>
      </c>
      <c r="CU190" s="36">
        <v>0</v>
      </c>
      <c r="CV190" s="36">
        <v>0</v>
      </c>
      <c r="CW190" s="36">
        <v>0</v>
      </c>
      <c r="CX190" s="36">
        <v>0</v>
      </c>
      <c r="CY190" s="36">
        <v>0</v>
      </c>
      <c r="CZ190" s="36">
        <v>0</v>
      </c>
      <c r="DA190" s="36">
        <v>0</v>
      </c>
      <c r="DB190" s="36">
        <v>0</v>
      </c>
      <c r="DC190" s="36">
        <v>0</v>
      </c>
      <c r="DD190" s="36">
        <v>0</v>
      </c>
      <c r="DE190" s="36">
        <v>0</v>
      </c>
      <c r="DF190" s="36">
        <v>0</v>
      </c>
      <c r="DG190" s="36">
        <v>0</v>
      </c>
      <c r="DH190" s="36">
        <v>0</v>
      </c>
      <c r="DI190" s="36">
        <v>0</v>
      </c>
      <c r="DJ190" s="36">
        <v>0</v>
      </c>
      <c r="DK190" s="36">
        <v>0</v>
      </c>
      <c r="DL190" s="36">
        <v>0</v>
      </c>
      <c r="DM190" s="36">
        <v>0</v>
      </c>
      <c r="DN190" s="36">
        <v>0</v>
      </c>
      <c r="DO190" s="36">
        <v>0</v>
      </c>
      <c r="DP190" s="36">
        <v>0</v>
      </c>
      <c r="DQ190" s="36">
        <v>0</v>
      </c>
      <c r="DR190" s="36">
        <v>0</v>
      </c>
      <c r="DS190" s="36">
        <v>0</v>
      </c>
      <c r="DT190" s="36">
        <v>0</v>
      </c>
      <c r="DU190" s="36">
        <v>0</v>
      </c>
      <c r="DV190" s="36">
        <v>0</v>
      </c>
      <c r="DW190" s="36">
        <v>0</v>
      </c>
      <c r="DX190" s="36">
        <v>0</v>
      </c>
      <c r="DY190" s="36">
        <v>0</v>
      </c>
      <c r="DZ190" s="36">
        <v>0</v>
      </c>
      <c r="EA190" s="36">
        <v>0</v>
      </c>
      <c r="EB190" s="36">
        <v>0</v>
      </c>
      <c r="EC190" s="36">
        <v>0</v>
      </c>
      <c r="ED190" s="36">
        <v>0</v>
      </c>
      <c r="EE190" s="36">
        <v>0</v>
      </c>
      <c r="EF190" s="36">
        <v>0</v>
      </c>
      <c r="EG190" s="36">
        <v>0</v>
      </c>
      <c r="EH190" s="36">
        <v>0</v>
      </c>
      <c r="EI190" s="36">
        <v>0</v>
      </c>
      <c r="EJ190" s="36">
        <v>0</v>
      </c>
      <c r="EK190" s="36">
        <v>0</v>
      </c>
      <c r="EL190" s="36">
        <v>0</v>
      </c>
      <c r="EM190" s="36">
        <v>0</v>
      </c>
      <c r="EN190" s="36">
        <v>0</v>
      </c>
      <c r="EO190" s="36">
        <v>0</v>
      </c>
      <c r="EP190" s="36">
        <v>0</v>
      </c>
      <c r="EQ190" s="36">
        <v>0</v>
      </c>
      <c r="ER190" s="36">
        <v>0</v>
      </c>
      <c r="ES190" s="36">
        <v>0</v>
      </c>
      <c r="ET190" s="36">
        <v>0</v>
      </c>
      <c r="EU190" s="36">
        <v>0</v>
      </c>
      <c r="EV190" s="36">
        <v>0</v>
      </c>
      <c r="EW190" s="36">
        <v>0</v>
      </c>
      <c r="EX190" s="36">
        <v>0</v>
      </c>
      <c r="EY190" s="36">
        <v>0</v>
      </c>
      <c r="EZ190" s="36">
        <v>0</v>
      </c>
      <c r="FA190" s="36">
        <v>0</v>
      </c>
      <c r="FB190" s="36">
        <v>0</v>
      </c>
      <c r="FC190" s="36">
        <v>0</v>
      </c>
      <c r="FD190" s="36">
        <v>0</v>
      </c>
      <c r="FE190" s="36">
        <v>0</v>
      </c>
      <c r="FF190" s="36">
        <v>0</v>
      </c>
      <c r="FG190" s="36">
        <v>0</v>
      </c>
      <c r="FH190" s="36">
        <v>0</v>
      </c>
      <c r="FI190" s="36">
        <v>0</v>
      </c>
      <c r="FJ190" s="36">
        <v>0</v>
      </c>
      <c r="FK190" s="36">
        <v>0</v>
      </c>
      <c r="FL190" s="36">
        <v>0</v>
      </c>
      <c r="FM190" s="36">
        <v>0</v>
      </c>
      <c r="FN190" s="36">
        <v>0</v>
      </c>
      <c r="FO190" s="36">
        <v>0</v>
      </c>
      <c r="FP190" s="36">
        <v>0</v>
      </c>
      <c r="FQ190" s="36">
        <v>0</v>
      </c>
      <c r="FR190" s="36">
        <v>0</v>
      </c>
      <c r="FS190" s="36">
        <v>0</v>
      </c>
      <c r="FT190" s="36">
        <v>0</v>
      </c>
      <c r="FU190" s="36">
        <v>0</v>
      </c>
      <c r="FV190" s="36">
        <v>0</v>
      </c>
      <c r="FW190" s="36">
        <v>0</v>
      </c>
      <c r="FX190" s="36">
        <v>0</v>
      </c>
      <c r="FY190" s="36">
        <v>0</v>
      </c>
      <c r="FZ190" s="36">
        <v>0</v>
      </c>
      <c r="GA190" s="36">
        <v>0</v>
      </c>
      <c r="GB190" s="36">
        <v>0</v>
      </c>
      <c r="GC190" s="36">
        <v>0</v>
      </c>
      <c r="GD190" s="36">
        <v>0</v>
      </c>
      <c r="GE190" s="36">
        <v>0</v>
      </c>
      <c r="GF190" s="36">
        <v>0</v>
      </c>
      <c r="GG190" s="36"/>
      <c r="GH190" s="36"/>
      <c r="GI190" s="36"/>
      <c r="GJ190" s="36"/>
      <c r="GK190" s="36"/>
      <c r="GL190" s="36"/>
      <c r="GM190" s="36"/>
      <c r="GN190" s="36"/>
      <c r="GO190" s="36"/>
      <c r="GP190" s="36"/>
      <c r="GQ190" s="36"/>
      <c r="GR190" s="36"/>
      <c r="GS190" s="36"/>
      <c r="GT190" s="36"/>
      <c r="GU190" s="36">
        <v>0</v>
      </c>
      <c r="GV190" s="36">
        <v>0</v>
      </c>
      <c r="GW190" s="36">
        <v>0</v>
      </c>
      <c r="GX190" s="36">
        <v>0</v>
      </c>
      <c r="GY190" s="36">
        <v>0</v>
      </c>
      <c r="GZ190" s="36">
        <v>0</v>
      </c>
      <c r="HA190" s="36">
        <v>0</v>
      </c>
      <c r="HB190" s="36">
        <v>19217.746821442521</v>
      </c>
      <c r="HC190" s="36">
        <f t="shared" si="2"/>
        <v>403035.93444156297</v>
      </c>
      <c r="HD190" s="36">
        <f>SUM(GE$5:GE$213)</f>
        <v>403035.93444156303</v>
      </c>
      <c r="HE190" s="41">
        <v>0</v>
      </c>
    </row>
    <row r="191" spans="1:213" x14ac:dyDescent="0.2">
      <c r="A191" s="9" t="s">
        <v>1282</v>
      </c>
      <c r="B191" s="36">
        <v>0</v>
      </c>
      <c r="C191" s="36">
        <v>0</v>
      </c>
      <c r="D191" s="36">
        <v>0</v>
      </c>
      <c r="E191" s="36">
        <v>0</v>
      </c>
      <c r="F191" s="36">
        <v>0</v>
      </c>
      <c r="G191" s="36">
        <v>0</v>
      </c>
      <c r="H191" s="36">
        <v>0</v>
      </c>
      <c r="I191" s="36">
        <v>0</v>
      </c>
      <c r="J191" s="36">
        <v>0</v>
      </c>
      <c r="K191" s="36">
        <v>0</v>
      </c>
      <c r="L191" s="36">
        <v>0</v>
      </c>
      <c r="M191" s="36">
        <v>0</v>
      </c>
      <c r="N191" s="36">
        <v>0</v>
      </c>
      <c r="O191" s="36">
        <v>0</v>
      </c>
      <c r="P191" s="36">
        <v>0</v>
      </c>
      <c r="Q191" s="36">
        <v>0</v>
      </c>
      <c r="R191" s="36">
        <v>0</v>
      </c>
      <c r="S191" s="36">
        <v>0</v>
      </c>
      <c r="T191" s="36">
        <v>0</v>
      </c>
      <c r="U191" s="36">
        <v>0</v>
      </c>
      <c r="V191" s="36">
        <v>0</v>
      </c>
      <c r="W191" s="36">
        <v>0</v>
      </c>
      <c r="X191" s="36">
        <v>0</v>
      </c>
      <c r="Y191" s="36">
        <v>0</v>
      </c>
      <c r="Z191" s="36">
        <v>0</v>
      </c>
      <c r="AA191" s="36">
        <v>0</v>
      </c>
      <c r="AB191" s="36">
        <v>0</v>
      </c>
      <c r="AC191" s="36">
        <v>0</v>
      </c>
      <c r="AD191" s="36">
        <v>0</v>
      </c>
      <c r="AE191" s="36">
        <v>0</v>
      </c>
      <c r="AF191" s="36">
        <v>0</v>
      </c>
      <c r="AG191" s="36">
        <v>0</v>
      </c>
      <c r="AH191" s="36">
        <v>0</v>
      </c>
      <c r="AI191" s="36">
        <v>0</v>
      </c>
      <c r="AJ191" s="36">
        <v>0</v>
      </c>
      <c r="AK191" s="36">
        <v>0</v>
      </c>
      <c r="AL191" s="36">
        <v>0</v>
      </c>
      <c r="AM191" s="36">
        <v>0</v>
      </c>
      <c r="AN191" s="36">
        <v>0</v>
      </c>
      <c r="AO191" s="36">
        <v>0</v>
      </c>
      <c r="AP191" s="36">
        <v>0</v>
      </c>
      <c r="AQ191" s="36">
        <v>0</v>
      </c>
      <c r="AR191" s="36">
        <v>0</v>
      </c>
      <c r="AS191" s="36">
        <v>0</v>
      </c>
      <c r="AT191" s="36">
        <v>0</v>
      </c>
      <c r="AU191" s="36">
        <v>0</v>
      </c>
      <c r="AV191" s="36">
        <v>0</v>
      </c>
      <c r="AW191" s="36">
        <v>0</v>
      </c>
      <c r="AX191" s="36">
        <v>0</v>
      </c>
      <c r="AY191" s="36">
        <v>0</v>
      </c>
      <c r="AZ191" s="36">
        <v>0</v>
      </c>
      <c r="BA191" s="36">
        <v>0</v>
      </c>
      <c r="BB191" s="36">
        <v>0</v>
      </c>
      <c r="BC191" s="36">
        <v>0</v>
      </c>
      <c r="BD191" s="36">
        <v>0</v>
      </c>
      <c r="BE191" s="36">
        <v>0</v>
      </c>
      <c r="BF191" s="36">
        <v>0</v>
      </c>
      <c r="BG191" s="36">
        <v>0</v>
      </c>
      <c r="BH191" s="36">
        <v>0</v>
      </c>
      <c r="BI191" s="36">
        <v>0</v>
      </c>
      <c r="BJ191" s="36">
        <v>0</v>
      </c>
      <c r="BK191" s="36">
        <v>0</v>
      </c>
      <c r="BL191" s="36">
        <v>0</v>
      </c>
      <c r="BM191" s="36">
        <v>0</v>
      </c>
      <c r="BN191" s="36">
        <v>0</v>
      </c>
      <c r="BO191" s="36">
        <v>0</v>
      </c>
      <c r="BP191" s="36">
        <v>0</v>
      </c>
      <c r="BQ191" s="36">
        <v>0</v>
      </c>
      <c r="BR191" s="36">
        <v>0</v>
      </c>
      <c r="BS191" s="36">
        <v>0</v>
      </c>
      <c r="BT191" s="36">
        <v>0</v>
      </c>
      <c r="BU191" s="36">
        <v>0</v>
      </c>
      <c r="BV191" s="36">
        <v>0</v>
      </c>
      <c r="BW191" s="36">
        <v>0</v>
      </c>
      <c r="BX191" s="36">
        <v>0</v>
      </c>
      <c r="BY191" s="36">
        <v>0</v>
      </c>
      <c r="BZ191" s="36">
        <v>0</v>
      </c>
      <c r="CA191" s="36">
        <v>0</v>
      </c>
      <c r="CB191" s="36">
        <v>0</v>
      </c>
      <c r="CC191" s="36">
        <v>0</v>
      </c>
      <c r="CD191" s="36">
        <v>0</v>
      </c>
      <c r="CE191" s="36">
        <v>0</v>
      </c>
      <c r="CF191" s="36">
        <v>0</v>
      </c>
      <c r="CG191" s="36">
        <v>0</v>
      </c>
      <c r="CH191" s="36">
        <v>0</v>
      </c>
      <c r="CI191" s="36">
        <v>0</v>
      </c>
      <c r="CJ191" s="36">
        <v>0</v>
      </c>
      <c r="CK191" s="36">
        <v>0</v>
      </c>
      <c r="CL191" s="36">
        <v>0</v>
      </c>
      <c r="CM191" s="36">
        <v>0</v>
      </c>
      <c r="CN191" s="36">
        <v>0</v>
      </c>
      <c r="CO191" s="36">
        <v>0</v>
      </c>
      <c r="CP191" s="36">
        <v>0</v>
      </c>
      <c r="CQ191" s="36">
        <v>0</v>
      </c>
      <c r="CR191" s="36">
        <v>0</v>
      </c>
      <c r="CS191" s="36">
        <v>0</v>
      </c>
      <c r="CT191" s="36">
        <v>0</v>
      </c>
      <c r="CU191" s="36">
        <v>0</v>
      </c>
      <c r="CV191" s="36">
        <v>0</v>
      </c>
      <c r="CW191" s="36">
        <v>0</v>
      </c>
      <c r="CX191" s="36">
        <v>0</v>
      </c>
      <c r="CY191" s="36">
        <v>0</v>
      </c>
      <c r="CZ191" s="36">
        <v>0</v>
      </c>
      <c r="DA191" s="36">
        <v>0</v>
      </c>
      <c r="DB191" s="36">
        <v>0</v>
      </c>
      <c r="DC191" s="36">
        <v>0</v>
      </c>
      <c r="DD191" s="36">
        <v>0</v>
      </c>
      <c r="DE191" s="36">
        <v>0</v>
      </c>
      <c r="DF191" s="36">
        <v>0</v>
      </c>
      <c r="DG191" s="36">
        <v>0</v>
      </c>
      <c r="DH191" s="36">
        <v>0</v>
      </c>
      <c r="DI191" s="36">
        <v>0</v>
      </c>
      <c r="DJ191" s="36">
        <v>0</v>
      </c>
      <c r="DK191" s="36">
        <v>0</v>
      </c>
      <c r="DL191" s="36">
        <v>0</v>
      </c>
      <c r="DM191" s="36">
        <v>0</v>
      </c>
      <c r="DN191" s="36">
        <v>0</v>
      </c>
      <c r="DO191" s="36">
        <v>0</v>
      </c>
      <c r="DP191" s="36">
        <v>0</v>
      </c>
      <c r="DQ191" s="36">
        <v>0</v>
      </c>
      <c r="DR191" s="36">
        <v>0</v>
      </c>
      <c r="DS191" s="36">
        <v>0</v>
      </c>
      <c r="DT191" s="36">
        <v>0</v>
      </c>
      <c r="DU191" s="36">
        <v>0</v>
      </c>
      <c r="DV191" s="36">
        <v>0</v>
      </c>
      <c r="DW191" s="36">
        <v>0</v>
      </c>
      <c r="DX191" s="36">
        <v>0</v>
      </c>
      <c r="DY191" s="36">
        <v>0</v>
      </c>
      <c r="DZ191" s="36">
        <v>0</v>
      </c>
      <c r="EA191" s="36">
        <v>0</v>
      </c>
      <c r="EB191" s="36">
        <v>0</v>
      </c>
      <c r="EC191" s="36">
        <v>0</v>
      </c>
      <c r="ED191" s="36">
        <v>0</v>
      </c>
      <c r="EE191" s="36">
        <v>0</v>
      </c>
      <c r="EF191" s="36">
        <v>0</v>
      </c>
      <c r="EG191" s="36">
        <v>0</v>
      </c>
      <c r="EH191" s="36">
        <v>0</v>
      </c>
      <c r="EI191" s="36">
        <v>0</v>
      </c>
      <c r="EJ191" s="36">
        <v>0</v>
      </c>
      <c r="EK191" s="36">
        <v>0</v>
      </c>
      <c r="EL191" s="36">
        <v>0</v>
      </c>
      <c r="EM191" s="36">
        <v>0</v>
      </c>
      <c r="EN191" s="36">
        <v>0</v>
      </c>
      <c r="EO191" s="36">
        <v>0</v>
      </c>
      <c r="EP191" s="36">
        <v>0</v>
      </c>
      <c r="EQ191" s="36">
        <v>0</v>
      </c>
      <c r="ER191" s="36">
        <v>0</v>
      </c>
      <c r="ES191" s="36">
        <v>0</v>
      </c>
      <c r="ET191" s="36">
        <v>0</v>
      </c>
      <c r="EU191" s="36">
        <v>0</v>
      </c>
      <c r="EV191" s="36">
        <v>0</v>
      </c>
      <c r="EW191" s="36">
        <v>0</v>
      </c>
      <c r="EX191" s="36">
        <v>0</v>
      </c>
      <c r="EY191" s="36">
        <v>0</v>
      </c>
      <c r="EZ191" s="36">
        <v>0</v>
      </c>
      <c r="FA191" s="36">
        <v>0</v>
      </c>
      <c r="FB191" s="36">
        <v>0</v>
      </c>
      <c r="FC191" s="36">
        <v>0</v>
      </c>
      <c r="FD191" s="36">
        <v>0</v>
      </c>
      <c r="FE191" s="36">
        <v>0</v>
      </c>
      <c r="FF191" s="36">
        <v>0</v>
      </c>
      <c r="FG191" s="36">
        <v>0</v>
      </c>
      <c r="FH191" s="36">
        <v>0</v>
      </c>
      <c r="FI191" s="36">
        <v>0</v>
      </c>
      <c r="FJ191" s="36">
        <v>0</v>
      </c>
      <c r="FK191" s="36">
        <v>0</v>
      </c>
      <c r="FL191" s="36">
        <v>0</v>
      </c>
      <c r="FM191" s="36">
        <v>0</v>
      </c>
      <c r="FN191" s="36">
        <v>0</v>
      </c>
      <c r="FO191" s="36">
        <v>0</v>
      </c>
      <c r="FP191" s="36">
        <v>0</v>
      </c>
      <c r="FQ191" s="36">
        <v>0</v>
      </c>
      <c r="FR191" s="36">
        <v>0</v>
      </c>
      <c r="FS191" s="36">
        <v>0</v>
      </c>
      <c r="FT191" s="36">
        <v>0</v>
      </c>
      <c r="FU191" s="36">
        <v>0</v>
      </c>
      <c r="FV191" s="36">
        <v>0</v>
      </c>
      <c r="FW191" s="36">
        <v>0</v>
      </c>
      <c r="FX191" s="36">
        <v>0</v>
      </c>
      <c r="FY191" s="36">
        <v>0</v>
      </c>
      <c r="FZ191" s="45">
        <v>54563.391478942358</v>
      </c>
      <c r="GA191" s="45">
        <v>414434.389652449</v>
      </c>
      <c r="GB191" s="45">
        <v>464339.8770363463</v>
      </c>
      <c r="GC191" s="45">
        <v>62600.306420863853</v>
      </c>
      <c r="GD191" s="45">
        <v>161966.57837373158</v>
      </c>
      <c r="GE191" s="45">
        <v>243868.45703766757</v>
      </c>
      <c r="GF191" s="36">
        <v>857644</v>
      </c>
      <c r="GG191" s="42">
        <v>78.483239592338819</v>
      </c>
      <c r="GH191" s="42">
        <v>314.57899322294651</v>
      </c>
      <c r="GI191" s="42">
        <v>733.02230573556221</v>
      </c>
      <c r="GJ191" s="42">
        <v>1621.1382483688308</v>
      </c>
      <c r="GK191" s="42">
        <v>4102.7462067963943</v>
      </c>
      <c r="GL191" s="42">
        <v>7908.2120680263761</v>
      </c>
      <c r="GM191" s="42">
        <v>13777.650097467209</v>
      </c>
      <c r="GN191" s="42">
        <v>41554.001280898374</v>
      </c>
      <c r="GO191" s="42">
        <v>88383.361091835264</v>
      </c>
      <c r="GP191" s="42">
        <v>28714.966452081251</v>
      </c>
      <c r="GQ191" s="42">
        <v>39192.061752529247</v>
      </c>
      <c r="GR191" s="42">
        <v>59682.680362754902</v>
      </c>
      <c r="GS191" s="42">
        <v>58857.169631282581</v>
      </c>
      <c r="GT191" s="42">
        <v>115361.92826940877</v>
      </c>
      <c r="GU191" s="36">
        <v>687527</v>
      </c>
      <c r="GV191" s="36">
        <v>0</v>
      </c>
      <c r="GW191" s="36">
        <v>0</v>
      </c>
      <c r="GX191" s="36">
        <v>0</v>
      </c>
      <c r="GY191" s="36">
        <v>0</v>
      </c>
      <c r="GZ191" s="36">
        <v>0</v>
      </c>
      <c r="HA191" s="36">
        <v>0</v>
      </c>
      <c r="HB191" s="36">
        <v>14929</v>
      </c>
      <c r="HC191" s="36">
        <f t="shared" si="2"/>
        <v>3422155.0000000009</v>
      </c>
      <c r="HD191" s="36">
        <f>SUM(GF$5:GF$213)</f>
        <v>3422155</v>
      </c>
      <c r="HE191" s="41">
        <v>0</v>
      </c>
    </row>
    <row r="192" spans="1:213" x14ac:dyDescent="0.2">
      <c r="A192" s="9" t="s">
        <v>1549</v>
      </c>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c r="AA192" s="36"/>
      <c r="AB192" s="36"/>
      <c r="AC192" s="36"/>
      <c r="AD192" s="36"/>
      <c r="AE192" s="36"/>
      <c r="AF192" s="36"/>
      <c r="AG192" s="36"/>
      <c r="AH192" s="36"/>
      <c r="AI192" s="36"/>
      <c r="AJ192" s="36"/>
      <c r="AK192" s="36"/>
      <c r="AL192" s="36"/>
      <c r="AM192" s="36"/>
      <c r="AN192" s="36"/>
      <c r="AO192" s="36"/>
      <c r="AP192" s="36"/>
      <c r="AQ192" s="36"/>
      <c r="AR192" s="36"/>
      <c r="AS192" s="36"/>
      <c r="AT192" s="36"/>
      <c r="AU192" s="36"/>
      <c r="AV192" s="36"/>
      <c r="AW192" s="36"/>
      <c r="AX192" s="36"/>
      <c r="AY192" s="36"/>
      <c r="AZ192" s="36"/>
      <c r="BA192" s="36"/>
      <c r="BB192" s="36"/>
      <c r="BC192" s="36"/>
      <c r="BD192" s="36"/>
      <c r="BE192" s="36"/>
      <c r="BF192" s="36"/>
      <c r="BG192" s="36"/>
      <c r="BH192" s="36"/>
      <c r="BI192" s="36"/>
      <c r="BJ192" s="36"/>
      <c r="BK192" s="36"/>
      <c r="BL192" s="36"/>
      <c r="BM192" s="36"/>
      <c r="BN192" s="36"/>
      <c r="BO192" s="36"/>
      <c r="BP192" s="36"/>
      <c r="BQ192" s="36"/>
      <c r="BR192" s="36"/>
      <c r="BS192" s="36"/>
      <c r="BT192" s="36"/>
      <c r="BU192" s="36"/>
      <c r="BV192" s="36"/>
      <c r="BW192" s="36"/>
      <c r="BX192" s="36"/>
      <c r="BY192" s="36"/>
      <c r="BZ192" s="36"/>
      <c r="CA192" s="36"/>
      <c r="CB192" s="36"/>
      <c r="CC192" s="36"/>
      <c r="CD192" s="36"/>
      <c r="CE192" s="36"/>
      <c r="CF192" s="36"/>
      <c r="CG192" s="36"/>
      <c r="CH192" s="36"/>
      <c r="CI192" s="36"/>
      <c r="CJ192" s="36"/>
      <c r="CK192" s="36"/>
      <c r="CL192" s="36"/>
      <c r="CM192" s="36"/>
      <c r="CN192" s="36"/>
      <c r="CO192" s="36"/>
      <c r="CP192" s="36"/>
      <c r="CQ192" s="36"/>
      <c r="CR192" s="36"/>
      <c r="CS192" s="36"/>
      <c r="CT192" s="36"/>
      <c r="CU192" s="36"/>
      <c r="CV192" s="36"/>
      <c r="CW192" s="36"/>
      <c r="CX192" s="36"/>
      <c r="CY192" s="36"/>
      <c r="CZ192" s="36"/>
      <c r="DA192" s="36"/>
      <c r="DB192" s="36"/>
      <c r="DC192" s="36"/>
      <c r="DD192" s="36"/>
      <c r="DE192" s="36"/>
      <c r="DF192" s="36"/>
      <c r="DG192" s="36"/>
      <c r="DH192" s="36"/>
      <c r="DI192" s="36"/>
      <c r="DJ192" s="36"/>
      <c r="DK192" s="36"/>
      <c r="DL192" s="36"/>
      <c r="DM192" s="36"/>
      <c r="DN192" s="36"/>
      <c r="DO192" s="36"/>
      <c r="DP192" s="36"/>
      <c r="DQ192" s="36"/>
      <c r="DR192" s="36"/>
      <c r="DS192" s="36"/>
      <c r="DT192" s="36"/>
      <c r="DU192" s="36"/>
      <c r="DV192" s="36"/>
      <c r="DW192" s="36"/>
      <c r="DX192" s="36"/>
      <c r="DY192" s="36"/>
      <c r="DZ192" s="36"/>
      <c r="EA192" s="36"/>
      <c r="EB192" s="36"/>
      <c r="EC192" s="36"/>
      <c r="ED192" s="36"/>
      <c r="EE192" s="36"/>
      <c r="EF192" s="36"/>
      <c r="EG192" s="36"/>
      <c r="EH192" s="36"/>
      <c r="EI192" s="36"/>
      <c r="EJ192" s="36"/>
      <c r="EK192" s="36"/>
      <c r="EL192" s="36"/>
      <c r="EM192" s="36"/>
      <c r="EN192" s="36"/>
      <c r="EO192" s="36"/>
      <c r="EP192" s="36"/>
      <c r="EQ192" s="36"/>
      <c r="ER192" s="36"/>
      <c r="ES192" s="36"/>
      <c r="ET192" s="36"/>
      <c r="EU192" s="36"/>
      <c r="EV192" s="36"/>
      <c r="EW192" s="36"/>
      <c r="EX192" s="36"/>
      <c r="EY192" s="36"/>
      <c r="EZ192" s="36"/>
      <c r="FA192" s="36"/>
      <c r="FB192" s="36"/>
      <c r="FC192" s="36"/>
      <c r="FD192" s="36"/>
      <c r="FE192" s="36"/>
      <c r="FF192" s="36"/>
      <c r="FG192" s="36"/>
      <c r="FH192" s="36"/>
      <c r="FI192" s="36"/>
      <c r="FJ192" s="36"/>
      <c r="FK192" s="36"/>
      <c r="FL192" s="36"/>
      <c r="FM192" s="36"/>
      <c r="FN192" s="36"/>
      <c r="FO192" s="36"/>
      <c r="FP192" s="44">
        <v>17.421664336515303</v>
      </c>
      <c r="FQ192" s="44">
        <v>13.123584698755598</v>
      </c>
      <c r="FR192" s="44">
        <v>8.3889184968894099</v>
      </c>
      <c r="FS192" s="44">
        <v>316.67890026174325</v>
      </c>
      <c r="FT192" s="44">
        <v>273.36282070218175</v>
      </c>
      <c r="FU192" s="44">
        <v>5.6476945274449761</v>
      </c>
      <c r="FV192" s="44">
        <v>3730.7827319401763</v>
      </c>
      <c r="FW192" s="44">
        <v>2778.9990143303685</v>
      </c>
      <c r="FX192" s="44">
        <v>14218.617183092872</v>
      </c>
      <c r="FY192" s="44">
        <v>7949.0931894454943</v>
      </c>
      <c r="FZ192" s="45">
        <v>35.174649323929728</v>
      </c>
      <c r="GA192" s="45">
        <v>267.16785611516951</v>
      </c>
      <c r="GB192" s="45">
        <v>299.33975691693439</v>
      </c>
      <c r="GC192" s="45">
        <v>40.355699421181299</v>
      </c>
      <c r="GD192" s="45">
        <v>104.41282042908716</v>
      </c>
      <c r="GE192" s="45">
        <v>157.21140539400503</v>
      </c>
      <c r="GF192" s="36">
        <v>931.77916975715743</v>
      </c>
      <c r="GG192" s="36"/>
      <c r="GH192" s="36"/>
      <c r="GI192" s="36"/>
      <c r="GJ192" s="36"/>
      <c r="GK192" s="36"/>
      <c r="GL192" s="36"/>
      <c r="GM192" s="36"/>
      <c r="GN192" s="36"/>
      <c r="GO192" s="36"/>
      <c r="GP192" s="36"/>
      <c r="GQ192" s="36"/>
      <c r="GR192" s="36"/>
      <c r="GS192" s="36"/>
      <c r="GT192" s="36"/>
      <c r="GU192" s="36">
        <v>48416.369812090023</v>
      </c>
      <c r="GV192" s="36"/>
      <c r="GW192" s="36"/>
      <c r="GX192" s="36"/>
      <c r="GY192" s="36"/>
      <c r="GZ192" s="36"/>
      <c r="HA192" s="36"/>
      <c r="HB192" s="36">
        <v>35.094773664340515</v>
      </c>
      <c r="HC192" s="36">
        <f t="shared" si="2"/>
        <v>79599.021644944267</v>
      </c>
      <c r="HD192" s="36">
        <f>SUM(GG$5:GG$213)</f>
        <v>79599.021644944267</v>
      </c>
      <c r="HE192" s="41">
        <v>0</v>
      </c>
    </row>
    <row r="193" spans="1:213" hidden="1" outlineLevel="1" x14ac:dyDescent="0.2">
      <c r="A193" s="9" t="s">
        <v>1550</v>
      </c>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c r="AA193" s="36"/>
      <c r="AB193" s="36"/>
      <c r="AC193" s="36"/>
      <c r="AD193" s="36"/>
      <c r="AE193" s="36"/>
      <c r="AF193" s="36"/>
      <c r="AG193" s="36"/>
      <c r="AH193" s="36"/>
      <c r="AI193" s="36"/>
      <c r="AJ193" s="36"/>
      <c r="AK193" s="36"/>
      <c r="AL193" s="36"/>
      <c r="AM193" s="36"/>
      <c r="AN193" s="36"/>
      <c r="AO193" s="36"/>
      <c r="AP193" s="36"/>
      <c r="AQ193" s="36"/>
      <c r="AR193" s="36"/>
      <c r="AS193" s="36"/>
      <c r="AT193" s="36"/>
      <c r="AU193" s="36"/>
      <c r="AV193" s="36"/>
      <c r="AW193" s="36"/>
      <c r="AX193" s="36"/>
      <c r="AY193" s="36"/>
      <c r="AZ193" s="36"/>
      <c r="BA193" s="36"/>
      <c r="BB193" s="36"/>
      <c r="BC193" s="36"/>
      <c r="BD193" s="36"/>
      <c r="BE193" s="36"/>
      <c r="BF193" s="36"/>
      <c r="BG193" s="36"/>
      <c r="BH193" s="36"/>
      <c r="BI193" s="36"/>
      <c r="BJ193" s="36"/>
      <c r="BK193" s="36"/>
      <c r="BL193" s="36"/>
      <c r="BM193" s="36"/>
      <c r="BN193" s="36"/>
      <c r="BO193" s="36"/>
      <c r="BP193" s="36"/>
      <c r="BQ193" s="36"/>
      <c r="BR193" s="36"/>
      <c r="BS193" s="36"/>
      <c r="BT193" s="36"/>
      <c r="BU193" s="36"/>
      <c r="BV193" s="36"/>
      <c r="BW193" s="36"/>
      <c r="BX193" s="36"/>
      <c r="BY193" s="36"/>
      <c r="BZ193" s="36"/>
      <c r="CA193" s="36"/>
      <c r="CB193" s="36"/>
      <c r="CC193" s="36"/>
      <c r="CD193" s="36"/>
      <c r="CE193" s="36"/>
      <c r="CF193" s="36"/>
      <c r="CG193" s="36"/>
      <c r="CH193" s="36"/>
      <c r="CI193" s="36"/>
      <c r="CJ193" s="36"/>
      <c r="CK193" s="36"/>
      <c r="CL193" s="36"/>
      <c r="CM193" s="36"/>
      <c r="CN193" s="36"/>
      <c r="CO193" s="36"/>
      <c r="CP193" s="36"/>
      <c r="CQ193" s="36"/>
      <c r="CR193" s="36"/>
      <c r="CS193" s="36"/>
      <c r="CT193" s="36"/>
      <c r="CU193" s="36"/>
      <c r="CV193" s="36"/>
      <c r="CW193" s="36"/>
      <c r="CX193" s="36"/>
      <c r="CY193" s="36"/>
      <c r="CZ193" s="36"/>
      <c r="DA193" s="36"/>
      <c r="DB193" s="36"/>
      <c r="DC193" s="36"/>
      <c r="DD193" s="36"/>
      <c r="DE193" s="36"/>
      <c r="DF193" s="36"/>
      <c r="DG193" s="36"/>
      <c r="DH193" s="36"/>
      <c r="DI193" s="36"/>
      <c r="DJ193" s="36"/>
      <c r="DK193" s="36"/>
      <c r="DL193" s="36"/>
      <c r="DM193" s="36"/>
      <c r="DN193" s="36"/>
      <c r="DO193" s="36"/>
      <c r="DP193" s="36"/>
      <c r="DQ193" s="36"/>
      <c r="DR193" s="36"/>
      <c r="DS193" s="36"/>
      <c r="DT193" s="36"/>
      <c r="DU193" s="36"/>
      <c r="DV193" s="36"/>
      <c r="DW193" s="36"/>
      <c r="DX193" s="36"/>
      <c r="DY193" s="36"/>
      <c r="DZ193" s="36"/>
      <c r="EA193" s="36"/>
      <c r="EB193" s="36"/>
      <c r="EC193" s="36"/>
      <c r="ED193" s="36"/>
      <c r="EE193" s="36"/>
      <c r="EF193" s="36"/>
      <c r="EG193" s="36"/>
      <c r="EH193" s="36"/>
      <c r="EI193" s="36"/>
      <c r="EJ193" s="36"/>
      <c r="EK193" s="36"/>
      <c r="EL193" s="36"/>
      <c r="EM193" s="36"/>
      <c r="EN193" s="36"/>
      <c r="EO193" s="36"/>
      <c r="EP193" s="36"/>
      <c r="EQ193" s="36"/>
      <c r="ER193" s="36"/>
      <c r="ES193" s="36"/>
      <c r="ET193" s="36"/>
      <c r="EU193" s="36"/>
      <c r="EV193" s="36"/>
      <c r="EW193" s="36"/>
      <c r="EX193" s="36"/>
      <c r="EY193" s="36"/>
      <c r="EZ193" s="36"/>
      <c r="FA193" s="36"/>
      <c r="FB193" s="36"/>
      <c r="FC193" s="36"/>
      <c r="FD193" s="36"/>
      <c r="FE193" s="36"/>
      <c r="FF193" s="36"/>
      <c r="FG193" s="36"/>
      <c r="FH193" s="36"/>
      <c r="FI193" s="36"/>
      <c r="FJ193" s="36"/>
      <c r="FK193" s="36"/>
      <c r="FL193" s="36"/>
      <c r="FM193" s="36"/>
      <c r="FN193" s="36"/>
      <c r="FO193" s="36"/>
      <c r="FP193" s="44">
        <v>220.69962044112089</v>
      </c>
      <c r="FQ193" s="44">
        <v>166.25105993871983</v>
      </c>
      <c r="FR193" s="44">
        <v>106.27177130800527</v>
      </c>
      <c r="FS193" s="44">
        <v>1357.3912729567157</v>
      </c>
      <c r="FT193" s="44">
        <v>1171.7241245478697</v>
      </c>
      <c r="FU193" s="44">
        <v>24.207900360721684</v>
      </c>
      <c r="FV193" s="44">
        <v>5715.4034372016768</v>
      </c>
      <c r="FW193" s="44">
        <v>4257.3105055152673</v>
      </c>
      <c r="FX193" s="44">
        <v>19910.616130259605</v>
      </c>
      <c r="FY193" s="44">
        <v>11131.275358261133</v>
      </c>
      <c r="FZ193" s="45">
        <v>100.65786191152596</v>
      </c>
      <c r="GA193" s="45">
        <v>764.5433766910046</v>
      </c>
      <c r="GB193" s="45">
        <v>856.60839540697668</v>
      </c>
      <c r="GC193" s="45">
        <v>115.48426203972956</v>
      </c>
      <c r="GD193" s="45">
        <v>298.79391728274999</v>
      </c>
      <c r="GE193" s="45">
        <v>449.88547829817315</v>
      </c>
      <c r="GF193" s="36">
        <v>2217.1244072859799</v>
      </c>
      <c r="GG193" s="36"/>
      <c r="GH193" s="36"/>
      <c r="GI193" s="36"/>
      <c r="GJ193" s="36"/>
      <c r="GK193" s="36"/>
      <c r="GL193" s="36"/>
      <c r="GM193" s="36"/>
      <c r="GN193" s="36"/>
      <c r="GO193" s="36"/>
      <c r="GP193" s="36"/>
      <c r="GQ193" s="36"/>
      <c r="GR193" s="36"/>
      <c r="GS193" s="36"/>
      <c r="GT193" s="36"/>
      <c r="GU193" s="36">
        <v>66654.645496776619</v>
      </c>
      <c r="GV193" s="36"/>
      <c r="GW193" s="36"/>
      <c r="GX193" s="36"/>
      <c r="GY193" s="36"/>
      <c r="GZ193" s="36"/>
      <c r="HA193" s="36"/>
      <c r="HB193" s="36">
        <v>83.506351917767603</v>
      </c>
      <c r="HC193" s="36">
        <f t="shared" si="2"/>
        <v>115602.40072840136</v>
      </c>
      <c r="HD193" s="36">
        <f>SUM(GH$5:GH$213)</f>
        <v>115602.40072840135</v>
      </c>
      <c r="HE193" s="41">
        <v>0</v>
      </c>
    </row>
    <row r="194" spans="1:213" hidden="1" outlineLevel="1" x14ac:dyDescent="0.2">
      <c r="A194" s="9" t="s">
        <v>1551</v>
      </c>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c r="AA194" s="36"/>
      <c r="AB194" s="36"/>
      <c r="AC194" s="36"/>
      <c r="AD194" s="36"/>
      <c r="AE194" s="36"/>
      <c r="AF194" s="36"/>
      <c r="AG194" s="36"/>
      <c r="AH194" s="36"/>
      <c r="AI194" s="36"/>
      <c r="AJ194" s="36"/>
      <c r="AK194" s="36"/>
      <c r="AL194" s="36"/>
      <c r="AM194" s="36"/>
      <c r="AN194" s="36"/>
      <c r="AO194" s="36"/>
      <c r="AP194" s="36"/>
      <c r="AQ194" s="36"/>
      <c r="AR194" s="36"/>
      <c r="AS194" s="36"/>
      <c r="AT194" s="36"/>
      <c r="AU194" s="36"/>
      <c r="AV194" s="36"/>
      <c r="AW194" s="36"/>
      <c r="AX194" s="36"/>
      <c r="AY194" s="36"/>
      <c r="AZ194" s="36"/>
      <c r="BA194" s="36"/>
      <c r="BB194" s="36"/>
      <c r="BC194" s="36"/>
      <c r="BD194" s="36"/>
      <c r="BE194" s="36"/>
      <c r="BF194" s="36"/>
      <c r="BG194" s="36"/>
      <c r="BH194" s="36"/>
      <c r="BI194" s="36"/>
      <c r="BJ194" s="36"/>
      <c r="BK194" s="36"/>
      <c r="BL194" s="36"/>
      <c r="BM194" s="36"/>
      <c r="BN194" s="36"/>
      <c r="BO194" s="36"/>
      <c r="BP194" s="36"/>
      <c r="BQ194" s="36"/>
      <c r="BR194" s="36"/>
      <c r="BS194" s="36"/>
      <c r="BT194" s="36"/>
      <c r="BU194" s="36"/>
      <c r="BV194" s="36"/>
      <c r="BW194" s="36"/>
      <c r="BX194" s="36"/>
      <c r="BY194" s="36"/>
      <c r="BZ194" s="36"/>
      <c r="CA194" s="36"/>
      <c r="CB194" s="36"/>
      <c r="CC194" s="36"/>
      <c r="CD194" s="36"/>
      <c r="CE194" s="36"/>
      <c r="CF194" s="36"/>
      <c r="CG194" s="36"/>
      <c r="CH194" s="36"/>
      <c r="CI194" s="36"/>
      <c r="CJ194" s="36"/>
      <c r="CK194" s="36"/>
      <c r="CL194" s="36"/>
      <c r="CM194" s="36"/>
      <c r="CN194" s="36"/>
      <c r="CO194" s="36"/>
      <c r="CP194" s="36"/>
      <c r="CQ194" s="36"/>
      <c r="CR194" s="36"/>
      <c r="CS194" s="36"/>
      <c r="CT194" s="36"/>
      <c r="CU194" s="36"/>
      <c r="CV194" s="36"/>
      <c r="CW194" s="36"/>
      <c r="CX194" s="36"/>
      <c r="CY194" s="36"/>
      <c r="CZ194" s="36"/>
      <c r="DA194" s="36"/>
      <c r="DB194" s="36"/>
      <c r="DC194" s="36"/>
      <c r="DD194" s="36"/>
      <c r="DE194" s="36"/>
      <c r="DF194" s="36"/>
      <c r="DG194" s="36"/>
      <c r="DH194" s="36"/>
      <c r="DI194" s="36"/>
      <c r="DJ194" s="36"/>
      <c r="DK194" s="36"/>
      <c r="DL194" s="36"/>
      <c r="DM194" s="36"/>
      <c r="DN194" s="36"/>
      <c r="DO194" s="36"/>
      <c r="DP194" s="36"/>
      <c r="DQ194" s="36"/>
      <c r="DR194" s="36"/>
      <c r="DS194" s="36"/>
      <c r="DT194" s="36"/>
      <c r="DU194" s="36"/>
      <c r="DV194" s="36"/>
      <c r="DW194" s="36"/>
      <c r="DX194" s="36"/>
      <c r="DY194" s="36"/>
      <c r="DZ194" s="36"/>
      <c r="EA194" s="36"/>
      <c r="EB194" s="36"/>
      <c r="EC194" s="36"/>
      <c r="ED194" s="36"/>
      <c r="EE194" s="36"/>
      <c r="EF194" s="36"/>
      <c r="EG194" s="36"/>
      <c r="EH194" s="36"/>
      <c r="EI194" s="36"/>
      <c r="EJ194" s="36"/>
      <c r="EK194" s="36"/>
      <c r="EL194" s="36"/>
      <c r="EM194" s="36"/>
      <c r="EN194" s="36"/>
      <c r="EO194" s="36"/>
      <c r="EP194" s="36"/>
      <c r="EQ194" s="36"/>
      <c r="ER194" s="36"/>
      <c r="ES194" s="36"/>
      <c r="ET194" s="36"/>
      <c r="EU194" s="36"/>
      <c r="EV194" s="36"/>
      <c r="EW194" s="36"/>
      <c r="EX194" s="36"/>
      <c r="EY194" s="36"/>
      <c r="EZ194" s="36"/>
      <c r="FA194" s="36"/>
      <c r="FB194" s="36"/>
      <c r="FC194" s="36"/>
      <c r="FD194" s="36"/>
      <c r="FE194" s="36"/>
      <c r="FF194" s="36"/>
      <c r="FG194" s="36"/>
      <c r="FH194" s="36"/>
      <c r="FI194" s="36"/>
      <c r="FJ194" s="36"/>
      <c r="FK194" s="36"/>
      <c r="FL194" s="36"/>
      <c r="FM194" s="36"/>
      <c r="FN194" s="36"/>
      <c r="FO194" s="36"/>
      <c r="FP194" s="44">
        <v>569.99891150570693</v>
      </c>
      <c r="FQ194" s="44">
        <v>429.37510727174771</v>
      </c>
      <c r="FR194" s="44">
        <v>274.46714157583671</v>
      </c>
      <c r="FS194" s="44">
        <v>3147.2061366957032</v>
      </c>
      <c r="FT194" s="44">
        <v>2716.7239312353036</v>
      </c>
      <c r="FU194" s="44">
        <v>56.127701783309412</v>
      </c>
      <c r="FV194" s="44">
        <v>9020.8147958413829</v>
      </c>
      <c r="FW194" s="44">
        <v>6719.457343757741</v>
      </c>
      <c r="FX194" s="44">
        <v>17826.04866732323</v>
      </c>
      <c r="FY194" s="44">
        <v>9965.8722245252648</v>
      </c>
      <c r="FZ194" s="45">
        <v>188.22657846605409</v>
      </c>
      <c r="GA194" s="45">
        <v>1429.6685936953381</v>
      </c>
      <c r="GB194" s="45">
        <v>1601.8268646960928</v>
      </c>
      <c r="GC194" s="45">
        <v>215.95141301055645</v>
      </c>
      <c r="GD194" s="45">
        <v>558.73386984947672</v>
      </c>
      <c r="GE194" s="45">
        <v>841.2696502143051</v>
      </c>
      <c r="GF194" s="36">
        <v>5490.6609752645818</v>
      </c>
      <c r="GG194" s="36"/>
      <c r="GH194" s="36"/>
      <c r="GI194" s="36"/>
      <c r="GJ194" s="36"/>
      <c r="GK194" s="36"/>
      <c r="GL194" s="36"/>
      <c r="GM194" s="36"/>
      <c r="GN194" s="36"/>
      <c r="GO194" s="36"/>
      <c r="GP194" s="36"/>
      <c r="GQ194" s="36"/>
      <c r="GR194" s="36"/>
      <c r="GS194" s="36"/>
      <c r="GT194" s="36"/>
      <c r="GU194" s="36">
        <v>81102.350303145824</v>
      </c>
      <c r="GV194" s="36"/>
      <c r="GW194" s="36"/>
      <c r="GX194" s="36"/>
      <c r="GY194" s="36"/>
      <c r="GZ194" s="36"/>
      <c r="HA194" s="36"/>
      <c r="HB194" s="36">
        <v>206.80168697563656</v>
      </c>
      <c r="HC194" s="36">
        <f t="shared" si="2"/>
        <v>142361.58189683312</v>
      </c>
      <c r="HD194" s="36">
        <f>SUM(GI$5:GI$213)</f>
        <v>142361.58189683312</v>
      </c>
      <c r="HE194" s="41">
        <v>0</v>
      </c>
    </row>
    <row r="195" spans="1:213" hidden="1" outlineLevel="1" x14ac:dyDescent="0.2">
      <c r="A195" s="9" t="s">
        <v>1552</v>
      </c>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c r="AA195" s="36"/>
      <c r="AB195" s="36"/>
      <c r="AC195" s="36"/>
      <c r="AD195" s="36"/>
      <c r="AE195" s="36"/>
      <c r="AF195" s="36"/>
      <c r="AG195" s="36"/>
      <c r="AH195" s="36"/>
      <c r="AI195" s="36"/>
      <c r="AJ195" s="36"/>
      <c r="AK195" s="36"/>
      <c r="AL195" s="36"/>
      <c r="AM195" s="36"/>
      <c r="AN195" s="36"/>
      <c r="AO195" s="36"/>
      <c r="AP195" s="36"/>
      <c r="AQ195" s="36"/>
      <c r="AR195" s="36"/>
      <c r="AS195" s="36"/>
      <c r="AT195" s="36"/>
      <c r="AU195" s="36"/>
      <c r="AV195" s="36"/>
      <c r="AW195" s="36"/>
      <c r="AX195" s="36"/>
      <c r="AY195" s="36"/>
      <c r="AZ195" s="36"/>
      <c r="BA195" s="36"/>
      <c r="BB195" s="36"/>
      <c r="BC195" s="36"/>
      <c r="BD195" s="36"/>
      <c r="BE195" s="36"/>
      <c r="BF195" s="36"/>
      <c r="BG195" s="36"/>
      <c r="BH195" s="36"/>
      <c r="BI195" s="36"/>
      <c r="BJ195" s="36"/>
      <c r="BK195" s="36"/>
      <c r="BL195" s="36"/>
      <c r="BM195" s="36"/>
      <c r="BN195" s="36"/>
      <c r="BO195" s="36"/>
      <c r="BP195" s="36"/>
      <c r="BQ195" s="36"/>
      <c r="BR195" s="36"/>
      <c r="BS195" s="36"/>
      <c r="BT195" s="36"/>
      <c r="BU195" s="36"/>
      <c r="BV195" s="36"/>
      <c r="BW195" s="36"/>
      <c r="BX195" s="36"/>
      <c r="BY195" s="36"/>
      <c r="BZ195" s="36"/>
      <c r="CA195" s="36"/>
      <c r="CB195" s="36"/>
      <c r="CC195" s="36"/>
      <c r="CD195" s="36"/>
      <c r="CE195" s="36"/>
      <c r="CF195" s="36"/>
      <c r="CG195" s="36"/>
      <c r="CH195" s="36"/>
      <c r="CI195" s="36"/>
      <c r="CJ195" s="36"/>
      <c r="CK195" s="36"/>
      <c r="CL195" s="36"/>
      <c r="CM195" s="36"/>
      <c r="CN195" s="36"/>
      <c r="CO195" s="36"/>
      <c r="CP195" s="36"/>
      <c r="CQ195" s="36"/>
      <c r="CR195" s="36"/>
      <c r="CS195" s="36"/>
      <c r="CT195" s="36"/>
      <c r="CU195" s="36"/>
      <c r="CV195" s="36"/>
      <c r="CW195" s="36"/>
      <c r="CX195" s="36"/>
      <c r="CY195" s="36"/>
      <c r="CZ195" s="36"/>
      <c r="DA195" s="36"/>
      <c r="DB195" s="36"/>
      <c r="DC195" s="36"/>
      <c r="DD195" s="36"/>
      <c r="DE195" s="36"/>
      <c r="DF195" s="36"/>
      <c r="DG195" s="36"/>
      <c r="DH195" s="36"/>
      <c r="DI195" s="36"/>
      <c r="DJ195" s="36"/>
      <c r="DK195" s="36"/>
      <c r="DL195" s="36"/>
      <c r="DM195" s="36"/>
      <c r="DN195" s="36"/>
      <c r="DO195" s="36"/>
      <c r="DP195" s="36"/>
      <c r="DQ195" s="36"/>
      <c r="DR195" s="36"/>
      <c r="DS195" s="36"/>
      <c r="DT195" s="36"/>
      <c r="DU195" s="36"/>
      <c r="DV195" s="36"/>
      <c r="DW195" s="36"/>
      <c r="DX195" s="36"/>
      <c r="DY195" s="36"/>
      <c r="DZ195" s="36"/>
      <c r="EA195" s="36"/>
      <c r="EB195" s="36"/>
      <c r="EC195" s="36"/>
      <c r="ED195" s="36"/>
      <c r="EE195" s="36"/>
      <c r="EF195" s="36"/>
      <c r="EG195" s="36"/>
      <c r="EH195" s="36"/>
      <c r="EI195" s="36"/>
      <c r="EJ195" s="36"/>
      <c r="EK195" s="36"/>
      <c r="EL195" s="36"/>
      <c r="EM195" s="36"/>
      <c r="EN195" s="36"/>
      <c r="EO195" s="36"/>
      <c r="EP195" s="36"/>
      <c r="EQ195" s="36"/>
      <c r="ER195" s="36"/>
      <c r="ES195" s="36"/>
      <c r="ET195" s="36"/>
      <c r="EU195" s="36"/>
      <c r="EV195" s="36"/>
      <c r="EW195" s="36"/>
      <c r="EX195" s="36"/>
      <c r="EY195" s="36"/>
      <c r="EZ195" s="36"/>
      <c r="FA195" s="36"/>
      <c r="FB195" s="36"/>
      <c r="FC195" s="36"/>
      <c r="FD195" s="36"/>
      <c r="FE195" s="36"/>
      <c r="FF195" s="36"/>
      <c r="FG195" s="36"/>
      <c r="FH195" s="36"/>
      <c r="FI195" s="36"/>
      <c r="FJ195" s="36"/>
      <c r="FK195" s="36"/>
      <c r="FL195" s="36"/>
      <c r="FM195" s="36"/>
      <c r="FN195" s="36"/>
      <c r="FO195" s="36"/>
      <c r="FP195" s="44">
        <v>674.49347229351235</v>
      </c>
      <c r="FQ195" s="44">
        <v>508.08992995282404</v>
      </c>
      <c r="FR195" s="44">
        <v>324.7835945211408</v>
      </c>
      <c r="FS195" s="44">
        <v>5643.1606076957951</v>
      </c>
      <c r="FT195" s="44">
        <v>4871.2759205622451</v>
      </c>
      <c r="FU195" s="44">
        <v>100.64089288940448</v>
      </c>
      <c r="FV195" s="44">
        <v>11614.139312980058</v>
      </c>
      <c r="FW195" s="44">
        <v>8651.1823448593859</v>
      </c>
      <c r="FX195" s="44">
        <v>20343.494550185736</v>
      </c>
      <c r="FY195" s="44">
        <v>11373.281374414704</v>
      </c>
      <c r="FZ195" s="45">
        <v>300.85697442735534</v>
      </c>
      <c r="GA195" s="45">
        <v>2285.1489467549532</v>
      </c>
      <c r="GB195" s="45">
        <v>2560.322713170051</v>
      </c>
      <c r="GC195" s="45">
        <v>345.17170354549739</v>
      </c>
      <c r="GD195" s="45">
        <v>893.06719041974907</v>
      </c>
      <c r="GE195" s="45">
        <v>1344.6657942979136</v>
      </c>
      <c r="GF195" s="36">
        <v>8850.5550840343622</v>
      </c>
      <c r="GG195" s="36"/>
      <c r="GH195" s="36"/>
      <c r="GI195" s="36"/>
      <c r="GJ195" s="36"/>
      <c r="GK195" s="36"/>
      <c r="GL195" s="36"/>
      <c r="GM195" s="36"/>
      <c r="GN195" s="36"/>
      <c r="GO195" s="36"/>
      <c r="GP195" s="36"/>
      <c r="GQ195" s="36"/>
      <c r="GR195" s="36"/>
      <c r="GS195" s="36"/>
      <c r="GT195" s="36"/>
      <c r="GU195" s="36">
        <v>84818.460641879603</v>
      </c>
      <c r="GV195" s="36"/>
      <c r="GW195" s="36"/>
      <c r="GX195" s="36"/>
      <c r="GY195" s="36"/>
      <c r="GZ195" s="36"/>
      <c r="HA195" s="36"/>
      <c r="HB195" s="36">
        <v>333.34961497252203</v>
      </c>
      <c r="HC195" s="36">
        <f t="shared" si="2"/>
        <v>165836.14066385679</v>
      </c>
      <c r="HD195" s="36">
        <f>SUM(GJ$5:GJ$213)</f>
        <v>165836.14066385679</v>
      </c>
      <c r="HE195" s="41">
        <v>0</v>
      </c>
    </row>
    <row r="196" spans="1:213" hidden="1" outlineLevel="1" x14ac:dyDescent="0.2">
      <c r="A196" s="9" t="s">
        <v>1553</v>
      </c>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c r="AA196" s="36"/>
      <c r="AB196" s="36"/>
      <c r="AC196" s="36"/>
      <c r="AD196" s="36"/>
      <c r="AE196" s="36"/>
      <c r="AF196" s="36"/>
      <c r="AG196" s="36"/>
      <c r="AH196" s="36"/>
      <c r="AI196" s="36"/>
      <c r="AJ196" s="36"/>
      <c r="AK196" s="36"/>
      <c r="AL196" s="36"/>
      <c r="AM196" s="36"/>
      <c r="AN196" s="36"/>
      <c r="AO196" s="36"/>
      <c r="AP196" s="36"/>
      <c r="AQ196" s="36"/>
      <c r="AR196" s="36"/>
      <c r="AS196" s="36"/>
      <c r="AT196" s="36"/>
      <c r="AU196" s="36"/>
      <c r="AV196" s="36"/>
      <c r="AW196" s="36"/>
      <c r="AX196" s="36"/>
      <c r="AY196" s="36"/>
      <c r="AZ196" s="36"/>
      <c r="BA196" s="36"/>
      <c r="BB196" s="36"/>
      <c r="BC196" s="36"/>
      <c r="BD196" s="36"/>
      <c r="BE196" s="36"/>
      <c r="BF196" s="36"/>
      <c r="BG196" s="36"/>
      <c r="BH196" s="36"/>
      <c r="BI196" s="36"/>
      <c r="BJ196" s="36"/>
      <c r="BK196" s="36"/>
      <c r="BL196" s="36"/>
      <c r="BM196" s="36"/>
      <c r="BN196" s="36"/>
      <c r="BO196" s="36"/>
      <c r="BP196" s="36"/>
      <c r="BQ196" s="36"/>
      <c r="BR196" s="36"/>
      <c r="BS196" s="36"/>
      <c r="BT196" s="36"/>
      <c r="BU196" s="36"/>
      <c r="BV196" s="36"/>
      <c r="BW196" s="36"/>
      <c r="BX196" s="36"/>
      <c r="BY196" s="36"/>
      <c r="BZ196" s="36"/>
      <c r="CA196" s="36"/>
      <c r="CB196" s="36"/>
      <c r="CC196" s="36"/>
      <c r="CD196" s="36"/>
      <c r="CE196" s="36"/>
      <c r="CF196" s="36"/>
      <c r="CG196" s="36"/>
      <c r="CH196" s="36"/>
      <c r="CI196" s="36"/>
      <c r="CJ196" s="36"/>
      <c r="CK196" s="36"/>
      <c r="CL196" s="36"/>
      <c r="CM196" s="36"/>
      <c r="CN196" s="36"/>
      <c r="CO196" s="36"/>
      <c r="CP196" s="36"/>
      <c r="CQ196" s="36"/>
      <c r="CR196" s="36"/>
      <c r="CS196" s="36"/>
      <c r="CT196" s="36"/>
      <c r="CU196" s="36"/>
      <c r="CV196" s="36"/>
      <c r="CW196" s="36"/>
      <c r="CX196" s="36"/>
      <c r="CY196" s="36"/>
      <c r="CZ196" s="36"/>
      <c r="DA196" s="36"/>
      <c r="DB196" s="36"/>
      <c r="DC196" s="36"/>
      <c r="DD196" s="36"/>
      <c r="DE196" s="36"/>
      <c r="DF196" s="36"/>
      <c r="DG196" s="36"/>
      <c r="DH196" s="36"/>
      <c r="DI196" s="36"/>
      <c r="DJ196" s="36"/>
      <c r="DK196" s="36"/>
      <c r="DL196" s="36"/>
      <c r="DM196" s="36"/>
      <c r="DN196" s="36"/>
      <c r="DO196" s="36"/>
      <c r="DP196" s="36"/>
      <c r="DQ196" s="36"/>
      <c r="DR196" s="36"/>
      <c r="DS196" s="36"/>
      <c r="DT196" s="36"/>
      <c r="DU196" s="36"/>
      <c r="DV196" s="36"/>
      <c r="DW196" s="36"/>
      <c r="DX196" s="36"/>
      <c r="DY196" s="36"/>
      <c r="DZ196" s="36"/>
      <c r="EA196" s="36"/>
      <c r="EB196" s="36"/>
      <c r="EC196" s="36"/>
      <c r="ED196" s="36"/>
      <c r="EE196" s="36"/>
      <c r="EF196" s="36"/>
      <c r="EG196" s="36"/>
      <c r="EH196" s="36"/>
      <c r="EI196" s="36"/>
      <c r="EJ196" s="36"/>
      <c r="EK196" s="36"/>
      <c r="EL196" s="36"/>
      <c r="EM196" s="36"/>
      <c r="EN196" s="36"/>
      <c r="EO196" s="36"/>
      <c r="EP196" s="36"/>
      <c r="EQ196" s="36"/>
      <c r="ER196" s="36"/>
      <c r="ES196" s="36"/>
      <c r="ET196" s="36"/>
      <c r="EU196" s="36"/>
      <c r="EV196" s="36"/>
      <c r="EW196" s="36"/>
      <c r="EX196" s="36"/>
      <c r="EY196" s="36"/>
      <c r="EZ196" s="36"/>
      <c r="FA196" s="36"/>
      <c r="FB196" s="36"/>
      <c r="FC196" s="36"/>
      <c r="FD196" s="36"/>
      <c r="FE196" s="36"/>
      <c r="FF196" s="36"/>
      <c r="FG196" s="36"/>
      <c r="FH196" s="36"/>
      <c r="FI196" s="36"/>
      <c r="FJ196" s="36"/>
      <c r="FK196" s="36"/>
      <c r="FL196" s="36"/>
      <c r="FM196" s="36"/>
      <c r="FN196" s="36"/>
      <c r="FO196" s="36"/>
      <c r="FP196" s="44">
        <v>2031.6359694198422</v>
      </c>
      <c r="FQ196" s="44">
        <v>1530.4132950051301</v>
      </c>
      <c r="FR196" s="44">
        <v>978.27786333191</v>
      </c>
      <c r="FS196" s="44">
        <v>8519.8273620522086</v>
      </c>
      <c r="FT196" s="44">
        <v>7354.4654780007295</v>
      </c>
      <c r="FU196" s="44">
        <v>151.94375857585663</v>
      </c>
      <c r="FV196" s="44">
        <v>16517.919166475858</v>
      </c>
      <c r="FW196" s="44">
        <v>12303.927722575565</v>
      </c>
      <c r="FX196" s="44">
        <v>21224.324339209805</v>
      </c>
      <c r="FY196" s="44">
        <v>11865.720124739681</v>
      </c>
      <c r="FZ196" s="45">
        <v>497.68866914377617</v>
      </c>
      <c r="GA196" s="45">
        <v>3780.1774091176489</v>
      </c>
      <c r="GB196" s="45">
        <v>4235.3799712356749</v>
      </c>
      <c r="GC196" s="45">
        <v>570.99572343511875</v>
      </c>
      <c r="GD196" s="45">
        <v>1477.3445830929147</v>
      </c>
      <c r="GE196" s="45">
        <v>2224.3955982109987</v>
      </c>
      <c r="GF196" s="36">
        <v>12947.275669780312</v>
      </c>
      <c r="GG196" s="36"/>
      <c r="GH196" s="36"/>
      <c r="GI196" s="36"/>
      <c r="GJ196" s="36"/>
      <c r="GK196" s="36"/>
      <c r="GL196" s="36"/>
      <c r="GM196" s="36"/>
      <c r="GN196" s="36"/>
      <c r="GO196" s="36"/>
      <c r="GP196" s="36"/>
      <c r="GQ196" s="36"/>
      <c r="GR196" s="36"/>
      <c r="GS196" s="36"/>
      <c r="GT196" s="36"/>
      <c r="GU196" s="36">
        <v>86251.430489443694</v>
      </c>
      <c r="GV196" s="36"/>
      <c r="GW196" s="36"/>
      <c r="GX196" s="36"/>
      <c r="GY196" s="36"/>
      <c r="GZ196" s="36"/>
      <c r="HA196" s="36"/>
      <c r="HB196" s="36">
        <v>487.64956756780083</v>
      </c>
      <c r="HC196" s="36">
        <f t="shared" si="2"/>
        <v>194950.79276041454</v>
      </c>
      <c r="HD196" s="36">
        <f>SUM(GK$5:GK$213)</f>
        <v>194950.79276041451</v>
      </c>
      <c r="HE196" s="41">
        <v>0</v>
      </c>
    </row>
    <row r="197" spans="1:213" hidden="1" outlineLevel="1" x14ac:dyDescent="0.2">
      <c r="A197" s="9" t="s">
        <v>1554</v>
      </c>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c r="AA197" s="36"/>
      <c r="AB197" s="36"/>
      <c r="AC197" s="36"/>
      <c r="AD197" s="36"/>
      <c r="AE197" s="36"/>
      <c r="AF197" s="36"/>
      <c r="AG197" s="36"/>
      <c r="AH197" s="36"/>
      <c r="AI197" s="36"/>
      <c r="AJ197" s="36"/>
      <c r="AK197" s="36"/>
      <c r="AL197" s="36"/>
      <c r="AM197" s="36"/>
      <c r="AN197" s="36"/>
      <c r="AO197" s="36"/>
      <c r="AP197" s="36"/>
      <c r="AQ197" s="36"/>
      <c r="AR197" s="36"/>
      <c r="AS197" s="36"/>
      <c r="AT197" s="36"/>
      <c r="AU197" s="36"/>
      <c r="AV197" s="36"/>
      <c r="AW197" s="36"/>
      <c r="AX197" s="36"/>
      <c r="AY197" s="36"/>
      <c r="AZ197" s="36"/>
      <c r="BA197" s="36"/>
      <c r="BB197" s="36"/>
      <c r="BC197" s="36"/>
      <c r="BD197" s="36"/>
      <c r="BE197" s="36"/>
      <c r="BF197" s="36"/>
      <c r="BG197" s="36"/>
      <c r="BH197" s="36"/>
      <c r="BI197" s="36"/>
      <c r="BJ197" s="36"/>
      <c r="BK197" s="36"/>
      <c r="BL197" s="36"/>
      <c r="BM197" s="36"/>
      <c r="BN197" s="36"/>
      <c r="BO197" s="36"/>
      <c r="BP197" s="36"/>
      <c r="BQ197" s="36"/>
      <c r="BR197" s="36"/>
      <c r="BS197" s="36"/>
      <c r="BT197" s="36"/>
      <c r="BU197" s="36"/>
      <c r="BV197" s="36"/>
      <c r="BW197" s="36"/>
      <c r="BX197" s="36"/>
      <c r="BY197" s="36"/>
      <c r="BZ197" s="36"/>
      <c r="CA197" s="36"/>
      <c r="CB197" s="36"/>
      <c r="CC197" s="36"/>
      <c r="CD197" s="36"/>
      <c r="CE197" s="36"/>
      <c r="CF197" s="36"/>
      <c r="CG197" s="36"/>
      <c r="CH197" s="36"/>
      <c r="CI197" s="36"/>
      <c r="CJ197" s="36"/>
      <c r="CK197" s="36"/>
      <c r="CL197" s="36"/>
      <c r="CM197" s="36"/>
      <c r="CN197" s="36"/>
      <c r="CO197" s="36"/>
      <c r="CP197" s="36"/>
      <c r="CQ197" s="36"/>
      <c r="CR197" s="36"/>
      <c r="CS197" s="36"/>
      <c r="CT197" s="36"/>
      <c r="CU197" s="36"/>
      <c r="CV197" s="36"/>
      <c r="CW197" s="36"/>
      <c r="CX197" s="36"/>
      <c r="CY197" s="36"/>
      <c r="CZ197" s="36"/>
      <c r="DA197" s="36"/>
      <c r="DB197" s="36"/>
      <c r="DC197" s="36"/>
      <c r="DD197" s="36"/>
      <c r="DE197" s="36"/>
      <c r="DF197" s="36"/>
      <c r="DG197" s="36"/>
      <c r="DH197" s="36"/>
      <c r="DI197" s="36"/>
      <c r="DJ197" s="36"/>
      <c r="DK197" s="36"/>
      <c r="DL197" s="36"/>
      <c r="DM197" s="36"/>
      <c r="DN197" s="36"/>
      <c r="DO197" s="36"/>
      <c r="DP197" s="36"/>
      <c r="DQ197" s="36"/>
      <c r="DR197" s="36"/>
      <c r="DS197" s="36"/>
      <c r="DT197" s="36"/>
      <c r="DU197" s="36"/>
      <c r="DV197" s="36"/>
      <c r="DW197" s="36"/>
      <c r="DX197" s="36"/>
      <c r="DY197" s="36"/>
      <c r="DZ197" s="36"/>
      <c r="EA197" s="36"/>
      <c r="EB197" s="36"/>
      <c r="EC197" s="36"/>
      <c r="ED197" s="36"/>
      <c r="EE197" s="36"/>
      <c r="EF197" s="36"/>
      <c r="EG197" s="36"/>
      <c r="EH197" s="36"/>
      <c r="EI197" s="36"/>
      <c r="EJ197" s="36"/>
      <c r="EK197" s="36"/>
      <c r="EL197" s="36"/>
      <c r="EM197" s="36"/>
      <c r="EN197" s="36"/>
      <c r="EO197" s="36"/>
      <c r="EP197" s="36"/>
      <c r="EQ197" s="36"/>
      <c r="ER197" s="36"/>
      <c r="ES197" s="36"/>
      <c r="ET197" s="36"/>
      <c r="EU197" s="36"/>
      <c r="EV197" s="36"/>
      <c r="EW197" s="36"/>
      <c r="EX197" s="36"/>
      <c r="EY197" s="36"/>
      <c r="EZ197" s="36"/>
      <c r="FA197" s="36"/>
      <c r="FB197" s="36"/>
      <c r="FC197" s="36"/>
      <c r="FD197" s="36"/>
      <c r="FE197" s="36"/>
      <c r="FF197" s="36"/>
      <c r="FG197" s="36"/>
      <c r="FH197" s="36"/>
      <c r="FI197" s="36"/>
      <c r="FJ197" s="36"/>
      <c r="FK197" s="36"/>
      <c r="FL197" s="36"/>
      <c r="FM197" s="36"/>
      <c r="FN197" s="36"/>
      <c r="FO197" s="36"/>
      <c r="FP197" s="44">
        <v>6168.3597960569787</v>
      </c>
      <c r="FQ197" s="44">
        <v>4646.5705384003732</v>
      </c>
      <c r="FR197" s="44">
        <v>2970.2023061111045</v>
      </c>
      <c r="FS197" s="44">
        <v>16289.575826096763</v>
      </c>
      <c r="FT197" s="44">
        <v>14061.449601420883</v>
      </c>
      <c r="FU197" s="44">
        <v>290.51050818796972</v>
      </c>
      <c r="FV197" s="44">
        <v>24327.716021654116</v>
      </c>
      <c r="FW197" s="44">
        <v>18121.317616887121</v>
      </c>
      <c r="FX197" s="44">
        <v>27633.653366405644</v>
      </c>
      <c r="FY197" s="44">
        <v>15448.934516331845</v>
      </c>
      <c r="FZ197" s="45">
        <v>816.45867423300319</v>
      </c>
      <c r="GA197" s="45">
        <v>6201.3841728073157</v>
      </c>
      <c r="GB197" s="45">
        <v>6948.1443532505282</v>
      </c>
      <c r="GC197" s="45">
        <v>936.71895755753042</v>
      </c>
      <c r="GD197" s="45">
        <v>2423.5850130413505</v>
      </c>
      <c r="GE197" s="45">
        <v>3649.1228225258715</v>
      </c>
      <c r="GF197" s="36">
        <v>20745.462435278248</v>
      </c>
      <c r="GG197" s="36"/>
      <c r="GH197" s="36"/>
      <c r="GI197" s="36"/>
      <c r="GJ197" s="36"/>
      <c r="GK197" s="36"/>
      <c r="GL197" s="36"/>
      <c r="GM197" s="36"/>
      <c r="GN197" s="36"/>
      <c r="GO197" s="36"/>
      <c r="GP197" s="36"/>
      <c r="GQ197" s="36"/>
      <c r="GR197" s="36"/>
      <c r="GS197" s="36"/>
      <c r="GT197" s="36"/>
      <c r="GU197" s="36">
        <v>86952.061502747674</v>
      </c>
      <c r="GV197" s="36"/>
      <c r="GW197" s="36"/>
      <c r="GX197" s="36"/>
      <c r="GY197" s="36"/>
      <c r="GZ197" s="36"/>
      <c r="HA197" s="36"/>
      <c r="HB197" s="36">
        <v>781.3625077258572</v>
      </c>
      <c r="HC197" s="36">
        <f t="shared" ref="HC197:HC213" si="3">SUM(B197:HB197)</f>
        <v>259412.59053672021</v>
      </c>
      <c r="HD197" s="36">
        <f>SUM(GL$5:GL$213)</f>
        <v>259412.59053672021</v>
      </c>
      <c r="HE197" s="41">
        <v>0</v>
      </c>
    </row>
    <row r="198" spans="1:213" hidden="1" outlineLevel="1" x14ac:dyDescent="0.2">
      <c r="A198" s="9" t="s">
        <v>1555</v>
      </c>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c r="AA198" s="36"/>
      <c r="AB198" s="36"/>
      <c r="AC198" s="36"/>
      <c r="AD198" s="36"/>
      <c r="AE198" s="36"/>
      <c r="AF198" s="36"/>
      <c r="AG198" s="36"/>
      <c r="AH198" s="36"/>
      <c r="AI198" s="36"/>
      <c r="AJ198" s="36"/>
      <c r="AK198" s="36"/>
      <c r="AL198" s="36"/>
      <c r="AM198" s="36"/>
      <c r="AN198" s="36"/>
      <c r="AO198" s="36"/>
      <c r="AP198" s="36"/>
      <c r="AQ198" s="36"/>
      <c r="AR198" s="36"/>
      <c r="AS198" s="36"/>
      <c r="AT198" s="36"/>
      <c r="AU198" s="36"/>
      <c r="AV198" s="36"/>
      <c r="AW198" s="36"/>
      <c r="AX198" s="36"/>
      <c r="AY198" s="36"/>
      <c r="AZ198" s="36"/>
      <c r="BA198" s="36"/>
      <c r="BB198" s="36"/>
      <c r="BC198" s="36"/>
      <c r="BD198" s="36"/>
      <c r="BE198" s="36"/>
      <c r="BF198" s="36"/>
      <c r="BG198" s="36"/>
      <c r="BH198" s="36"/>
      <c r="BI198" s="36"/>
      <c r="BJ198" s="36"/>
      <c r="BK198" s="36"/>
      <c r="BL198" s="36"/>
      <c r="BM198" s="36"/>
      <c r="BN198" s="36"/>
      <c r="BO198" s="36"/>
      <c r="BP198" s="36"/>
      <c r="BQ198" s="36"/>
      <c r="BR198" s="36"/>
      <c r="BS198" s="36"/>
      <c r="BT198" s="36"/>
      <c r="BU198" s="36"/>
      <c r="BV198" s="36"/>
      <c r="BW198" s="36"/>
      <c r="BX198" s="36"/>
      <c r="BY198" s="36"/>
      <c r="BZ198" s="36"/>
      <c r="CA198" s="36"/>
      <c r="CB198" s="36"/>
      <c r="CC198" s="36"/>
      <c r="CD198" s="36"/>
      <c r="CE198" s="36"/>
      <c r="CF198" s="36"/>
      <c r="CG198" s="36"/>
      <c r="CH198" s="36"/>
      <c r="CI198" s="36"/>
      <c r="CJ198" s="36"/>
      <c r="CK198" s="36"/>
      <c r="CL198" s="36"/>
      <c r="CM198" s="36"/>
      <c r="CN198" s="36"/>
      <c r="CO198" s="36"/>
      <c r="CP198" s="36"/>
      <c r="CQ198" s="36"/>
      <c r="CR198" s="36"/>
      <c r="CS198" s="36"/>
      <c r="CT198" s="36"/>
      <c r="CU198" s="36"/>
      <c r="CV198" s="36"/>
      <c r="CW198" s="36"/>
      <c r="CX198" s="36"/>
      <c r="CY198" s="36"/>
      <c r="CZ198" s="36"/>
      <c r="DA198" s="36"/>
      <c r="DB198" s="36"/>
      <c r="DC198" s="36"/>
      <c r="DD198" s="36"/>
      <c r="DE198" s="36"/>
      <c r="DF198" s="36"/>
      <c r="DG198" s="36"/>
      <c r="DH198" s="36"/>
      <c r="DI198" s="36"/>
      <c r="DJ198" s="36"/>
      <c r="DK198" s="36"/>
      <c r="DL198" s="36"/>
      <c r="DM198" s="36"/>
      <c r="DN198" s="36"/>
      <c r="DO198" s="36"/>
      <c r="DP198" s="36"/>
      <c r="DQ198" s="36"/>
      <c r="DR198" s="36"/>
      <c r="DS198" s="36"/>
      <c r="DT198" s="36"/>
      <c r="DU198" s="36"/>
      <c r="DV198" s="36"/>
      <c r="DW198" s="36"/>
      <c r="DX198" s="36"/>
      <c r="DY198" s="36"/>
      <c r="DZ198" s="36"/>
      <c r="EA198" s="36"/>
      <c r="EB198" s="36"/>
      <c r="EC198" s="36"/>
      <c r="ED198" s="36"/>
      <c r="EE198" s="36"/>
      <c r="EF198" s="36"/>
      <c r="EG198" s="36"/>
      <c r="EH198" s="36"/>
      <c r="EI198" s="36"/>
      <c r="EJ198" s="36"/>
      <c r="EK198" s="36"/>
      <c r="EL198" s="36"/>
      <c r="EM198" s="36"/>
      <c r="EN198" s="36"/>
      <c r="EO198" s="36"/>
      <c r="EP198" s="36"/>
      <c r="EQ198" s="36"/>
      <c r="ER198" s="36"/>
      <c r="ES198" s="36"/>
      <c r="ET198" s="36"/>
      <c r="EU198" s="36"/>
      <c r="EV198" s="36"/>
      <c r="EW198" s="36"/>
      <c r="EX198" s="36"/>
      <c r="EY198" s="36"/>
      <c r="EZ198" s="36"/>
      <c r="FA198" s="36"/>
      <c r="FB198" s="36"/>
      <c r="FC198" s="36"/>
      <c r="FD198" s="36"/>
      <c r="FE198" s="36"/>
      <c r="FF198" s="36"/>
      <c r="FG198" s="36"/>
      <c r="FH198" s="36"/>
      <c r="FI198" s="36"/>
      <c r="FJ198" s="36"/>
      <c r="FK198" s="36"/>
      <c r="FL198" s="36"/>
      <c r="FM198" s="36"/>
      <c r="FN198" s="36"/>
      <c r="FO198" s="36"/>
      <c r="FP198" s="44">
        <v>13923.379633888026</v>
      </c>
      <c r="FQ198" s="44">
        <v>10488.357965620575</v>
      </c>
      <c r="FR198" s="44">
        <v>6704.416678785552</v>
      </c>
      <c r="FS198" s="44">
        <v>31477.103349046567</v>
      </c>
      <c r="FT198" s="44">
        <v>27171.591640357135</v>
      </c>
      <c r="FU198" s="44">
        <v>561.36693722662267</v>
      </c>
      <c r="FV198" s="44">
        <v>23973.940309428548</v>
      </c>
      <c r="FW198" s="44">
        <v>17857.795877292927</v>
      </c>
      <c r="FX198" s="44">
        <v>24586.232927355024</v>
      </c>
      <c r="FY198" s="44">
        <v>13745.236558541776</v>
      </c>
      <c r="FZ198" s="45">
        <v>1459.3397248826193</v>
      </c>
      <c r="GA198" s="45">
        <v>11084.36539196269</v>
      </c>
      <c r="GB198" s="45">
        <v>12419.125901801182</v>
      </c>
      <c r="GC198" s="45">
        <v>1674.2931748487042</v>
      </c>
      <c r="GD198" s="45">
        <v>4331.9202769006861</v>
      </c>
      <c r="GE198" s="45">
        <v>6522.4487949625754</v>
      </c>
      <c r="GF198" s="36">
        <v>41255.285120303262</v>
      </c>
      <c r="GG198" s="36"/>
      <c r="GH198" s="36"/>
      <c r="GI198" s="36"/>
      <c r="GJ198" s="36"/>
      <c r="GK198" s="36"/>
      <c r="GL198" s="36"/>
      <c r="GM198" s="36"/>
      <c r="GN198" s="36"/>
      <c r="GO198" s="36"/>
      <c r="GP198" s="36"/>
      <c r="GQ198" s="36"/>
      <c r="GR198" s="36"/>
      <c r="GS198" s="36"/>
      <c r="GT198" s="36"/>
      <c r="GU198" s="36">
        <v>69714.202142723821</v>
      </c>
      <c r="GV198" s="36"/>
      <c r="GW198" s="36"/>
      <c r="GX198" s="36"/>
      <c r="GY198" s="36"/>
      <c r="GZ198" s="36"/>
      <c r="HA198" s="36"/>
      <c r="HB198" s="36">
        <v>1553.8498184416594</v>
      </c>
      <c r="HC198" s="36">
        <f t="shared" si="3"/>
        <v>320504.25222436996</v>
      </c>
      <c r="HD198" s="36">
        <f>SUM(GM$5:GM$213)</f>
        <v>320504.25222436996</v>
      </c>
      <c r="HE198" s="41">
        <v>0</v>
      </c>
    </row>
    <row r="199" spans="1:213" hidden="1" outlineLevel="1" x14ac:dyDescent="0.2">
      <c r="A199" s="9" t="s">
        <v>1556</v>
      </c>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c r="AA199" s="36"/>
      <c r="AB199" s="36"/>
      <c r="AC199" s="36"/>
      <c r="AD199" s="36"/>
      <c r="AE199" s="36"/>
      <c r="AF199" s="36"/>
      <c r="AG199" s="36"/>
      <c r="AH199" s="36"/>
      <c r="AI199" s="36"/>
      <c r="AJ199" s="36"/>
      <c r="AK199" s="36"/>
      <c r="AL199" s="36"/>
      <c r="AM199" s="36"/>
      <c r="AN199" s="36"/>
      <c r="AO199" s="36"/>
      <c r="AP199" s="36"/>
      <c r="AQ199" s="36"/>
      <c r="AR199" s="36"/>
      <c r="AS199" s="36"/>
      <c r="AT199" s="36"/>
      <c r="AU199" s="36"/>
      <c r="AV199" s="36"/>
      <c r="AW199" s="36"/>
      <c r="AX199" s="36"/>
      <c r="AY199" s="36"/>
      <c r="AZ199" s="36"/>
      <c r="BA199" s="36"/>
      <c r="BB199" s="36"/>
      <c r="BC199" s="36"/>
      <c r="BD199" s="36"/>
      <c r="BE199" s="36"/>
      <c r="BF199" s="36"/>
      <c r="BG199" s="36"/>
      <c r="BH199" s="36"/>
      <c r="BI199" s="36"/>
      <c r="BJ199" s="36"/>
      <c r="BK199" s="36"/>
      <c r="BL199" s="36"/>
      <c r="BM199" s="36"/>
      <c r="BN199" s="36"/>
      <c r="BO199" s="36"/>
      <c r="BP199" s="36"/>
      <c r="BQ199" s="36"/>
      <c r="BR199" s="36"/>
      <c r="BS199" s="36"/>
      <c r="BT199" s="36"/>
      <c r="BU199" s="36"/>
      <c r="BV199" s="36"/>
      <c r="BW199" s="36"/>
      <c r="BX199" s="36"/>
      <c r="BY199" s="36"/>
      <c r="BZ199" s="36"/>
      <c r="CA199" s="36"/>
      <c r="CB199" s="36"/>
      <c r="CC199" s="36"/>
      <c r="CD199" s="36"/>
      <c r="CE199" s="36"/>
      <c r="CF199" s="36"/>
      <c r="CG199" s="36"/>
      <c r="CH199" s="36"/>
      <c r="CI199" s="36"/>
      <c r="CJ199" s="36"/>
      <c r="CK199" s="36"/>
      <c r="CL199" s="36"/>
      <c r="CM199" s="36"/>
      <c r="CN199" s="36"/>
      <c r="CO199" s="36"/>
      <c r="CP199" s="36"/>
      <c r="CQ199" s="36"/>
      <c r="CR199" s="36"/>
      <c r="CS199" s="36"/>
      <c r="CT199" s="36"/>
      <c r="CU199" s="36"/>
      <c r="CV199" s="36"/>
      <c r="CW199" s="36"/>
      <c r="CX199" s="36"/>
      <c r="CY199" s="36"/>
      <c r="CZ199" s="36"/>
      <c r="DA199" s="36"/>
      <c r="DB199" s="36"/>
      <c r="DC199" s="36"/>
      <c r="DD199" s="36"/>
      <c r="DE199" s="36"/>
      <c r="DF199" s="36"/>
      <c r="DG199" s="36"/>
      <c r="DH199" s="36"/>
      <c r="DI199" s="36"/>
      <c r="DJ199" s="36"/>
      <c r="DK199" s="36"/>
      <c r="DL199" s="36"/>
      <c r="DM199" s="36"/>
      <c r="DN199" s="36"/>
      <c r="DO199" s="36"/>
      <c r="DP199" s="36"/>
      <c r="DQ199" s="36"/>
      <c r="DR199" s="36"/>
      <c r="DS199" s="36"/>
      <c r="DT199" s="36"/>
      <c r="DU199" s="36"/>
      <c r="DV199" s="36"/>
      <c r="DW199" s="36"/>
      <c r="DX199" s="36"/>
      <c r="DY199" s="36"/>
      <c r="DZ199" s="36"/>
      <c r="EA199" s="36"/>
      <c r="EB199" s="36"/>
      <c r="EC199" s="36"/>
      <c r="ED199" s="36"/>
      <c r="EE199" s="36"/>
      <c r="EF199" s="36"/>
      <c r="EG199" s="36"/>
      <c r="EH199" s="36"/>
      <c r="EI199" s="36"/>
      <c r="EJ199" s="36"/>
      <c r="EK199" s="36"/>
      <c r="EL199" s="36"/>
      <c r="EM199" s="36"/>
      <c r="EN199" s="36"/>
      <c r="EO199" s="36"/>
      <c r="EP199" s="36"/>
      <c r="EQ199" s="36"/>
      <c r="ER199" s="36"/>
      <c r="ES199" s="36"/>
      <c r="ET199" s="36"/>
      <c r="EU199" s="36"/>
      <c r="EV199" s="36"/>
      <c r="EW199" s="36"/>
      <c r="EX199" s="36"/>
      <c r="EY199" s="36"/>
      <c r="EZ199" s="36"/>
      <c r="FA199" s="36"/>
      <c r="FB199" s="36"/>
      <c r="FC199" s="36"/>
      <c r="FD199" s="36"/>
      <c r="FE199" s="36"/>
      <c r="FF199" s="36"/>
      <c r="FG199" s="36"/>
      <c r="FH199" s="36"/>
      <c r="FI199" s="36"/>
      <c r="FJ199" s="36"/>
      <c r="FK199" s="36"/>
      <c r="FL199" s="36"/>
      <c r="FM199" s="36"/>
      <c r="FN199" s="36"/>
      <c r="FO199" s="36"/>
      <c r="FP199" s="44">
        <v>44023.433026103048</v>
      </c>
      <c r="FQ199" s="44">
        <v>33162.460307372588</v>
      </c>
      <c r="FR199" s="44">
        <v>21198.261226695009</v>
      </c>
      <c r="FS199" s="44">
        <v>45251.566116991002</v>
      </c>
      <c r="FT199" s="44">
        <v>39061.951221593212</v>
      </c>
      <c r="FU199" s="44">
        <v>807.02257746257101</v>
      </c>
      <c r="FV199" s="44">
        <v>39861.235099284437</v>
      </c>
      <c r="FW199" s="44">
        <v>29691.981819936947</v>
      </c>
      <c r="FX199" s="44">
        <v>24296.819704082249</v>
      </c>
      <c r="FY199" s="44">
        <v>13583.436528874399</v>
      </c>
      <c r="FZ199" s="45">
        <v>2465.3330834791896</v>
      </c>
      <c r="GA199" s="45">
        <v>18725.353832450077</v>
      </c>
      <c r="GB199" s="45">
        <v>20980.229230768306</v>
      </c>
      <c r="GC199" s="45">
        <v>2828.4643287771264</v>
      </c>
      <c r="GD199" s="45">
        <v>7318.1221558925217</v>
      </c>
      <c r="GE199" s="45">
        <v>11018.687784171407</v>
      </c>
      <c r="GF199" s="36">
        <v>89841.957220650147</v>
      </c>
      <c r="GG199" s="36"/>
      <c r="GH199" s="36"/>
      <c r="GI199" s="36"/>
      <c r="GJ199" s="36"/>
      <c r="GK199" s="36"/>
      <c r="GL199" s="36"/>
      <c r="GM199" s="36"/>
      <c r="GN199" s="36"/>
      <c r="GO199" s="36"/>
      <c r="GP199" s="36"/>
      <c r="GQ199" s="36"/>
      <c r="GR199" s="36"/>
      <c r="GS199" s="36"/>
      <c r="GT199" s="36"/>
      <c r="GU199" s="36">
        <v>66105.759902411679</v>
      </c>
      <c r="GV199" s="36"/>
      <c r="GW199" s="36"/>
      <c r="GX199" s="36"/>
      <c r="GY199" s="36"/>
      <c r="GZ199" s="36"/>
      <c r="HA199" s="36"/>
      <c r="HB199" s="36">
        <v>3383.8309081773364</v>
      </c>
      <c r="HC199" s="36">
        <f t="shared" si="3"/>
        <v>513605.90607517329</v>
      </c>
      <c r="HD199" s="36">
        <f>SUM(GN$5:GN$213)</f>
        <v>513605.90607517329</v>
      </c>
      <c r="HE199" s="41">
        <v>0</v>
      </c>
    </row>
    <row r="200" spans="1:213" hidden="1" outlineLevel="1" x14ac:dyDescent="0.2">
      <c r="A200" s="9" t="s">
        <v>1557</v>
      </c>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c r="AA200" s="36"/>
      <c r="AB200" s="36"/>
      <c r="AC200" s="36"/>
      <c r="AD200" s="36"/>
      <c r="AE200" s="36"/>
      <c r="AF200" s="36"/>
      <c r="AG200" s="36"/>
      <c r="AH200" s="36"/>
      <c r="AI200" s="36"/>
      <c r="AJ200" s="36"/>
      <c r="AK200" s="36"/>
      <c r="AL200" s="36"/>
      <c r="AM200" s="36"/>
      <c r="AN200" s="36"/>
      <c r="AO200" s="36"/>
      <c r="AP200" s="36"/>
      <c r="AQ200" s="36"/>
      <c r="AR200" s="36"/>
      <c r="AS200" s="36"/>
      <c r="AT200" s="36"/>
      <c r="AU200" s="36"/>
      <c r="AV200" s="36"/>
      <c r="AW200" s="36"/>
      <c r="AX200" s="36"/>
      <c r="AY200" s="36"/>
      <c r="AZ200" s="36"/>
      <c r="BA200" s="36"/>
      <c r="BB200" s="36"/>
      <c r="BC200" s="36"/>
      <c r="BD200" s="36"/>
      <c r="BE200" s="36"/>
      <c r="BF200" s="36"/>
      <c r="BG200" s="36"/>
      <c r="BH200" s="36"/>
      <c r="BI200" s="36"/>
      <c r="BJ200" s="36"/>
      <c r="BK200" s="36"/>
      <c r="BL200" s="36"/>
      <c r="BM200" s="36"/>
      <c r="BN200" s="36"/>
      <c r="BO200" s="36"/>
      <c r="BP200" s="36"/>
      <c r="BQ200" s="36"/>
      <c r="BR200" s="36"/>
      <c r="BS200" s="36"/>
      <c r="BT200" s="36"/>
      <c r="BU200" s="36"/>
      <c r="BV200" s="36"/>
      <c r="BW200" s="36"/>
      <c r="BX200" s="36"/>
      <c r="BY200" s="36"/>
      <c r="BZ200" s="36"/>
      <c r="CA200" s="36"/>
      <c r="CB200" s="36"/>
      <c r="CC200" s="36"/>
      <c r="CD200" s="36"/>
      <c r="CE200" s="36"/>
      <c r="CF200" s="36"/>
      <c r="CG200" s="36"/>
      <c r="CH200" s="36"/>
      <c r="CI200" s="36"/>
      <c r="CJ200" s="36"/>
      <c r="CK200" s="36"/>
      <c r="CL200" s="36"/>
      <c r="CM200" s="36"/>
      <c r="CN200" s="36"/>
      <c r="CO200" s="36"/>
      <c r="CP200" s="36"/>
      <c r="CQ200" s="36"/>
      <c r="CR200" s="36"/>
      <c r="CS200" s="36"/>
      <c r="CT200" s="36"/>
      <c r="CU200" s="36"/>
      <c r="CV200" s="36"/>
      <c r="CW200" s="36"/>
      <c r="CX200" s="36"/>
      <c r="CY200" s="36"/>
      <c r="CZ200" s="36"/>
      <c r="DA200" s="36"/>
      <c r="DB200" s="36"/>
      <c r="DC200" s="36"/>
      <c r="DD200" s="36"/>
      <c r="DE200" s="36"/>
      <c r="DF200" s="36"/>
      <c r="DG200" s="36"/>
      <c r="DH200" s="36"/>
      <c r="DI200" s="36"/>
      <c r="DJ200" s="36"/>
      <c r="DK200" s="36"/>
      <c r="DL200" s="36"/>
      <c r="DM200" s="36"/>
      <c r="DN200" s="36"/>
      <c r="DO200" s="36"/>
      <c r="DP200" s="36"/>
      <c r="DQ200" s="36"/>
      <c r="DR200" s="36"/>
      <c r="DS200" s="36"/>
      <c r="DT200" s="36"/>
      <c r="DU200" s="36"/>
      <c r="DV200" s="36"/>
      <c r="DW200" s="36"/>
      <c r="DX200" s="36"/>
      <c r="DY200" s="36"/>
      <c r="DZ200" s="36"/>
      <c r="EA200" s="36"/>
      <c r="EB200" s="36"/>
      <c r="EC200" s="36"/>
      <c r="ED200" s="36"/>
      <c r="EE200" s="36"/>
      <c r="EF200" s="36"/>
      <c r="EG200" s="36"/>
      <c r="EH200" s="36"/>
      <c r="EI200" s="36"/>
      <c r="EJ200" s="36"/>
      <c r="EK200" s="36"/>
      <c r="EL200" s="36"/>
      <c r="EM200" s="36"/>
      <c r="EN200" s="36"/>
      <c r="EO200" s="36"/>
      <c r="EP200" s="36"/>
      <c r="EQ200" s="36"/>
      <c r="ER200" s="36"/>
      <c r="ES200" s="36"/>
      <c r="ET200" s="36"/>
      <c r="EU200" s="36"/>
      <c r="EV200" s="36"/>
      <c r="EW200" s="36"/>
      <c r="EX200" s="36"/>
      <c r="EY200" s="36"/>
      <c r="EZ200" s="36"/>
      <c r="FA200" s="36"/>
      <c r="FB200" s="36"/>
      <c r="FC200" s="36"/>
      <c r="FD200" s="36"/>
      <c r="FE200" s="36"/>
      <c r="FF200" s="36"/>
      <c r="FG200" s="36"/>
      <c r="FH200" s="36"/>
      <c r="FI200" s="36"/>
      <c r="FJ200" s="36"/>
      <c r="FK200" s="36"/>
      <c r="FL200" s="36"/>
      <c r="FM200" s="36"/>
      <c r="FN200" s="36"/>
      <c r="FO200" s="36"/>
      <c r="FP200" s="44">
        <v>151678.96371028177</v>
      </c>
      <c r="FQ200" s="44">
        <v>114258.41348000123</v>
      </c>
      <c r="FR200" s="44">
        <v>73036.791415573214</v>
      </c>
      <c r="FS200" s="44">
        <v>75924.593784198994</v>
      </c>
      <c r="FT200" s="44">
        <v>65539.450529737063</v>
      </c>
      <c r="FU200" s="44">
        <v>1354.0495197472565</v>
      </c>
      <c r="FV200" s="44">
        <v>38498.387884675038</v>
      </c>
      <c r="FW200" s="44">
        <v>28676.819228543492</v>
      </c>
      <c r="FX200" s="44">
        <v>20261.239967990197</v>
      </c>
      <c r="FY200" s="44">
        <v>11327.295936399749</v>
      </c>
      <c r="FZ200" s="45">
        <v>4406.7736209194682</v>
      </c>
      <c r="GA200" s="45">
        <v>33471.499597438029</v>
      </c>
      <c r="GB200" s="45">
        <v>37502.080897124317</v>
      </c>
      <c r="GC200" s="45">
        <v>5055.869357083554</v>
      </c>
      <c r="GD200" s="45">
        <v>13081.115848955309</v>
      </c>
      <c r="GE200" s="45">
        <v>19695.863001160327</v>
      </c>
      <c r="GF200" s="36">
        <v>231895.15504499999</v>
      </c>
      <c r="GG200" s="36"/>
      <c r="GH200" s="36"/>
      <c r="GI200" s="36"/>
      <c r="GJ200" s="36"/>
      <c r="GK200" s="36"/>
      <c r="GL200" s="36"/>
      <c r="GM200" s="36"/>
      <c r="GN200" s="36"/>
      <c r="GO200" s="36"/>
      <c r="GP200" s="36"/>
      <c r="GQ200" s="36"/>
      <c r="GR200" s="36"/>
      <c r="GS200" s="36"/>
      <c r="GT200" s="36"/>
      <c r="GU200" s="36">
        <v>47211.40170972261</v>
      </c>
      <c r="GV200" s="36"/>
      <c r="GW200" s="36"/>
      <c r="GX200" s="36"/>
      <c r="GY200" s="36"/>
      <c r="GZ200" s="36"/>
      <c r="HA200" s="36"/>
      <c r="HB200" s="36">
        <v>8734.159599513765</v>
      </c>
      <c r="HC200" s="36">
        <f t="shared" si="3"/>
        <v>981609.9241340654</v>
      </c>
      <c r="HD200" s="36">
        <f>SUM(GO$5:GO$213)</f>
        <v>981609.9241340654</v>
      </c>
      <c r="HE200" s="41">
        <v>0</v>
      </c>
    </row>
    <row r="201" spans="1:213" hidden="1" outlineLevel="1" x14ac:dyDescent="0.2">
      <c r="A201" s="9" t="s">
        <v>1558</v>
      </c>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c r="AA201" s="36"/>
      <c r="AB201" s="36"/>
      <c r="AC201" s="36"/>
      <c r="AD201" s="36"/>
      <c r="AE201" s="36"/>
      <c r="AF201" s="36"/>
      <c r="AG201" s="36"/>
      <c r="AH201" s="36"/>
      <c r="AI201" s="36"/>
      <c r="AJ201" s="36"/>
      <c r="AK201" s="36"/>
      <c r="AL201" s="36"/>
      <c r="AM201" s="36"/>
      <c r="AN201" s="36"/>
      <c r="AO201" s="36"/>
      <c r="AP201" s="36"/>
      <c r="AQ201" s="36"/>
      <c r="AR201" s="36"/>
      <c r="AS201" s="36"/>
      <c r="AT201" s="36"/>
      <c r="AU201" s="36"/>
      <c r="AV201" s="36"/>
      <c r="AW201" s="36"/>
      <c r="AX201" s="36"/>
      <c r="AY201" s="36"/>
      <c r="AZ201" s="36"/>
      <c r="BA201" s="36"/>
      <c r="BB201" s="36"/>
      <c r="BC201" s="36"/>
      <c r="BD201" s="36"/>
      <c r="BE201" s="36"/>
      <c r="BF201" s="36"/>
      <c r="BG201" s="36"/>
      <c r="BH201" s="36"/>
      <c r="BI201" s="36"/>
      <c r="BJ201" s="36"/>
      <c r="BK201" s="36"/>
      <c r="BL201" s="36"/>
      <c r="BM201" s="36"/>
      <c r="BN201" s="36"/>
      <c r="BO201" s="36"/>
      <c r="BP201" s="36"/>
      <c r="BQ201" s="36"/>
      <c r="BR201" s="36"/>
      <c r="BS201" s="36"/>
      <c r="BT201" s="36"/>
      <c r="BU201" s="36"/>
      <c r="BV201" s="36"/>
      <c r="BW201" s="36"/>
      <c r="BX201" s="36"/>
      <c r="BY201" s="36"/>
      <c r="BZ201" s="36"/>
      <c r="CA201" s="36"/>
      <c r="CB201" s="36"/>
      <c r="CC201" s="36"/>
      <c r="CD201" s="36"/>
      <c r="CE201" s="36"/>
      <c r="CF201" s="36"/>
      <c r="CG201" s="36"/>
      <c r="CH201" s="36"/>
      <c r="CI201" s="36"/>
      <c r="CJ201" s="36"/>
      <c r="CK201" s="36"/>
      <c r="CL201" s="36"/>
      <c r="CM201" s="36"/>
      <c r="CN201" s="36"/>
      <c r="CO201" s="36"/>
      <c r="CP201" s="36"/>
      <c r="CQ201" s="36"/>
      <c r="CR201" s="36"/>
      <c r="CS201" s="36"/>
      <c r="CT201" s="36"/>
      <c r="CU201" s="36"/>
      <c r="CV201" s="36"/>
      <c r="CW201" s="36"/>
      <c r="CX201" s="36"/>
      <c r="CY201" s="36"/>
      <c r="CZ201" s="36"/>
      <c r="DA201" s="36"/>
      <c r="DB201" s="36"/>
      <c r="DC201" s="36"/>
      <c r="DD201" s="36"/>
      <c r="DE201" s="36"/>
      <c r="DF201" s="36"/>
      <c r="DG201" s="36"/>
      <c r="DH201" s="36"/>
      <c r="DI201" s="36"/>
      <c r="DJ201" s="36"/>
      <c r="DK201" s="36"/>
      <c r="DL201" s="36"/>
      <c r="DM201" s="36"/>
      <c r="DN201" s="36"/>
      <c r="DO201" s="36"/>
      <c r="DP201" s="36"/>
      <c r="DQ201" s="36"/>
      <c r="DR201" s="36"/>
      <c r="DS201" s="36"/>
      <c r="DT201" s="36"/>
      <c r="DU201" s="36"/>
      <c r="DV201" s="36"/>
      <c r="DW201" s="36"/>
      <c r="DX201" s="36"/>
      <c r="DY201" s="36"/>
      <c r="DZ201" s="36"/>
      <c r="EA201" s="36"/>
      <c r="EB201" s="36"/>
      <c r="EC201" s="36"/>
      <c r="ED201" s="36"/>
      <c r="EE201" s="36"/>
      <c r="EF201" s="36"/>
      <c r="EG201" s="36"/>
      <c r="EH201" s="36"/>
      <c r="EI201" s="36"/>
      <c r="EJ201" s="36"/>
      <c r="EK201" s="36"/>
      <c r="EL201" s="36"/>
      <c r="EM201" s="36"/>
      <c r="EN201" s="36"/>
      <c r="EO201" s="36"/>
      <c r="EP201" s="36"/>
      <c r="EQ201" s="36"/>
      <c r="ER201" s="36"/>
      <c r="ES201" s="36"/>
      <c r="ET201" s="36"/>
      <c r="EU201" s="36"/>
      <c r="EV201" s="36"/>
      <c r="EW201" s="36"/>
      <c r="EX201" s="36"/>
      <c r="EY201" s="36"/>
      <c r="EZ201" s="36"/>
      <c r="FA201" s="36"/>
      <c r="FB201" s="36"/>
      <c r="FC201" s="36"/>
      <c r="FD201" s="36"/>
      <c r="FE201" s="36"/>
      <c r="FF201" s="36"/>
      <c r="FG201" s="36"/>
      <c r="FH201" s="36"/>
      <c r="FI201" s="36"/>
      <c r="FJ201" s="36"/>
      <c r="FK201" s="36"/>
      <c r="FL201" s="36"/>
      <c r="FM201" s="36"/>
      <c r="FN201" s="36"/>
      <c r="FO201" s="36"/>
      <c r="FP201" s="44">
        <v>45510.40947931807</v>
      </c>
      <c r="FQ201" s="44">
        <v>34282.586436075515</v>
      </c>
      <c r="FR201" s="44">
        <v>21914.273430343652</v>
      </c>
      <c r="FS201" s="44">
        <v>15508.799413545697</v>
      </c>
      <c r="FT201" s="44">
        <v>13387.469610028107</v>
      </c>
      <c r="FU201" s="44">
        <v>276.58603557966546</v>
      </c>
      <c r="FV201" s="44">
        <v>7463.2026801940365</v>
      </c>
      <c r="FW201" s="44">
        <v>5559.2175643048095</v>
      </c>
      <c r="FX201" s="44">
        <v>5512.327285268344</v>
      </c>
      <c r="FY201" s="44">
        <v>3081.7345116671713</v>
      </c>
      <c r="FZ201" s="45">
        <v>1524.7673217532576</v>
      </c>
      <c r="GA201" s="45">
        <v>11581.318485246426</v>
      </c>
      <c r="GB201" s="45">
        <v>12975.921245019936</v>
      </c>
      <c r="GC201" s="45">
        <v>1749.3579298330715</v>
      </c>
      <c r="GD201" s="45">
        <v>4526.1362834413185</v>
      </c>
      <c r="GE201" s="45">
        <v>6814.8742960915406</v>
      </c>
      <c r="GF201" s="36">
        <v>73396.212988429863</v>
      </c>
      <c r="GG201" s="36"/>
      <c r="GH201" s="36"/>
      <c r="GI201" s="36"/>
      <c r="GJ201" s="36"/>
      <c r="GK201" s="36"/>
      <c r="GL201" s="36"/>
      <c r="GM201" s="36"/>
      <c r="GN201" s="36"/>
      <c r="GO201" s="36"/>
      <c r="GP201" s="36"/>
      <c r="GQ201" s="36"/>
      <c r="GR201" s="36"/>
      <c r="GS201" s="36"/>
      <c r="GT201" s="36"/>
      <c r="GU201" s="36">
        <v>6601.4870196184984</v>
      </c>
      <c r="GV201" s="36"/>
      <c r="GW201" s="36"/>
      <c r="GX201" s="36"/>
      <c r="GY201" s="36"/>
      <c r="GZ201" s="36"/>
      <c r="HA201" s="36"/>
      <c r="HB201" s="36">
        <v>2764.4141082484157</v>
      </c>
      <c r="HC201" s="36">
        <f t="shared" si="3"/>
        <v>274431.09612400742</v>
      </c>
      <c r="HD201" s="36">
        <f>SUM(GP$5:GP$213)</f>
        <v>274431.09612400742</v>
      </c>
      <c r="HE201" s="41">
        <v>0</v>
      </c>
    </row>
    <row r="202" spans="1:213" hidden="1" outlineLevel="1" x14ac:dyDescent="0.2">
      <c r="A202" s="9" t="s">
        <v>1559</v>
      </c>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c r="AA202" s="36"/>
      <c r="AB202" s="36"/>
      <c r="AC202" s="36"/>
      <c r="AD202" s="36"/>
      <c r="AE202" s="36"/>
      <c r="AF202" s="36"/>
      <c r="AG202" s="36"/>
      <c r="AH202" s="36"/>
      <c r="AI202" s="36"/>
      <c r="AJ202" s="36"/>
      <c r="AK202" s="36"/>
      <c r="AL202" s="36"/>
      <c r="AM202" s="36"/>
      <c r="AN202" s="36"/>
      <c r="AO202" s="36"/>
      <c r="AP202" s="36"/>
      <c r="AQ202" s="36"/>
      <c r="AR202" s="36"/>
      <c r="AS202" s="36"/>
      <c r="AT202" s="36"/>
      <c r="AU202" s="36"/>
      <c r="AV202" s="36"/>
      <c r="AW202" s="36"/>
      <c r="AX202" s="36"/>
      <c r="AY202" s="36"/>
      <c r="AZ202" s="36"/>
      <c r="BA202" s="36"/>
      <c r="BB202" s="36"/>
      <c r="BC202" s="36"/>
      <c r="BD202" s="36"/>
      <c r="BE202" s="36"/>
      <c r="BF202" s="36"/>
      <c r="BG202" s="36"/>
      <c r="BH202" s="36"/>
      <c r="BI202" s="36"/>
      <c r="BJ202" s="36"/>
      <c r="BK202" s="36"/>
      <c r="BL202" s="36"/>
      <c r="BM202" s="36"/>
      <c r="BN202" s="36"/>
      <c r="BO202" s="36"/>
      <c r="BP202" s="36"/>
      <c r="BQ202" s="36"/>
      <c r="BR202" s="36"/>
      <c r="BS202" s="36"/>
      <c r="BT202" s="36"/>
      <c r="BU202" s="36"/>
      <c r="BV202" s="36"/>
      <c r="BW202" s="36"/>
      <c r="BX202" s="36"/>
      <c r="BY202" s="36"/>
      <c r="BZ202" s="36"/>
      <c r="CA202" s="36"/>
      <c r="CB202" s="36"/>
      <c r="CC202" s="36"/>
      <c r="CD202" s="36"/>
      <c r="CE202" s="36"/>
      <c r="CF202" s="36"/>
      <c r="CG202" s="36"/>
      <c r="CH202" s="36"/>
      <c r="CI202" s="36"/>
      <c r="CJ202" s="36"/>
      <c r="CK202" s="36"/>
      <c r="CL202" s="36"/>
      <c r="CM202" s="36"/>
      <c r="CN202" s="36"/>
      <c r="CO202" s="36"/>
      <c r="CP202" s="36"/>
      <c r="CQ202" s="36"/>
      <c r="CR202" s="36"/>
      <c r="CS202" s="36"/>
      <c r="CT202" s="36"/>
      <c r="CU202" s="36"/>
      <c r="CV202" s="36"/>
      <c r="CW202" s="36"/>
      <c r="CX202" s="36"/>
      <c r="CY202" s="36"/>
      <c r="CZ202" s="36"/>
      <c r="DA202" s="36"/>
      <c r="DB202" s="36"/>
      <c r="DC202" s="36"/>
      <c r="DD202" s="36"/>
      <c r="DE202" s="36"/>
      <c r="DF202" s="36"/>
      <c r="DG202" s="36"/>
      <c r="DH202" s="36"/>
      <c r="DI202" s="36"/>
      <c r="DJ202" s="36"/>
      <c r="DK202" s="36"/>
      <c r="DL202" s="36"/>
      <c r="DM202" s="36"/>
      <c r="DN202" s="36"/>
      <c r="DO202" s="36"/>
      <c r="DP202" s="36"/>
      <c r="DQ202" s="36"/>
      <c r="DR202" s="36"/>
      <c r="DS202" s="36"/>
      <c r="DT202" s="36"/>
      <c r="DU202" s="36"/>
      <c r="DV202" s="36"/>
      <c r="DW202" s="36"/>
      <c r="DX202" s="36"/>
      <c r="DY202" s="36"/>
      <c r="DZ202" s="36"/>
      <c r="EA202" s="36"/>
      <c r="EB202" s="36"/>
      <c r="EC202" s="36"/>
      <c r="ED202" s="36"/>
      <c r="EE202" s="36"/>
      <c r="EF202" s="36"/>
      <c r="EG202" s="36"/>
      <c r="EH202" s="36"/>
      <c r="EI202" s="36"/>
      <c r="EJ202" s="36"/>
      <c r="EK202" s="36"/>
      <c r="EL202" s="36"/>
      <c r="EM202" s="36"/>
      <c r="EN202" s="36"/>
      <c r="EO202" s="36"/>
      <c r="EP202" s="36"/>
      <c r="EQ202" s="36"/>
      <c r="ER202" s="36"/>
      <c r="ES202" s="36"/>
      <c r="ET202" s="36"/>
      <c r="EU202" s="36"/>
      <c r="EV202" s="36"/>
      <c r="EW202" s="36"/>
      <c r="EX202" s="36"/>
      <c r="EY202" s="36"/>
      <c r="EZ202" s="36"/>
      <c r="FA202" s="36"/>
      <c r="FB202" s="36"/>
      <c r="FC202" s="36"/>
      <c r="FD202" s="36"/>
      <c r="FE202" s="36"/>
      <c r="FF202" s="36"/>
      <c r="FG202" s="36"/>
      <c r="FH202" s="36"/>
      <c r="FI202" s="36"/>
      <c r="FJ202" s="36"/>
      <c r="FK202" s="36"/>
      <c r="FL202" s="36"/>
      <c r="FM202" s="36"/>
      <c r="FN202" s="36"/>
      <c r="FO202" s="36"/>
      <c r="FP202" s="44">
        <v>48258.535940322567</v>
      </c>
      <c r="FQ202" s="44">
        <v>36352.725641908575</v>
      </c>
      <c r="FR202" s="44">
        <v>23237.557386181961</v>
      </c>
      <c r="FS202" s="44">
        <v>18763.224127753685</v>
      </c>
      <c r="FT202" s="44">
        <v>16196.746511341937</v>
      </c>
      <c r="FU202" s="44">
        <v>334.6258880397516</v>
      </c>
      <c r="FV202" s="44">
        <v>7878.6803079016508</v>
      </c>
      <c r="FW202" s="44">
        <v>5868.7000511810593</v>
      </c>
      <c r="FX202" s="44">
        <v>2003.0288779905736</v>
      </c>
      <c r="FY202" s="44">
        <v>1119.8179828085126</v>
      </c>
      <c r="FZ202" s="45">
        <v>1349.477835946552</v>
      </c>
      <c r="GA202" s="45">
        <v>10249.913140129052</v>
      </c>
      <c r="GB202" s="45">
        <v>11484.190322893077</v>
      </c>
      <c r="GC202" s="45">
        <v>1548.2491785911211</v>
      </c>
      <c r="GD202" s="45">
        <v>4005.8050233883205</v>
      </c>
      <c r="GE202" s="45">
        <v>6031.4263600315844</v>
      </c>
      <c r="GF202" s="36">
        <v>113912.935567001</v>
      </c>
      <c r="GG202" s="36"/>
      <c r="GH202" s="36"/>
      <c r="GI202" s="36"/>
      <c r="GJ202" s="36"/>
      <c r="GK202" s="36"/>
      <c r="GL202" s="36"/>
      <c r="GM202" s="36"/>
      <c r="GN202" s="36"/>
      <c r="GO202" s="36"/>
      <c r="GP202" s="36"/>
      <c r="GQ202" s="36"/>
      <c r="GR202" s="36"/>
      <c r="GS202" s="36"/>
      <c r="GT202" s="36"/>
      <c r="GU202" s="36">
        <v>4935.5650456785224</v>
      </c>
      <c r="GV202" s="36"/>
      <c r="GW202" s="36"/>
      <c r="GX202" s="36"/>
      <c r="GY202" s="36"/>
      <c r="GZ202" s="36"/>
      <c r="HA202" s="36"/>
      <c r="HB202" s="36">
        <v>4290.4465144959295</v>
      </c>
      <c r="HC202" s="36">
        <f t="shared" si="3"/>
        <v>317821.65170358546</v>
      </c>
      <c r="HD202" s="36">
        <f>SUM(GQ$5:GQ$213)</f>
        <v>317821.65170358546</v>
      </c>
      <c r="HE202" s="41">
        <v>0</v>
      </c>
    </row>
    <row r="203" spans="1:213" hidden="1" outlineLevel="1" x14ac:dyDescent="0.2">
      <c r="A203" s="9" t="s">
        <v>1560</v>
      </c>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c r="AA203" s="36"/>
      <c r="AB203" s="36"/>
      <c r="AC203" s="36"/>
      <c r="AD203" s="36"/>
      <c r="AE203" s="36"/>
      <c r="AF203" s="36"/>
      <c r="AG203" s="36"/>
      <c r="AH203" s="36"/>
      <c r="AI203" s="36"/>
      <c r="AJ203" s="36"/>
      <c r="AK203" s="36"/>
      <c r="AL203" s="36"/>
      <c r="AM203" s="36"/>
      <c r="AN203" s="36"/>
      <c r="AO203" s="36"/>
      <c r="AP203" s="36"/>
      <c r="AQ203" s="36"/>
      <c r="AR203" s="36"/>
      <c r="AS203" s="36"/>
      <c r="AT203" s="36"/>
      <c r="AU203" s="36"/>
      <c r="AV203" s="36"/>
      <c r="AW203" s="36"/>
      <c r="AX203" s="36"/>
      <c r="AY203" s="36"/>
      <c r="AZ203" s="36"/>
      <c r="BA203" s="36"/>
      <c r="BB203" s="36"/>
      <c r="BC203" s="36"/>
      <c r="BD203" s="36"/>
      <c r="BE203" s="36"/>
      <c r="BF203" s="36"/>
      <c r="BG203" s="36"/>
      <c r="BH203" s="36"/>
      <c r="BI203" s="36"/>
      <c r="BJ203" s="36"/>
      <c r="BK203" s="36"/>
      <c r="BL203" s="36"/>
      <c r="BM203" s="36"/>
      <c r="BN203" s="36"/>
      <c r="BO203" s="36"/>
      <c r="BP203" s="36"/>
      <c r="BQ203" s="36"/>
      <c r="BR203" s="36"/>
      <c r="BS203" s="36"/>
      <c r="BT203" s="36"/>
      <c r="BU203" s="36"/>
      <c r="BV203" s="36"/>
      <c r="BW203" s="36"/>
      <c r="BX203" s="36"/>
      <c r="BY203" s="36"/>
      <c r="BZ203" s="36"/>
      <c r="CA203" s="36"/>
      <c r="CB203" s="36"/>
      <c r="CC203" s="36"/>
      <c r="CD203" s="36"/>
      <c r="CE203" s="36"/>
      <c r="CF203" s="36"/>
      <c r="CG203" s="36"/>
      <c r="CH203" s="36"/>
      <c r="CI203" s="36"/>
      <c r="CJ203" s="36"/>
      <c r="CK203" s="36"/>
      <c r="CL203" s="36"/>
      <c r="CM203" s="36"/>
      <c r="CN203" s="36"/>
      <c r="CO203" s="36"/>
      <c r="CP203" s="36"/>
      <c r="CQ203" s="36"/>
      <c r="CR203" s="36"/>
      <c r="CS203" s="36"/>
      <c r="CT203" s="36"/>
      <c r="CU203" s="36"/>
      <c r="CV203" s="36"/>
      <c r="CW203" s="36"/>
      <c r="CX203" s="36"/>
      <c r="CY203" s="36"/>
      <c r="CZ203" s="36"/>
      <c r="DA203" s="36"/>
      <c r="DB203" s="36"/>
      <c r="DC203" s="36"/>
      <c r="DD203" s="36"/>
      <c r="DE203" s="36"/>
      <c r="DF203" s="36"/>
      <c r="DG203" s="36"/>
      <c r="DH203" s="36"/>
      <c r="DI203" s="36"/>
      <c r="DJ203" s="36"/>
      <c r="DK203" s="36"/>
      <c r="DL203" s="36"/>
      <c r="DM203" s="36"/>
      <c r="DN203" s="36"/>
      <c r="DO203" s="36"/>
      <c r="DP203" s="36"/>
      <c r="DQ203" s="36"/>
      <c r="DR203" s="36"/>
      <c r="DS203" s="36"/>
      <c r="DT203" s="36"/>
      <c r="DU203" s="36"/>
      <c r="DV203" s="36"/>
      <c r="DW203" s="36"/>
      <c r="DX203" s="36"/>
      <c r="DY203" s="36"/>
      <c r="DZ203" s="36"/>
      <c r="EA203" s="36"/>
      <c r="EB203" s="36"/>
      <c r="EC203" s="36"/>
      <c r="ED203" s="36"/>
      <c r="EE203" s="36"/>
      <c r="EF203" s="36"/>
      <c r="EG203" s="36"/>
      <c r="EH203" s="36"/>
      <c r="EI203" s="36"/>
      <c r="EJ203" s="36"/>
      <c r="EK203" s="36"/>
      <c r="EL203" s="36"/>
      <c r="EM203" s="36"/>
      <c r="EN203" s="36"/>
      <c r="EO203" s="36"/>
      <c r="EP203" s="36"/>
      <c r="EQ203" s="36"/>
      <c r="ER203" s="36"/>
      <c r="ES203" s="36"/>
      <c r="ET203" s="36"/>
      <c r="EU203" s="36"/>
      <c r="EV203" s="36"/>
      <c r="EW203" s="36"/>
      <c r="EX203" s="36"/>
      <c r="EY203" s="36"/>
      <c r="EZ203" s="36"/>
      <c r="FA203" s="36"/>
      <c r="FB203" s="36"/>
      <c r="FC203" s="36"/>
      <c r="FD203" s="36"/>
      <c r="FE203" s="36"/>
      <c r="FF203" s="36"/>
      <c r="FG203" s="36"/>
      <c r="FH203" s="36"/>
      <c r="FI203" s="36"/>
      <c r="FJ203" s="36"/>
      <c r="FK203" s="36"/>
      <c r="FL203" s="36"/>
      <c r="FM203" s="36"/>
      <c r="FN203" s="36"/>
      <c r="FO203" s="36"/>
      <c r="FP203" s="44">
        <v>78199.559594598613</v>
      </c>
      <c r="FQ203" s="44">
        <v>58907.032297373116</v>
      </c>
      <c r="FR203" s="44">
        <v>37654.825581546545</v>
      </c>
      <c r="FS203" s="44">
        <v>19054.966816853208</v>
      </c>
      <c r="FT203" s="44">
        <v>16448.583954081449</v>
      </c>
      <c r="FU203" s="44">
        <v>339.82886678979651</v>
      </c>
      <c r="FV203" s="44">
        <v>3578.5734062321667</v>
      </c>
      <c r="FW203" s="44">
        <v>2665.6207780441514</v>
      </c>
      <c r="FX203" s="44">
        <v>16050.650662687622</v>
      </c>
      <c r="FY203" s="44">
        <v>8973.3140871569231</v>
      </c>
      <c r="FZ203" s="45">
        <v>2058.2037373132275</v>
      </c>
      <c r="GA203" s="45">
        <v>15633.01669000891</v>
      </c>
      <c r="GB203" s="45">
        <v>17515.518086308988</v>
      </c>
      <c r="GC203" s="45">
        <v>2361.3668641198738</v>
      </c>
      <c r="GD203" s="45">
        <v>6109.5948747486436</v>
      </c>
      <c r="GE203" s="45">
        <v>9199.0427296193138</v>
      </c>
      <c r="GF203" s="36">
        <v>93183.357472467804</v>
      </c>
      <c r="GG203" s="36"/>
      <c r="GH203" s="36"/>
      <c r="GI203" s="36"/>
      <c r="GJ203" s="36"/>
      <c r="GK203" s="36"/>
      <c r="GL203" s="36"/>
      <c r="GM203" s="36"/>
      <c r="GN203" s="36"/>
      <c r="GO203" s="36"/>
      <c r="GP203" s="36"/>
      <c r="GQ203" s="36"/>
      <c r="GR203" s="36"/>
      <c r="GS203" s="36"/>
      <c r="GT203" s="36"/>
      <c r="GU203" s="36">
        <v>5584.400680376556</v>
      </c>
      <c r="GV203" s="36"/>
      <c r="GW203" s="36"/>
      <c r="GX203" s="36"/>
      <c r="GY203" s="36"/>
      <c r="GZ203" s="36"/>
      <c r="HA203" s="36"/>
      <c r="HB203" s="36">
        <v>3509.6822787226415</v>
      </c>
      <c r="HC203" s="36">
        <f t="shared" si="3"/>
        <v>397027.13945904962</v>
      </c>
      <c r="HD203" s="36">
        <f>SUM(GR$5:GR$213)</f>
        <v>397027.13945904962</v>
      </c>
      <c r="HE203" s="41">
        <v>0</v>
      </c>
    </row>
    <row r="204" spans="1:213" hidden="1" outlineLevel="1" x14ac:dyDescent="0.2">
      <c r="A204" s="9" t="s">
        <v>1561</v>
      </c>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c r="AA204" s="36"/>
      <c r="AB204" s="36"/>
      <c r="AC204" s="36"/>
      <c r="AD204" s="36"/>
      <c r="AE204" s="36"/>
      <c r="AF204" s="36"/>
      <c r="AG204" s="36"/>
      <c r="AH204" s="36"/>
      <c r="AI204" s="36"/>
      <c r="AJ204" s="36"/>
      <c r="AK204" s="36"/>
      <c r="AL204" s="36"/>
      <c r="AM204" s="36"/>
      <c r="AN204" s="36"/>
      <c r="AO204" s="36"/>
      <c r="AP204" s="36"/>
      <c r="AQ204" s="36"/>
      <c r="AR204" s="36"/>
      <c r="AS204" s="36"/>
      <c r="AT204" s="36"/>
      <c r="AU204" s="36"/>
      <c r="AV204" s="36"/>
      <c r="AW204" s="36"/>
      <c r="AX204" s="36"/>
      <c r="AY204" s="36"/>
      <c r="AZ204" s="36"/>
      <c r="BA204" s="36"/>
      <c r="BB204" s="36"/>
      <c r="BC204" s="36"/>
      <c r="BD204" s="36"/>
      <c r="BE204" s="36"/>
      <c r="BF204" s="36"/>
      <c r="BG204" s="36"/>
      <c r="BH204" s="36"/>
      <c r="BI204" s="36"/>
      <c r="BJ204" s="36"/>
      <c r="BK204" s="36"/>
      <c r="BL204" s="36"/>
      <c r="BM204" s="36"/>
      <c r="BN204" s="36"/>
      <c r="BO204" s="36"/>
      <c r="BP204" s="36"/>
      <c r="BQ204" s="36"/>
      <c r="BR204" s="36"/>
      <c r="BS204" s="36"/>
      <c r="BT204" s="36"/>
      <c r="BU204" s="36"/>
      <c r="BV204" s="36"/>
      <c r="BW204" s="36"/>
      <c r="BX204" s="36"/>
      <c r="BY204" s="36"/>
      <c r="BZ204" s="36"/>
      <c r="CA204" s="36"/>
      <c r="CB204" s="36"/>
      <c r="CC204" s="36"/>
      <c r="CD204" s="36"/>
      <c r="CE204" s="36"/>
      <c r="CF204" s="36"/>
      <c r="CG204" s="36"/>
      <c r="CH204" s="36"/>
      <c r="CI204" s="36"/>
      <c r="CJ204" s="36"/>
      <c r="CK204" s="36"/>
      <c r="CL204" s="36"/>
      <c r="CM204" s="36"/>
      <c r="CN204" s="36"/>
      <c r="CO204" s="36"/>
      <c r="CP204" s="36"/>
      <c r="CQ204" s="36"/>
      <c r="CR204" s="36"/>
      <c r="CS204" s="36"/>
      <c r="CT204" s="36"/>
      <c r="CU204" s="36"/>
      <c r="CV204" s="36"/>
      <c r="CW204" s="36"/>
      <c r="CX204" s="36"/>
      <c r="CY204" s="36"/>
      <c r="CZ204" s="36"/>
      <c r="DA204" s="36"/>
      <c r="DB204" s="36"/>
      <c r="DC204" s="36"/>
      <c r="DD204" s="36"/>
      <c r="DE204" s="36"/>
      <c r="DF204" s="36"/>
      <c r="DG204" s="36"/>
      <c r="DH204" s="36"/>
      <c r="DI204" s="36"/>
      <c r="DJ204" s="36"/>
      <c r="DK204" s="36"/>
      <c r="DL204" s="36"/>
      <c r="DM204" s="36"/>
      <c r="DN204" s="36"/>
      <c r="DO204" s="36"/>
      <c r="DP204" s="36"/>
      <c r="DQ204" s="36"/>
      <c r="DR204" s="36"/>
      <c r="DS204" s="36"/>
      <c r="DT204" s="36"/>
      <c r="DU204" s="36"/>
      <c r="DV204" s="36"/>
      <c r="DW204" s="36"/>
      <c r="DX204" s="36"/>
      <c r="DY204" s="36"/>
      <c r="DZ204" s="36"/>
      <c r="EA204" s="36"/>
      <c r="EB204" s="36"/>
      <c r="EC204" s="36"/>
      <c r="ED204" s="36"/>
      <c r="EE204" s="36"/>
      <c r="EF204" s="36"/>
      <c r="EG204" s="36"/>
      <c r="EH204" s="36"/>
      <c r="EI204" s="36"/>
      <c r="EJ204" s="36"/>
      <c r="EK204" s="36"/>
      <c r="EL204" s="36"/>
      <c r="EM204" s="36"/>
      <c r="EN204" s="36"/>
      <c r="EO204" s="36"/>
      <c r="EP204" s="36"/>
      <c r="EQ204" s="36"/>
      <c r="ER204" s="36"/>
      <c r="ES204" s="36"/>
      <c r="ET204" s="36"/>
      <c r="EU204" s="36"/>
      <c r="EV204" s="36"/>
      <c r="EW204" s="36"/>
      <c r="EX204" s="36"/>
      <c r="EY204" s="36"/>
      <c r="EZ204" s="36"/>
      <c r="FA204" s="36"/>
      <c r="FB204" s="36"/>
      <c r="FC204" s="36"/>
      <c r="FD204" s="36"/>
      <c r="FE204" s="36"/>
      <c r="FF204" s="36"/>
      <c r="FG204" s="36"/>
      <c r="FH204" s="36"/>
      <c r="FI204" s="36"/>
      <c r="FJ204" s="36"/>
      <c r="FK204" s="36"/>
      <c r="FL204" s="36"/>
      <c r="FM204" s="36"/>
      <c r="FN204" s="36"/>
      <c r="FO204" s="36"/>
      <c r="FP204" s="44">
        <v>105411.7525370981</v>
      </c>
      <c r="FQ204" s="44">
        <v>79405.735063173313</v>
      </c>
      <c r="FR204" s="44">
        <v>50758.101153087991</v>
      </c>
      <c r="FS204" s="44">
        <v>16792.019890769119</v>
      </c>
      <c r="FT204" s="44">
        <v>14495.168193503845</v>
      </c>
      <c r="FU204" s="44">
        <v>299.47116389332888</v>
      </c>
      <c r="FV204" s="44">
        <v>4253.8384543613929</v>
      </c>
      <c r="FW204" s="44">
        <v>3168.6146637768024</v>
      </c>
      <c r="FX204" s="44">
        <v>5258.0784865760024</v>
      </c>
      <c r="FY204" s="44">
        <v>2939.5935869847663</v>
      </c>
      <c r="FZ204" s="45">
        <v>1763.8803172490259</v>
      </c>
      <c r="GA204" s="45">
        <v>13397.49313385676</v>
      </c>
      <c r="GB204" s="45">
        <v>15010.796569240692</v>
      </c>
      <c r="GC204" s="45">
        <v>2023.6910748506843</v>
      </c>
      <c r="GD204" s="45">
        <v>5235.9219597970396</v>
      </c>
      <c r="GE204" s="45">
        <v>7883.5783426812932</v>
      </c>
      <c r="GF204" s="36">
        <v>173642.63865169228</v>
      </c>
      <c r="GG204" s="36"/>
      <c r="GH204" s="36"/>
      <c r="GI204" s="36"/>
      <c r="GJ204" s="36"/>
      <c r="GK204" s="36"/>
      <c r="GL204" s="36"/>
      <c r="GM204" s="36"/>
      <c r="GN204" s="36"/>
      <c r="GO204" s="36"/>
      <c r="GP204" s="36"/>
      <c r="GQ204" s="36"/>
      <c r="GR204" s="36"/>
      <c r="GS204" s="36"/>
      <c r="GT204" s="36"/>
      <c r="GU204" s="36">
        <v>3940.3356172062299</v>
      </c>
      <c r="GV204" s="36"/>
      <c r="GW204" s="36"/>
      <c r="GX204" s="36"/>
      <c r="GY204" s="36"/>
      <c r="GZ204" s="36"/>
      <c r="HA204" s="36"/>
      <c r="HB204" s="36">
        <v>6540.1216294073583</v>
      </c>
      <c r="HC204" s="36">
        <f t="shared" si="3"/>
        <v>512220.83048920601</v>
      </c>
      <c r="HD204" s="36">
        <f>SUM(GS$5:GS$213)</f>
        <v>512220.83048920601</v>
      </c>
      <c r="HE204" s="41">
        <v>0</v>
      </c>
    </row>
    <row r="205" spans="1:213" collapsed="1" x14ac:dyDescent="0.2">
      <c r="A205" s="9" t="s">
        <v>1562</v>
      </c>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c r="AA205" s="36"/>
      <c r="AB205" s="36"/>
      <c r="AC205" s="36"/>
      <c r="AD205" s="36"/>
      <c r="AE205" s="36"/>
      <c r="AF205" s="36"/>
      <c r="AG205" s="36"/>
      <c r="AH205" s="36"/>
      <c r="AI205" s="36"/>
      <c r="AJ205" s="36"/>
      <c r="AK205" s="36"/>
      <c r="AL205" s="36"/>
      <c r="AM205" s="36"/>
      <c r="AN205" s="36"/>
      <c r="AO205" s="36"/>
      <c r="AP205" s="36"/>
      <c r="AQ205" s="36"/>
      <c r="AR205" s="36"/>
      <c r="AS205" s="36"/>
      <c r="AT205" s="36"/>
      <c r="AU205" s="36"/>
      <c r="AV205" s="36"/>
      <c r="AW205" s="36"/>
      <c r="AX205" s="36"/>
      <c r="AY205" s="36"/>
      <c r="AZ205" s="36"/>
      <c r="BA205" s="36"/>
      <c r="BB205" s="36"/>
      <c r="BC205" s="36"/>
      <c r="BD205" s="36"/>
      <c r="BE205" s="36"/>
      <c r="BF205" s="36"/>
      <c r="BG205" s="36"/>
      <c r="BH205" s="36"/>
      <c r="BI205" s="36"/>
      <c r="BJ205" s="36"/>
      <c r="BK205" s="36"/>
      <c r="BL205" s="36"/>
      <c r="BM205" s="36"/>
      <c r="BN205" s="36"/>
      <c r="BO205" s="36"/>
      <c r="BP205" s="36"/>
      <c r="BQ205" s="36"/>
      <c r="BR205" s="36"/>
      <c r="BS205" s="36"/>
      <c r="BT205" s="36"/>
      <c r="BU205" s="36"/>
      <c r="BV205" s="36"/>
      <c r="BW205" s="36"/>
      <c r="BX205" s="36"/>
      <c r="BY205" s="36"/>
      <c r="BZ205" s="36"/>
      <c r="CA205" s="36"/>
      <c r="CB205" s="36"/>
      <c r="CC205" s="36"/>
      <c r="CD205" s="36"/>
      <c r="CE205" s="36"/>
      <c r="CF205" s="36"/>
      <c r="CG205" s="36"/>
      <c r="CH205" s="36"/>
      <c r="CI205" s="36"/>
      <c r="CJ205" s="36"/>
      <c r="CK205" s="36"/>
      <c r="CL205" s="36"/>
      <c r="CM205" s="36"/>
      <c r="CN205" s="36"/>
      <c r="CO205" s="36"/>
      <c r="CP205" s="36"/>
      <c r="CQ205" s="36"/>
      <c r="CR205" s="36"/>
      <c r="CS205" s="36"/>
      <c r="CT205" s="36"/>
      <c r="CU205" s="36"/>
      <c r="CV205" s="36"/>
      <c r="CW205" s="36"/>
      <c r="CX205" s="36"/>
      <c r="CY205" s="36"/>
      <c r="CZ205" s="36"/>
      <c r="DA205" s="36"/>
      <c r="DB205" s="36"/>
      <c r="DC205" s="36"/>
      <c r="DD205" s="36"/>
      <c r="DE205" s="36"/>
      <c r="DF205" s="36"/>
      <c r="DG205" s="36"/>
      <c r="DH205" s="36"/>
      <c r="DI205" s="36"/>
      <c r="DJ205" s="36"/>
      <c r="DK205" s="36"/>
      <c r="DL205" s="36"/>
      <c r="DM205" s="36"/>
      <c r="DN205" s="36"/>
      <c r="DO205" s="36"/>
      <c r="DP205" s="36"/>
      <c r="DQ205" s="36"/>
      <c r="DR205" s="36"/>
      <c r="DS205" s="36"/>
      <c r="DT205" s="36"/>
      <c r="DU205" s="36"/>
      <c r="DV205" s="36"/>
      <c r="DW205" s="36"/>
      <c r="DX205" s="36"/>
      <c r="DY205" s="36"/>
      <c r="DZ205" s="36"/>
      <c r="EA205" s="36"/>
      <c r="EB205" s="36"/>
      <c r="EC205" s="36"/>
      <c r="ED205" s="36"/>
      <c r="EE205" s="36"/>
      <c r="EF205" s="36"/>
      <c r="EG205" s="36"/>
      <c r="EH205" s="36"/>
      <c r="EI205" s="36"/>
      <c r="EJ205" s="36"/>
      <c r="EK205" s="36"/>
      <c r="EL205" s="36"/>
      <c r="EM205" s="36"/>
      <c r="EN205" s="36"/>
      <c r="EO205" s="36"/>
      <c r="EP205" s="36"/>
      <c r="EQ205" s="36"/>
      <c r="ER205" s="36"/>
      <c r="ES205" s="36"/>
      <c r="ET205" s="36"/>
      <c r="EU205" s="36"/>
      <c r="EV205" s="36"/>
      <c r="EW205" s="36"/>
      <c r="EX205" s="36"/>
      <c r="EY205" s="36"/>
      <c r="EZ205" s="36"/>
      <c r="FA205" s="36"/>
      <c r="FB205" s="36"/>
      <c r="FC205" s="36"/>
      <c r="FD205" s="36"/>
      <c r="FE205" s="36"/>
      <c r="FF205" s="36"/>
      <c r="FG205" s="36"/>
      <c r="FH205" s="36"/>
      <c r="FI205" s="36"/>
      <c r="FJ205" s="36"/>
      <c r="FK205" s="36"/>
      <c r="FL205" s="36"/>
      <c r="FM205" s="36"/>
      <c r="FN205" s="36"/>
      <c r="FO205" s="36"/>
      <c r="FP205" s="44">
        <v>179864.54839746244</v>
      </c>
      <c r="FQ205" s="44">
        <v>135490.36358426747</v>
      </c>
      <c r="FR205" s="44">
        <v>86608.776741472742</v>
      </c>
      <c r="FS205" s="44">
        <v>22842.836205179927</v>
      </c>
      <c r="FT205" s="44">
        <v>19718.339721164826</v>
      </c>
      <c r="FU205" s="44">
        <v>407.38224403547872</v>
      </c>
      <c r="FV205" s="44">
        <v>1128.7974874571212</v>
      </c>
      <c r="FW205" s="44">
        <v>840.82277913583778</v>
      </c>
      <c r="FX205" s="44">
        <v>2084.7873760748957</v>
      </c>
      <c r="FY205" s="44">
        <v>1165.5260788865319</v>
      </c>
      <c r="FZ205" s="45">
        <v>4147.2024233435523</v>
      </c>
      <c r="GA205" s="45">
        <v>31499.935368695988</v>
      </c>
      <c r="GB205" s="45">
        <v>35293.104242674679</v>
      </c>
      <c r="GC205" s="45">
        <v>4758.0646190376347</v>
      </c>
      <c r="GD205" s="45">
        <v>12310.60181791367</v>
      </c>
      <c r="GE205" s="45">
        <v>18535.722003167386</v>
      </c>
      <c r="GF205" s="36">
        <v>321929.60019305488</v>
      </c>
      <c r="GG205" s="36"/>
      <c r="GH205" s="36"/>
      <c r="GI205" s="36"/>
      <c r="GJ205" s="36"/>
      <c r="GK205" s="36"/>
      <c r="GL205" s="36"/>
      <c r="GM205" s="36"/>
      <c r="GN205" s="36"/>
      <c r="GO205" s="36"/>
      <c r="GP205" s="36"/>
      <c r="GQ205" s="36"/>
      <c r="GR205" s="36"/>
      <c r="GS205" s="36"/>
      <c r="GT205" s="36"/>
      <c r="GU205" s="36">
        <v>1415.5296361786852</v>
      </c>
      <c r="GV205" s="36"/>
      <c r="GW205" s="36"/>
      <c r="GX205" s="36"/>
      <c r="GY205" s="36"/>
      <c r="GZ205" s="36"/>
      <c r="HA205" s="36"/>
      <c r="HB205" s="36">
        <v>12125.24042319108</v>
      </c>
      <c r="HC205" s="36">
        <f t="shared" si="3"/>
        <v>892167.18134239479</v>
      </c>
      <c r="HD205" s="36">
        <f>SUM(GT$5:GT$213)</f>
        <v>892167.18134239479</v>
      </c>
      <c r="HE205" s="41">
        <v>0</v>
      </c>
    </row>
    <row r="206" spans="1:213" x14ac:dyDescent="0.2">
      <c r="A206" s="9" t="s">
        <v>1516</v>
      </c>
      <c r="B206" s="36">
        <v>0</v>
      </c>
      <c r="C206" s="36">
        <v>0</v>
      </c>
      <c r="D206" s="36">
        <v>0</v>
      </c>
      <c r="E206" s="36">
        <v>0</v>
      </c>
      <c r="F206" s="36">
        <v>0</v>
      </c>
      <c r="G206" s="36">
        <v>0</v>
      </c>
      <c r="H206" s="36">
        <v>0</v>
      </c>
      <c r="I206" s="36">
        <v>0</v>
      </c>
      <c r="J206" s="36">
        <v>0</v>
      </c>
      <c r="K206" s="36">
        <v>0</v>
      </c>
      <c r="L206" s="36">
        <v>0</v>
      </c>
      <c r="M206" s="36">
        <v>0</v>
      </c>
      <c r="N206" s="36">
        <v>0</v>
      </c>
      <c r="O206" s="36">
        <v>0</v>
      </c>
      <c r="P206" s="36">
        <v>0</v>
      </c>
      <c r="Q206" s="36">
        <v>0</v>
      </c>
      <c r="R206" s="36">
        <v>0</v>
      </c>
      <c r="S206" s="36">
        <v>0</v>
      </c>
      <c r="T206" s="36">
        <v>0</v>
      </c>
      <c r="U206" s="36">
        <v>0</v>
      </c>
      <c r="V206" s="36">
        <v>0</v>
      </c>
      <c r="W206" s="36">
        <v>0</v>
      </c>
      <c r="X206" s="36">
        <v>0</v>
      </c>
      <c r="Y206" s="36">
        <v>0</v>
      </c>
      <c r="Z206" s="36">
        <v>0</v>
      </c>
      <c r="AA206" s="36">
        <v>0</v>
      </c>
      <c r="AB206" s="36">
        <v>0</v>
      </c>
      <c r="AC206" s="36">
        <v>0</v>
      </c>
      <c r="AD206" s="36">
        <v>0</v>
      </c>
      <c r="AE206" s="36">
        <v>0</v>
      </c>
      <c r="AF206" s="36">
        <v>0</v>
      </c>
      <c r="AG206" s="36">
        <v>0</v>
      </c>
      <c r="AH206" s="36">
        <v>0</v>
      </c>
      <c r="AI206" s="36">
        <v>0</v>
      </c>
      <c r="AJ206" s="36">
        <v>0</v>
      </c>
      <c r="AK206" s="36">
        <v>0</v>
      </c>
      <c r="AL206" s="36">
        <v>0</v>
      </c>
      <c r="AM206" s="36">
        <v>0</v>
      </c>
      <c r="AN206" s="36">
        <v>0</v>
      </c>
      <c r="AO206" s="36">
        <v>0</v>
      </c>
      <c r="AP206" s="36">
        <v>0</v>
      </c>
      <c r="AQ206" s="36">
        <v>0</v>
      </c>
      <c r="AR206" s="36">
        <v>0</v>
      </c>
      <c r="AS206" s="36">
        <v>0</v>
      </c>
      <c r="AT206" s="36">
        <v>0</v>
      </c>
      <c r="AU206" s="36">
        <v>0</v>
      </c>
      <c r="AV206" s="36">
        <v>0</v>
      </c>
      <c r="AW206" s="36">
        <v>0</v>
      </c>
      <c r="AX206" s="36">
        <v>0</v>
      </c>
      <c r="AY206" s="36">
        <v>0</v>
      </c>
      <c r="AZ206" s="36">
        <v>0</v>
      </c>
      <c r="BA206" s="36">
        <v>0</v>
      </c>
      <c r="BB206" s="36">
        <v>0</v>
      </c>
      <c r="BC206" s="36">
        <v>0</v>
      </c>
      <c r="BD206" s="36">
        <v>0</v>
      </c>
      <c r="BE206" s="36">
        <v>0</v>
      </c>
      <c r="BF206" s="36">
        <v>0</v>
      </c>
      <c r="BG206" s="36">
        <v>0</v>
      </c>
      <c r="BH206" s="36">
        <v>0</v>
      </c>
      <c r="BI206" s="36">
        <v>0</v>
      </c>
      <c r="BJ206" s="36">
        <v>0</v>
      </c>
      <c r="BK206" s="36">
        <v>0</v>
      </c>
      <c r="BL206" s="36">
        <v>0</v>
      </c>
      <c r="BM206" s="36">
        <v>0</v>
      </c>
      <c r="BN206" s="36">
        <v>0</v>
      </c>
      <c r="BO206" s="36">
        <v>0</v>
      </c>
      <c r="BP206" s="36">
        <v>0</v>
      </c>
      <c r="BQ206" s="36">
        <v>0</v>
      </c>
      <c r="BR206" s="36">
        <v>0</v>
      </c>
      <c r="BS206" s="36">
        <v>0</v>
      </c>
      <c r="BT206" s="36">
        <v>0</v>
      </c>
      <c r="BU206" s="36">
        <v>0</v>
      </c>
      <c r="BV206" s="36">
        <v>0</v>
      </c>
      <c r="BW206" s="36">
        <v>0</v>
      </c>
      <c r="BX206" s="36">
        <v>0</v>
      </c>
      <c r="BY206" s="36">
        <v>0</v>
      </c>
      <c r="BZ206" s="36">
        <v>0</v>
      </c>
      <c r="CA206" s="36">
        <v>0</v>
      </c>
      <c r="CB206" s="36">
        <v>0</v>
      </c>
      <c r="CC206" s="36">
        <v>0</v>
      </c>
      <c r="CD206" s="36">
        <v>0</v>
      </c>
      <c r="CE206" s="36">
        <v>0</v>
      </c>
      <c r="CF206" s="36">
        <v>0</v>
      </c>
      <c r="CG206" s="36">
        <v>0</v>
      </c>
      <c r="CH206" s="36">
        <v>0</v>
      </c>
      <c r="CI206" s="36">
        <v>0</v>
      </c>
      <c r="CJ206" s="36">
        <v>0</v>
      </c>
      <c r="CK206" s="36">
        <v>0</v>
      </c>
      <c r="CL206" s="36">
        <v>0</v>
      </c>
      <c r="CM206" s="36">
        <v>0</v>
      </c>
      <c r="CN206" s="36">
        <v>0</v>
      </c>
      <c r="CO206" s="36">
        <v>0</v>
      </c>
      <c r="CP206" s="36">
        <v>0</v>
      </c>
      <c r="CQ206" s="36">
        <v>0</v>
      </c>
      <c r="CR206" s="36">
        <v>0</v>
      </c>
      <c r="CS206" s="36">
        <v>0</v>
      </c>
      <c r="CT206" s="36">
        <v>0</v>
      </c>
      <c r="CU206" s="36">
        <v>0</v>
      </c>
      <c r="CV206" s="36">
        <v>0</v>
      </c>
      <c r="CW206" s="36">
        <v>0</v>
      </c>
      <c r="CX206" s="36">
        <v>0</v>
      </c>
      <c r="CY206" s="36">
        <v>0</v>
      </c>
      <c r="CZ206" s="36">
        <v>0</v>
      </c>
      <c r="DA206" s="36">
        <v>0</v>
      </c>
      <c r="DB206" s="36">
        <v>0</v>
      </c>
      <c r="DC206" s="36">
        <v>0</v>
      </c>
      <c r="DD206" s="36">
        <v>0</v>
      </c>
      <c r="DE206" s="36">
        <v>0</v>
      </c>
      <c r="DF206" s="36">
        <v>0</v>
      </c>
      <c r="DG206" s="36">
        <v>0</v>
      </c>
      <c r="DH206" s="36">
        <v>0</v>
      </c>
      <c r="DI206" s="36">
        <v>0</v>
      </c>
      <c r="DJ206" s="36">
        <v>0</v>
      </c>
      <c r="DK206" s="36">
        <v>0</v>
      </c>
      <c r="DL206" s="36">
        <v>0</v>
      </c>
      <c r="DM206" s="36">
        <v>0</v>
      </c>
      <c r="DN206" s="36">
        <v>0</v>
      </c>
      <c r="DO206" s="36">
        <v>0</v>
      </c>
      <c r="DP206" s="36">
        <v>0</v>
      </c>
      <c r="DQ206" s="36">
        <v>0</v>
      </c>
      <c r="DR206" s="36">
        <v>0</v>
      </c>
      <c r="DS206" s="36">
        <v>0</v>
      </c>
      <c r="DT206" s="36">
        <v>0</v>
      </c>
      <c r="DU206" s="36">
        <v>0</v>
      </c>
      <c r="DV206" s="36">
        <v>0</v>
      </c>
      <c r="DW206" s="36">
        <v>0</v>
      </c>
      <c r="DX206" s="36">
        <v>0</v>
      </c>
      <c r="DY206" s="36">
        <v>0</v>
      </c>
      <c r="DZ206" s="36">
        <v>0</v>
      </c>
      <c r="EA206" s="36">
        <v>0</v>
      </c>
      <c r="EB206" s="36">
        <v>0</v>
      </c>
      <c r="EC206" s="36">
        <v>0</v>
      </c>
      <c r="ED206" s="36">
        <v>0</v>
      </c>
      <c r="EE206" s="36">
        <v>0</v>
      </c>
      <c r="EF206" s="36">
        <v>0</v>
      </c>
      <c r="EG206" s="36">
        <v>0</v>
      </c>
      <c r="EH206" s="36">
        <v>0</v>
      </c>
      <c r="EI206" s="36">
        <v>0</v>
      </c>
      <c r="EJ206" s="36">
        <v>0</v>
      </c>
      <c r="EK206" s="36">
        <v>0</v>
      </c>
      <c r="EL206" s="36">
        <v>0</v>
      </c>
      <c r="EM206" s="36">
        <v>0</v>
      </c>
      <c r="EN206" s="36">
        <v>0</v>
      </c>
      <c r="EO206" s="36">
        <v>0</v>
      </c>
      <c r="EP206" s="36">
        <v>0</v>
      </c>
      <c r="EQ206" s="36">
        <v>0</v>
      </c>
      <c r="ER206" s="36">
        <v>0</v>
      </c>
      <c r="ES206" s="36">
        <v>0</v>
      </c>
      <c r="ET206" s="36">
        <v>0</v>
      </c>
      <c r="EU206" s="36">
        <v>0</v>
      </c>
      <c r="EV206" s="36">
        <v>0</v>
      </c>
      <c r="EW206" s="36">
        <v>0</v>
      </c>
      <c r="EX206" s="36">
        <v>0</v>
      </c>
      <c r="EY206" s="36">
        <v>0</v>
      </c>
      <c r="EZ206" s="36">
        <v>0</v>
      </c>
      <c r="FA206" s="36">
        <v>0</v>
      </c>
      <c r="FB206" s="36">
        <v>0</v>
      </c>
      <c r="FC206" s="36">
        <v>0</v>
      </c>
      <c r="FD206" s="36">
        <v>0</v>
      </c>
      <c r="FE206" s="36">
        <v>0</v>
      </c>
      <c r="FF206" s="36">
        <v>0</v>
      </c>
      <c r="FG206" s="36">
        <v>0</v>
      </c>
      <c r="FH206" s="36">
        <v>0</v>
      </c>
      <c r="FI206" s="36">
        <v>0</v>
      </c>
      <c r="FJ206" s="36">
        <v>0</v>
      </c>
      <c r="FK206" s="36">
        <v>0</v>
      </c>
      <c r="FL206" s="36">
        <v>0</v>
      </c>
      <c r="FM206" s="36">
        <v>0</v>
      </c>
      <c r="FN206" s="36">
        <v>0</v>
      </c>
      <c r="FO206" s="36">
        <v>0</v>
      </c>
      <c r="FP206" s="36">
        <v>0</v>
      </c>
      <c r="FQ206" s="36">
        <v>0</v>
      </c>
      <c r="FR206" s="36">
        <v>0</v>
      </c>
      <c r="FS206" s="36">
        <v>0</v>
      </c>
      <c r="FT206" s="36">
        <v>0</v>
      </c>
      <c r="FU206" s="36">
        <v>0</v>
      </c>
      <c r="FV206" s="36">
        <v>0</v>
      </c>
      <c r="FW206" s="36">
        <v>0</v>
      </c>
      <c r="FX206" s="36">
        <v>0</v>
      </c>
      <c r="FY206" s="36">
        <v>0</v>
      </c>
      <c r="FZ206" s="45">
        <v>4843.7260660795419</v>
      </c>
      <c r="GA206" s="45">
        <v>36790.357076943255</v>
      </c>
      <c r="GB206" s="45">
        <v>41220.589574039361</v>
      </c>
      <c r="GC206" s="45">
        <v>5557.1827142073062</v>
      </c>
      <c r="GD206" s="45">
        <v>14378.170348984428</v>
      </c>
      <c r="GE206" s="45">
        <v>21648.800963991063</v>
      </c>
      <c r="GF206" s="36">
        <v>429412</v>
      </c>
      <c r="GG206" s="42">
        <v>41.593425068387234</v>
      </c>
      <c r="GH206" s="42">
        <v>280.93710646896983</v>
      </c>
      <c r="GI206" s="42">
        <v>747.61139200555738</v>
      </c>
      <c r="GJ206" s="42">
        <v>1327.8215039303595</v>
      </c>
      <c r="GK206" s="42">
        <v>2846.589351160249</v>
      </c>
      <c r="GL206" s="42">
        <v>7865.6777152245886</v>
      </c>
      <c r="GM206" s="42">
        <v>12744.478397962408</v>
      </c>
      <c r="GN206" s="42">
        <v>29531.038559225835</v>
      </c>
      <c r="GO206" s="42">
        <v>96431.082949863499</v>
      </c>
      <c r="GP206" s="42">
        <v>20550.579974616277</v>
      </c>
      <c r="GQ206" s="42">
        <v>38238.390207922035</v>
      </c>
      <c r="GR206" s="42">
        <v>42159.614867366079</v>
      </c>
      <c r="GS206" s="42">
        <v>69255.405309846668</v>
      </c>
      <c r="GT206" s="42">
        <v>131897.17923933899</v>
      </c>
      <c r="GU206" s="36">
        <v>265177</v>
      </c>
      <c r="GV206" s="36">
        <v>106419.70903117261</v>
      </c>
      <c r="GW206" s="36">
        <v>519804.99999999994</v>
      </c>
      <c r="GX206" s="36">
        <v>48933.999999999964</v>
      </c>
      <c r="GY206" s="36">
        <v>773858</v>
      </c>
      <c r="GZ206" s="36">
        <v>0</v>
      </c>
      <c r="HA206" s="36">
        <v>0</v>
      </c>
      <c r="HB206" s="36">
        <v>968</v>
      </c>
      <c r="HC206" s="36">
        <f t="shared" si="3"/>
        <v>2722930.5357754175</v>
      </c>
      <c r="HD206" s="36">
        <f>SUM(GU$5:GU$213)</f>
        <v>2722930.5357754175</v>
      </c>
      <c r="HE206" s="41">
        <v>0</v>
      </c>
    </row>
    <row r="207" spans="1:213" x14ac:dyDescent="0.2">
      <c r="A207" s="9" t="s">
        <v>1519</v>
      </c>
      <c r="B207" s="36">
        <v>372.71431421947193</v>
      </c>
      <c r="C207" s="36">
        <v>351.99717304010471</v>
      </c>
      <c r="D207" s="36">
        <v>95.461554031717796</v>
      </c>
      <c r="E207" s="36">
        <v>1147.4234712420755</v>
      </c>
      <c r="F207" s="36">
        <v>571.00930705390033</v>
      </c>
      <c r="G207" s="36">
        <v>3169.85777004396</v>
      </c>
      <c r="H207" s="36">
        <v>1042.1791552002501</v>
      </c>
      <c r="I207" s="36">
        <v>2222.7876306838302</v>
      </c>
      <c r="J207" s="36">
        <v>1178.3559983618502</v>
      </c>
      <c r="K207" s="36">
        <v>182.79959769491165</v>
      </c>
      <c r="L207" s="36">
        <v>91.066761436596337</v>
      </c>
      <c r="M207" s="36">
        <v>16.142582490321281</v>
      </c>
      <c r="N207" s="36">
        <v>26.435621237960007</v>
      </c>
      <c r="O207" s="36">
        <v>284.62318404183611</v>
      </c>
      <c r="P207" s="36">
        <v>431.14478175457361</v>
      </c>
      <c r="Q207" s="36">
        <v>362.44267955493467</v>
      </c>
      <c r="R207" s="36">
        <v>709.8703349530274</v>
      </c>
      <c r="S207" s="36">
        <v>840.57117947799543</v>
      </c>
      <c r="T207" s="36">
        <v>1100.92258672707</v>
      </c>
      <c r="U207" s="36">
        <v>189.59523048748167</v>
      </c>
      <c r="V207" s="36">
        <v>222.06794965010079</v>
      </c>
      <c r="W207" s="36">
        <v>126.88819991941149</v>
      </c>
      <c r="X207" s="36">
        <v>533.41101105944426</v>
      </c>
      <c r="Y207" s="36">
        <v>626.28912674267224</v>
      </c>
      <c r="Z207" s="36">
        <v>547.90098011757118</v>
      </c>
      <c r="AA207" s="36">
        <v>259.3877079142859</v>
      </c>
      <c r="AB207" s="36">
        <v>397.76573945477537</v>
      </c>
      <c r="AC207" s="36">
        <v>63.952702241177306</v>
      </c>
      <c r="AD207" s="36">
        <v>104.73915603820672</v>
      </c>
      <c r="AE207" s="36">
        <v>821.71531504480208</v>
      </c>
      <c r="AF207" s="36">
        <v>341.77032333804783</v>
      </c>
      <c r="AG207" s="36">
        <v>60.784856068915666</v>
      </c>
      <c r="AH207" s="36">
        <v>100.27240874676644</v>
      </c>
      <c r="AI207" s="36">
        <v>9445.3695425639198</v>
      </c>
      <c r="AJ207" s="36">
        <v>39.623901531967817</v>
      </c>
      <c r="AK207" s="36">
        <v>2079.8627980853935</v>
      </c>
      <c r="AL207" s="36">
        <v>5122.8336202053479</v>
      </c>
      <c r="AM207" s="36">
        <v>2673.9542917947992</v>
      </c>
      <c r="AN207" s="36">
        <v>2885.7432049281342</v>
      </c>
      <c r="AO207" s="36">
        <v>3145.640292453591</v>
      </c>
      <c r="AP207" s="36">
        <v>3516.3077871063274</v>
      </c>
      <c r="AQ207" s="36">
        <v>146.79733647903657</v>
      </c>
      <c r="AR207" s="36">
        <v>1103.7419415027503</v>
      </c>
      <c r="AS207" s="36">
        <v>1971.829711073306</v>
      </c>
      <c r="AT207" s="36">
        <v>1712.913099057188</v>
      </c>
      <c r="AU207" s="36">
        <v>2242.8644999999997</v>
      </c>
      <c r="AV207" s="36">
        <v>417.41108000000003</v>
      </c>
      <c r="AW207" s="36">
        <v>915.73988200000008</v>
      </c>
      <c r="AX207" s="36">
        <v>31479.445380737245</v>
      </c>
      <c r="AY207" s="36">
        <v>539.6645956108365</v>
      </c>
      <c r="AZ207" s="36">
        <v>603.77668583070681</v>
      </c>
      <c r="BA207" s="36">
        <v>-606.2647693595909</v>
      </c>
      <c r="BB207" s="36">
        <v>2506.2027932857009</v>
      </c>
      <c r="BC207" s="36">
        <v>9501.9129493336077</v>
      </c>
      <c r="BD207" s="36">
        <v>1004.5941066854348</v>
      </c>
      <c r="BE207" s="36">
        <v>3472.1315826328714</v>
      </c>
      <c r="BF207" s="36">
        <v>-170.54483960291196</v>
      </c>
      <c r="BG207" s="36">
        <v>342.22394046687964</v>
      </c>
      <c r="BH207" s="36">
        <v>1311.5468440206364</v>
      </c>
      <c r="BI207" s="36">
        <v>95.038827644137612</v>
      </c>
      <c r="BJ207" s="36">
        <v>325.00155503526503</v>
      </c>
      <c r="BK207" s="36">
        <v>0</v>
      </c>
      <c r="BL207" s="36">
        <v>0</v>
      </c>
      <c r="BM207" s="36">
        <v>0</v>
      </c>
      <c r="BN207" s="36">
        <v>0</v>
      </c>
      <c r="BO207" s="36">
        <v>0</v>
      </c>
      <c r="BP207" s="36">
        <v>0</v>
      </c>
      <c r="BQ207" s="36">
        <v>0</v>
      </c>
      <c r="BR207" s="36">
        <v>0</v>
      </c>
      <c r="BS207" s="36">
        <v>0</v>
      </c>
      <c r="BT207" s="36">
        <v>0</v>
      </c>
      <c r="BU207" s="36">
        <v>0</v>
      </c>
      <c r="BV207" s="36">
        <v>0</v>
      </c>
      <c r="BW207" s="36">
        <v>0</v>
      </c>
      <c r="BX207" s="36">
        <v>0</v>
      </c>
      <c r="BY207" s="36">
        <v>0</v>
      </c>
      <c r="BZ207" s="36">
        <v>0</v>
      </c>
      <c r="CA207" s="36">
        <v>0</v>
      </c>
      <c r="CB207" s="36">
        <v>0</v>
      </c>
      <c r="CC207" s="36">
        <v>0</v>
      </c>
      <c r="CD207" s="36">
        <v>0</v>
      </c>
      <c r="CE207" s="36">
        <v>0</v>
      </c>
      <c r="CF207" s="36">
        <v>0</v>
      </c>
      <c r="CG207" s="36">
        <v>0</v>
      </c>
      <c r="CH207" s="36">
        <v>0</v>
      </c>
      <c r="CI207" s="36">
        <v>0</v>
      </c>
      <c r="CJ207" s="36">
        <v>0</v>
      </c>
      <c r="CK207" s="36">
        <v>0</v>
      </c>
      <c r="CL207" s="36">
        <v>0</v>
      </c>
      <c r="CM207" s="36">
        <v>0</v>
      </c>
      <c r="CN207" s="36">
        <v>0</v>
      </c>
      <c r="CO207" s="36">
        <v>0</v>
      </c>
      <c r="CP207" s="36">
        <v>0</v>
      </c>
      <c r="CQ207" s="36">
        <v>0</v>
      </c>
      <c r="CR207" s="36">
        <v>0</v>
      </c>
      <c r="CS207" s="36">
        <v>0</v>
      </c>
      <c r="CT207" s="36">
        <v>0</v>
      </c>
      <c r="CU207" s="36">
        <v>0</v>
      </c>
      <c r="CV207" s="36">
        <v>0</v>
      </c>
      <c r="CW207" s="36">
        <v>0</v>
      </c>
      <c r="CX207" s="36">
        <v>0</v>
      </c>
      <c r="CY207" s="36">
        <v>0</v>
      </c>
      <c r="CZ207" s="36">
        <v>0</v>
      </c>
      <c r="DA207" s="36">
        <v>0</v>
      </c>
      <c r="DB207" s="36">
        <v>0</v>
      </c>
      <c r="DC207" s="36">
        <v>0</v>
      </c>
      <c r="DD207" s="36">
        <v>0</v>
      </c>
      <c r="DE207" s="36">
        <v>0</v>
      </c>
      <c r="DF207" s="36">
        <v>0</v>
      </c>
      <c r="DG207" s="36">
        <v>0</v>
      </c>
      <c r="DH207" s="36">
        <v>0</v>
      </c>
      <c r="DI207" s="36">
        <v>0</v>
      </c>
      <c r="DJ207" s="36">
        <v>0</v>
      </c>
      <c r="DK207" s="36">
        <v>0</v>
      </c>
      <c r="DL207" s="36">
        <v>0</v>
      </c>
      <c r="DM207" s="36">
        <v>0</v>
      </c>
      <c r="DN207" s="36">
        <v>0</v>
      </c>
      <c r="DO207" s="36">
        <v>0</v>
      </c>
      <c r="DP207" s="36">
        <v>0</v>
      </c>
      <c r="DQ207" s="36">
        <v>0</v>
      </c>
      <c r="DR207" s="36">
        <v>0</v>
      </c>
      <c r="DS207" s="36">
        <v>0</v>
      </c>
      <c r="DT207" s="36">
        <v>0</v>
      </c>
      <c r="DU207" s="36">
        <v>0</v>
      </c>
      <c r="DV207" s="36">
        <v>0</v>
      </c>
      <c r="DW207" s="36">
        <v>0</v>
      </c>
      <c r="DX207" s="36">
        <v>0</v>
      </c>
      <c r="DY207" s="36">
        <v>0</v>
      </c>
      <c r="DZ207" s="36">
        <v>0</v>
      </c>
      <c r="EA207" s="36">
        <v>0</v>
      </c>
      <c r="EB207" s="36">
        <v>0</v>
      </c>
      <c r="EC207" s="36">
        <v>0</v>
      </c>
      <c r="ED207" s="36">
        <v>0</v>
      </c>
      <c r="EE207" s="36">
        <v>0</v>
      </c>
      <c r="EF207" s="36">
        <v>0</v>
      </c>
      <c r="EG207" s="36">
        <v>0</v>
      </c>
      <c r="EH207" s="36">
        <v>0</v>
      </c>
      <c r="EI207" s="36">
        <v>0</v>
      </c>
      <c r="EJ207" s="36">
        <v>0</v>
      </c>
      <c r="EK207" s="36">
        <v>0</v>
      </c>
      <c r="EL207" s="36">
        <v>0</v>
      </c>
      <c r="EM207" s="36">
        <v>0</v>
      </c>
      <c r="EN207" s="36">
        <v>0</v>
      </c>
      <c r="EO207" s="36">
        <v>0</v>
      </c>
      <c r="EP207" s="36">
        <v>0</v>
      </c>
      <c r="EQ207" s="36">
        <v>0</v>
      </c>
      <c r="ER207" s="36">
        <v>0</v>
      </c>
      <c r="ES207" s="36">
        <v>0</v>
      </c>
      <c r="ET207" s="36">
        <v>0</v>
      </c>
      <c r="EU207" s="36">
        <v>0</v>
      </c>
      <c r="EV207" s="36">
        <v>0</v>
      </c>
      <c r="EW207" s="36">
        <v>0</v>
      </c>
      <c r="EX207" s="36">
        <v>0</v>
      </c>
      <c r="EY207" s="36">
        <v>0</v>
      </c>
      <c r="EZ207" s="36">
        <v>0</v>
      </c>
      <c r="FA207" s="36">
        <v>0</v>
      </c>
      <c r="FB207" s="36">
        <v>0</v>
      </c>
      <c r="FC207" s="36">
        <v>0</v>
      </c>
      <c r="FD207" s="36">
        <v>0</v>
      </c>
      <c r="FE207" s="36">
        <v>0</v>
      </c>
      <c r="FF207" s="36">
        <v>0</v>
      </c>
      <c r="FG207" s="36">
        <v>0</v>
      </c>
      <c r="FH207" s="36">
        <v>0</v>
      </c>
      <c r="FI207" s="36">
        <v>0</v>
      </c>
      <c r="FJ207" s="36">
        <v>0</v>
      </c>
      <c r="FK207" s="36">
        <v>0</v>
      </c>
      <c r="FL207" s="36">
        <v>0</v>
      </c>
      <c r="FM207" s="36">
        <v>0</v>
      </c>
      <c r="FN207" s="36">
        <v>0</v>
      </c>
      <c r="FO207" s="36">
        <v>0</v>
      </c>
      <c r="FP207" s="36">
        <v>0</v>
      </c>
      <c r="FQ207" s="36">
        <v>0</v>
      </c>
      <c r="FR207" s="36">
        <v>0</v>
      </c>
      <c r="FS207" s="36">
        <v>0</v>
      </c>
      <c r="FT207" s="36">
        <v>0</v>
      </c>
      <c r="FU207" s="36">
        <v>0</v>
      </c>
      <c r="FV207" s="36">
        <v>0</v>
      </c>
      <c r="FW207" s="36">
        <v>0</v>
      </c>
      <c r="FX207" s="36">
        <v>0</v>
      </c>
      <c r="FY207" s="36">
        <v>0</v>
      </c>
      <c r="FZ207" s="36">
        <v>0</v>
      </c>
      <c r="GA207" s="36">
        <v>0</v>
      </c>
      <c r="GB207" s="36">
        <v>0</v>
      </c>
      <c r="GC207" s="36">
        <v>0</v>
      </c>
      <c r="GD207" s="36">
        <v>0</v>
      </c>
      <c r="GE207" s="36">
        <v>0</v>
      </c>
      <c r="GF207" s="36">
        <v>0</v>
      </c>
      <c r="GG207" s="36"/>
      <c r="GH207" s="36"/>
      <c r="GI207" s="36"/>
      <c r="GJ207" s="36"/>
      <c r="GK207" s="36"/>
      <c r="GL207" s="36"/>
      <c r="GM207" s="36"/>
      <c r="GN207" s="36"/>
      <c r="GO207" s="36"/>
      <c r="GP207" s="36"/>
      <c r="GQ207" s="36"/>
      <c r="GR207" s="36"/>
      <c r="GS207" s="36"/>
      <c r="GT207" s="36"/>
      <c r="GU207" s="36">
        <v>0</v>
      </c>
      <c r="GV207" s="36">
        <v>0</v>
      </c>
      <c r="GW207" s="36">
        <v>0</v>
      </c>
      <c r="GX207" s="36">
        <v>0</v>
      </c>
      <c r="GY207" s="36">
        <v>0</v>
      </c>
      <c r="GZ207" s="36">
        <v>0</v>
      </c>
      <c r="HA207" s="36">
        <v>0</v>
      </c>
      <c r="HB207" s="36">
        <v>0</v>
      </c>
      <c r="HC207" s="36">
        <f t="shared" si="3"/>
        <v>106419.70903117262</v>
      </c>
      <c r="HD207" s="36">
        <f>SUM(GV$5:GV$213)</f>
        <v>106419.70903117261</v>
      </c>
      <c r="HE207" s="41">
        <v>0</v>
      </c>
    </row>
    <row r="208" spans="1:213" x14ac:dyDescent="0.2">
      <c r="A208" s="9" t="s">
        <v>1287</v>
      </c>
      <c r="B208" s="36">
        <v>0</v>
      </c>
      <c r="C208" s="36">
        <v>0</v>
      </c>
      <c r="D208" s="36">
        <v>0</v>
      </c>
      <c r="E208" s="36">
        <v>0</v>
      </c>
      <c r="F208" s="36">
        <v>0</v>
      </c>
      <c r="G208" s="36">
        <v>0</v>
      </c>
      <c r="H208" s="36">
        <v>0</v>
      </c>
      <c r="I208" s="36">
        <v>0</v>
      </c>
      <c r="J208" s="36">
        <v>0</v>
      </c>
      <c r="K208" s="36">
        <v>0</v>
      </c>
      <c r="L208" s="36">
        <v>0</v>
      </c>
      <c r="M208" s="36">
        <v>0</v>
      </c>
      <c r="N208" s="36">
        <v>0</v>
      </c>
      <c r="O208" s="36">
        <v>0</v>
      </c>
      <c r="P208" s="36">
        <v>0</v>
      </c>
      <c r="Q208" s="36">
        <v>0</v>
      </c>
      <c r="R208" s="36">
        <v>0</v>
      </c>
      <c r="S208" s="36">
        <v>0</v>
      </c>
      <c r="T208" s="36">
        <v>0</v>
      </c>
      <c r="U208" s="36">
        <v>0</v>
      </c>
      <c r="V208" s="36">
        <v>0</v>
      </c>
      <c r="W208" s="36">
        <v>0</v>
      </c>
      <c r="X208" s="36">
        <v>0</v>
      </c>
      <c r="Y208" s="36">
        <v>0</v>
      </c>
      <c r="Z208" s="36">
        <v>0</v>
      </c>
      <c r="AA208" s="36">
        <v>0</v>
      </c>
      <c r="AB208" s="36">
        <v>0</v>
      </c>
      <c r="AC208" s="36">
        <v>0</v>
      </c>
      <c r="AD208" s="36">
        <v>0</v>
      </c>
      <c r="AE208" s="36">
        <v>0</v>
      </c>
      <c r="AF208" s="36">
        <v>0</v>
      </c>
      <c r="AG208" s="36">
        <v>0</v>
      </c>
      <c r="AH208" s="36">
        <v>0</v>
      </c>
      <c r="AI208" s="36">
        <v>0</v>
      </c>
      <c r="AJ208" s="36">
        <v>0</v>
      </c>
      <c r="AK208" s="36">
        <v>0</v>
      </c>
      <c r="AL208" s="36">
        <v>0</v>
      </c>
      <c r="AM208" s="36">
        <v>0</v>
      </c>
      <c r="AN208" s="36">
        <v>0</v>
      </c>
      <c r="AO208" s="36">
        <v>0</v>
      </c>
      <c r="AP208" s="36">
        <v>0</v>
      </c>
      <c r="AQ208" s="36">
        <v>0</v>
      </c>
      <c r="AR208" s="36">
        <v>0</v>
      </c>
      <c r="AS208" s="36">
        <v>0</v>
      </c>
      <c r="AT208" s="36">
        <v>0</v>
      </c>
      <c r="AU208" s="36">
        <v>0</v>
      </c>
      <c r="AV208" s="36">
        <v>0</v>
      </c>
      <c r="AW208" s="36">
        <v>0</v>
      </c>
      <c r="AX208" s="36">
        <v>0</v>
      </c>
      <c r="AY208" s="36">
        <v>0</v>
      </c>
      <c r="AZ208" s="36">
        <v>0</v>
      </c>
      <c r="BA208" s="36">
        <v>0</v>
      </c>
      <c r="BB208" s="36">
        <v>0</v>
      </c>
      <c r="BC208" s="36">
        <v>0</v>
      </c>
      <c r="BD208" s="36">
        <v>0</v>
      </c>
      <c r="BE208" s="36">
        <v>0</v>
      </c>
      <c r="BF208" s="36">
        <v>0</v>
      </c>
      <c r="BG208" s="36">
        <v>0</v>
      </c>
      <c r="BH208" s="36">
        <v>0</v>
      </c>
      <c r="BI208" s="36">
        <v>0</v>
      </c>
      <c r="BJ208" s="36">
        <v>0</v>
      </c>
      <c r="BK208" s="36">
        <v>0</v>
      </c>
      <c r="BL208" s="36">
        <v>340.94072063376171</v>
      </c>
      <c r="BM208" s="36">
        <v>190.89883413390274</v>
      </c>
      <c r="BN208" s="36">
        <v>42.301239746895952</v>
      </c>
      <c r="BO208" s="36">
        <v>216.50782268992725</v>
      </c>
      <c r="BP208" s="36">
        <v>23.522893671750399</v>
      </c>
      <c r="BQ208" s="36">
        <v>0</v>
      </c>
      <c r="BR208" s="36">
        <v>0</v>
      </c>
      <c r="BS208" s="36">
        <v>98.188301880307748</v>
      </c>
      <c r="BT208" s="36">
        <v>104.02553472985872</v>
      </c>
      <c r="BU208" s="36">
        <v>12991.699069818116</v>
      </c>
      <c r="BV208" s="36">
        <v>3686.9822799751828</v>
      </c>
      <c r="BW208" s="36">
        <v>11824.97581713195</v>
      </c>
      <c r="BX208" s="36">
        <v>376.88331411902408</v>
      </c>
      <c r="BY208" s="36">
        <v>687.63440506581014</v>
      </c>
      <c r="BZ208" s="36">
        <v>1102.6476620438198</v>
      </c>
      <c r="CA208" s="36">
        <v>397.56361328626855</v>
      </c>
      <c r="CB208" s="36">
        <v>1728.8964436262102</v>
      </c>
      <c r="CC208" s="36">
        <v>2627.124920694966</v>
      </c>
      <c r="CD208" s="36">
        <v>876.15505741289826</v>
      </c>
      <c r="CE208" s="36">
        <v>1848.2186500311655</v>
      </c>
      <c r="CF208" s="36">
        <v>948.19588456148915</v>
      </c>
      <c r="CG208" s="36">
        <v>2416.7069252598953</v>
      </c>
      <c r="CH208" s="36">
        <v>4738.4677681410367</v>
      </c>
      <c r="CI208" s="36">
        <v>52669.233150174514</v>
      </c>
      <c r="CJ208" s="36">
        <v>5324.0720580867592</v>
      </c>
      <c r="CK208" s="36">
        <v>22687.700964226726</v>
      </c>
      <c r="CL208" s="36">
        <v>49.090416305490351</v>
      </c>
      <c r="CM208" s="36">
        <v>2308.8420933406146</v>
      </c>
      <c r="CN208" s="36">
        <v>902.37372838541398</v>
      </c>
      <c r="CO208" s="36">
        <v>323.73945279366785</v>
      </c>
      <c r="CP208" s="36">
        <v>53.154660465660584</v>
      </c>
      <c r="CQ208" s="36">
        <v>14516.384040748864</v>
      </c>
      <c r="CR208" s="36">
        <v>479.55053615816178</v>
      </c>
      <c r="CS208" s="36">
        <v>4621.3223555690474</v>
      </c>
      <c r="CT208" s="36">
        <v>232.67795191316262</v>
      </c>
      <c r="CU208" s="36">
        <v>2323.7576276832406</v>
      </c>
      <c r="CV208" s="36">
        <v>3270.613659605438</v>
      </c>
      <c r="CW208" s="36">
        <v>69.472235108842895</v>
      </c>
      <c r="CX208" s="36">
        <v>121282</v>
      </c>
      <c r="CY208" s="36">
        <v>527.94811290560938</v>
      </c>
      <c r="CZ208" s="36">
        <v>473.88828625137108</v>
      </c>
      <c r="DA208" s="36">
        <v>8409.0892408462696</v>
      </c>
      <c r="DB208" s="36">
        <v>4513.9361092431964</v>
      </c>
      <c r="DC208" s="36">
        <v>2.3581237873102054</v>
      </c>
      <c r="DD208" s="36">
        <v>3259.9290360906766</v>
      </c>
      <c r="DE208" s="36">
        <v>534.64208575598821</v>
      </c>
      <c r="DF208" s="36">
        <v>297.25167439011091</v>
      </c>
      <c r="DG208" s="36">
        <v>920.95507596114965</v>
      </c>
      <c r="DH208" s="36">
        <v>208.95048875074229</v>
      </c>
      <c r="DI208" s="36">
        <v>260.72493311716607</v>
      </c>
      <c r="DJ208" s="36">
        <v>48.662836568724174</v>
      </c>
      <c r="DK208" s="36">
        <v>1.0983575990052401</v>
      </c>
      <c r="DL208" s="36">
        <v>4916.9624314290386</v>
      </c>
      <c r="DM208" s="36">
        <v>1417.6845784141192</v>
      </c>
      <c r="DN208" s="36">
        <v>3001.7324677161932</v>
      </c>
      <c r="DO208" s="36">
        <v>0.24165944979043275</v>
      </c>
      <c r="DP208" s="36">
        <v>0</v>
      </c>
      <c r="DQ208" s="36">
        <v>0</v>
      </c>
      <c r="DR208" s="36">
        <v>3.0560157648153563E-2</v>
      </c>
      <c r="DS208" s="36">
        <v>63.840780871947317</v>
      </c>
      <c r="DT208" s="36">
        <v>1627.0505872526505</v>
      </c>
      <c r="DU208" s="36">
        <v>288.42080995428034</v>
      </c>
      <c r="DV208" s="36">
        <v>78.508900123182102</v>
      </c>
      <c r="DW208" s="36">
        <v>202.74672469035562</v>
      </c>
      <c r="DX208" s="36">
        <v>565.02471300680259</v>
      </c>
      <c r="DY208" s="36">
        <v>2276.0966247604388</v>
      </c>
      <c r="DZ208" s="36">
        <v>2334.8756368298336</v>
      </c>
      <c r="EA208" s="36">
        <v>1510.8571836175954</v>
      </c>
      <c r="EB208" s="36">
        <v>7699.8555226941971</v>
      </c>
      <c r="EC208" s="36">
        <v>1959.3481507725101</v>
      </c>
      <c r="ED208" s="36">
        <v>21591.095726441083</v>
      </c>
      <c r="EE208" s="36">
        <v>304.21557234149338</v>
      </c>
      <c r="EF208" s="36">
        <v>137.51909191464202</v>
      </c>
      <c r="EG208" s="36">
        <v>314.6331205643956</v>
      </c>
      <c r="EH208" s="36">
        <v>193.02017223268669</v>
      </c>
      <c r="EI208" s="36">
        <v>591.7953725802156</v>
      </c>
      <c r="EJ208" s="36">
        <v>26177.594674754266</v>
      </c>
      <c r="EK208" s="36">
        <v>0</v>
      </c>
      <c r="EL208" s="36">
        <v>16278.995573136168</v>
      </c>
      <c r="EM208" s="36">
        <v>3057.8536613393953</v>
      </c>
      <c r="EN208" s="36">
        <v>11749.005619750971</v>
      </c>
      <c r="EO208" s="36">
        <v>-9484.2538656748839</v>
      </c>
      <c r="EP208" s="36">
        <v>188.29513922602365</v>
      </c>
      <c r="EQ208" s="36">
        <v>1972.1503290167541</v>
      </c>
      <c r="ER208" s="36">
        <v>314.33451786989042</v>
      </c>
      <c r="ES208" s="36">
        <v>0</v>
      </c>
      <c r="ET208" s="36">
        <v>0</v>
      </c>
      <c r="EU208" s="36">
        <v>0</v>
      </c>
      <c r="EV208" s="36">
        <v>7600.8388430013256</v>
      </c>
      <c r="EW208" s="36">
        <v>8012.8623311131141</v>
      </c>
      <c r="EX208" s="36">
        <v>11511.403370484735</v>
      </c>
      <c r="EY208" s="36">
        <v>0</v>
      </c>
      <c r="EZ208" s="36">
        <v>6477.5026357741335</v>
      </c>
      <c r="FA208" s="36">
        <v>2685.8672365633183</v>
      </c>
      <c r="FB208" s="36">
        <v>1404.6933390748893</v>
      </c>
      <c r="FC208" s="36">
        <v>8910.4527004217034</v>
      </c>
      <c r="FD208" s="36">
        <v>7548.1650686919738</v>
      </c>
      <c r="FE208" s="36">
        <v>12524.465856711935</v>
      </c>
      <c r="FF208" s="36">
        <v>10999.775511510812</v>
      </c>
      <c r="FG208" s="36">
        <v>609.56704120594509</v>
      </c>
      <c r="FH208" s="36">
        <v>2001.5446587751012</v>
      </c>
      <c r="FI208" s="36">
        <v>597.22895438698208</v>
      </c>
      <c r="FJ208" s="36">
        <v>22339.899339561245</v>
      </c>
      <c r="FK208" s="36">
        <v>92.896230275845539</v>
      </c>
      <c r="FL208" s="36">
        <v>13384.875063615227</v>
      </c>
      <c r="FM208" s="36">
        <v>3931.473331110898</v>
      </c>
      <c r="FN208" s="36">
        <v>0</v>
      </c>
      <c r="FO208" s="36">
        <v>0</v>
      </c>
      <c r="FP208" s="36">
        <v>0</v>
      </c>
      <c r="FQ208" s="36">
        <v>0</v>
      </c>
      <c r="FR208" s="36">
        <v>0</v>
      </c>
      <c r="FS208" s="36">
        <v>0</v>
      </c>
      <c r="FT208" s="36">
        <v>0</v>
      </c>
      <c r="FU208" s="36">
        <v>0</v>
      </c>
      <c r="FV208" s="36">
        <v>0</v>
      </c>
      <c r="FW208" s="36">
        <v>0</v>
      </c>
      <c r="FX208" s="36">
        <v>0</v>
      </c>
      <c r="FY208" s="36">
        <v>0</v>
      </c>
      <c r="FZ208" s="36">
        <v>0</v>
      </c>
      <c r="GA208" s="36">
        <v>0</v>
      </c>
      <c r="GB208" s="36">
        <v>0</v>
      </c>
      <c r="GC208" s="36">
        <v>0</v>
      </c>
      <c r="GD208" s="36">
        <v>0</v>
      </c>
      <c r="GE208" s="36">
        <v>0</v>
      </c>
      <c r="GF208" s="36">
        <v>0</v>
      </c>
      <c r="GG208" s="36"/>
      <c r="GH208" s="36"/>
      <c r="GI208" s="36"/>
      <c r="GJ208" s="36"/>
      <c r="GK208" s="36"/>
      <c r="GL208" s="36"/>
      <c r="GM208" s="36"/>
      <c r="GN208" s="36"/>
      <c r="GO208" s="36"/>
      <c r="GP208" s="36"/>
      <c r="GQ208" s="36"/>
      <c r="GR208" s="36"/>
      <c r="GS208" s="36"/>
      <c r="GT208" s="36"/>
      <c r="GU208" s="36">
        <v>0</v>
      </c>
      <c r="GV208" s="36">
        <v>0</v>
      </c>
      <c r="GW208" s="36">
        <v>0</v>
      </c>
      <c r="GX208" s="36">
        <v>0</v>
      </c>
      <c r="GY208" s="36">
        <v>0</v>
      </c>
      <c r="GZ208" s="36">
        <v>0</v>
      </c>
      <c r="HA208" s="36">
        <v>0</v>
      </c>
      <c r="HB208" s="36">
        <v>0</v>
      </c>
      <c r="HC208" s="36">
        <f t="shared" si="3"/>
        <v>519804.99999999994</v>
      </c>
      <c r="HD208" s="36">
        <f>SUM(GW$5:GW$213)</f>
        <v>519804.99999999994</v>
      </c>
      <c r="HE208" s="41">
        <v>0</v>
      </c>
    </row>
    <row r="209" spans="1:213" x14ac:dyDescent="0.2">
      <c r="A209" s="9" t="s">
        <v>1288</v>
      </c>
      <c r="B209" s="36">
        <v>0</v>
      </c>
      <c r="C209" s="36">
        <v>0</v>
      </c>
      <c r="D209" s="36">
        <v>0</v>
      </c>
      <c r="E209" s="36">
        <v>0</v>
      </c>
      <c r="F209" s="36">
        <v>0</v>
      </c>
      <c r="G209" s="36">
        <v>0</v>
      </c>
      <c r="H209" s="36">
        <v>0</v>
      </c>
      <c r="I209" s="36">
        <v>0</v>
      </c>
      <c r="J209" s="36">
        <v>0</v>
      </c>
      <c r="K209" s="36">
        <v>0</v>
      </c>
      <c r="L209" s="36">
        <v>0</v>
      </c>
      <c r="M209" s="36">
        <v>0</v>
      </c>
      <c r="N209" s="36">
        <v>0</v>
      </c>
      <c r="O209" s="36">
        <v>0</v>
      </c>
      <c r="P209" s="36">
        <v>0</v>
      </c>
      <c r="Q209" s="36">
        <v>0</v>
      </c>
      <c r="R209" s="36">
        <v>0</v>
      </c>
      <c r="S209" s="36">
        <v>0</v>
      </c>
      <c r="T209" s="36">
        <v>0</v>
      </c>
      <c r="U209" s="36">
        <v>0</v>
      </c>
      <c r="V209" s="36">
        <v>0</v>
      </c>
      <c r="W209" s="36">
        <v>0</v>
      </c>
      <c r="X209" s="36">
        <v>0</v>
      </c>
      <c r="Y209" s="36">
        <v>0</v>
      </c>
      <c r="Z209" s="36">
        <v>0</v>
      </c>
      <c r="AA209" s="36">
        <v>0</v>
      </c>
      <c r="AB209" s="36">
        <v>0</v>
      </c>
      <c r="AC209" s="36">
        <v>0</v>
      </c>
      <c r="AD209" s="36">
        <v>0</v>
      </c>
      <c r="AE209" s="36">
        <v>0</v>
      </c>
      <c r="AF209" s="36">
        <v>0</v>
      </c>
      <c r="AG209" s="36">
        <v>0</v>
      </c>
      <c r="AH209" s="36">
        <v>0</v>
      </c>
      <c r="AI209" s="36">
        <v>0</v>
      </c>
      <c r="AJ209" s="36">
        <v>0</v>
      </c>
      <c r="AK209" s="36">
        <v>0</v>
      </c>
      <c r="AL209" s="36">
        <v>0</v>
      </c>
      <c r="AM209" s="36">
        <v>0</v>
      </c>
      <c r="AN209" s="36">
        <v>0</v>
      </c>
      <c r="AO209" s="36">
        <v>0</v>
      </c>
      <c r="AP209" s="36">
        <v>0</v>
      </c>
      <c r="AQ209" s="36">
        <v>0</v>
      </c>
      <c r="AR209" s="36">
        <v>0</v>
      </c>
      <c r="AS209" s="36">
        <v>0</v>
      </c>
      <c r="AT209" s="36">
        <v>0</v>
      </c>
      <c r="AU209" s="36">
        <v>0</v>
      </c>
      <c r="AV209" s="36">
        <v>0</v>
      </c>
      <c r="AW209" s="36">
        <v>0</v>
      </c>
      <c r="AX209" s="36">
        <v>0</v>
      </c>
      <c r="AY209" s="36">
        <v>0</v>
      </c>
      <c r="AZ209" s="36">
        <v>0</v>
      </c>
      <c r="BA209" s="36">
        <v>0</v>
      </c>
      <c r="BB209" s="36">
        <v>0</v>
      </c>
      <c r="BC209" s="36">
        <v>0</v>
      </c>
      <c r="BD209" s="36">
        <v>0</v>
      </c>
      <c r="BE209" s="36">
        <v>0</v>
      </c>
      <c r="BF209" s="36">
        <v>0</v>
      </c>
      <c r="BG209" s="36">
        <v>0</v>
      </c>
      <c r="BH209" s="36">
        <v>0</v>
      </c>
      <c r="BI209" s="36">
        <v>0</v>
      </c>
      <c r="BJ209" s="36">
        <v>0</v>
      </c>
      <c r="BK209" s="36">
        <v>550.70097144875069</v>
      </c>
      <c r="BL209" s="36">
        <v>454.61958302689794</v>
      </c>
      <c r="BM209" s="36">
        <v>16.830669789025301</v>
      </c>
      <c r="BN209" s="36">
        <v>22.15693411015679</v>
      </c>
      <c r="BO209" s="36">
        <v>6.4235199984959163E-2</v>
      </c>
      <c r="BP209" s="36">
        <v>0.66605475010932835</v>
      </c>
      <c r="BQ209" s="36">
        <v>21.355820129797529</v>
      </c>
      <c r="BR209" s="36">
        <v>0</v>
      </c>
      <c r="BS209" s="36">
        <v>0.98499413519573775</v>
      </c>
      <c r="BT209" s="36">
        <v>114.664598192097</v>
      </c>
      <c r="BU209" s="36">
        <v>0.57233121417732846</v>
      </c>
      <c r="BV209" s="36">
        <v>0</v>
      </c>
      <c r="BW209" s="36">
        <v>480.38827462419283</v>
      </c>
      <c r="BX209" s="36">
        <v>33.605624279828497</v>
      </c>
      <c r="BY209" s="36">
        <v>56.631405185219926</v>
      </c>
      <c r="BZ209" s="36">
        <v>69.852163316112282</v>
      </c>
      <c r="CA209" s="36">
        <v>351.11179932230442</v>
      </c>
      <c r="CB209" s="36">
        <v>99.729615361322843</v>
      </c>
      <c r="CC209" s="36">
        <v>1154.2469570117503</v>
      </c>
      <c r="CD209" s="36">
        <v>77.860783371592973</v>
      </c>
      <c r="CE209" s="36">
        <v>67.367333954906769</v>
      </c>
      <c r="CF209" s="36">
        <v>57.228054501779873</v>
      </c>
      <c r="CG209" s="36">
        <v>72.76214557497218</v>
      </c>
      <c r="CH209" s="36">
        <v>338.83705665672892</v>
      </c>
      <c r="CI209" s="36">
        <v>2301.7930304262582</v>
      </c>
      <c r="CJ209" s="36">
        <v>526.01934403360826</v>
      </c>
      <c r="CK209" s="36">
        <v>2019.0281802892923</v>
      </c>
      <c r="CL209" s="36">
        <v>492.2349210947429</v>
      </c>
      <c r="CM209" s="36">
        <v>641.11523081212681</v>
      </c>
      <c r="CN209" s="36">
        <v>115.35357122811219</v>
      </c>
      <c r="CO209" s="36">
        <v>236.65805154042482</v>
      </c>
      <c r="CP209" s="36">
        <v>344.44416872900973</v>
      </c>
      <c r="CQ209" s="36">
        <v>7440.4727016061443</v>
      </c>
      <c r="CR209" s="36">
        <v>820.53737072717922</v>
      </c>
      <c r="CS209" s="36">
        <v>3651.4845661626828</v>
      </c>
      <c r="CT209" s="36">
        <v>167.88077018133978</v>
      </c>
      <c r="CU209" s="36">
        <v>255.23978210031237</v>
      </c>
      <c r="CV209" s="36">
        <v>36.717809754222145</v>
      </c>
      <c r="CW209" s="36">
        <v>16.946821778153819</v>
      </c>
      <c r="CX209" s="36">
        <v>8.6634389508344096</v>
      </c>
      <c r="CY209" s="36">
        <v>883.50546451111677</v>
      </c>
      <c r="CZ209" s="36">
        <v>39.077327952335786</v>
      </c>
      <c r="DA209" s="36">
        <v>42.872079628082879</v>
      </c>
      <c r="DB209" s="36">
        <v>404.11581818451555</v>
      </c>
      <c r="DC209" s="36">
        <v>572.01344706928046</v>
      </c>
      <c r="DD209" s="36">
        <v>1040.7792106761403</v>
      </c>
      <c r="DE209" s="36">
        <v>622.56213679868199</v>
      </c>
      <c r="DF209" s="36">
        <v>258.06794551046585</v>
      </c>
      <c r="DG209" s="36">
        <v>248.05875581773293</v>
      </c>
      <c r="DH209" s="36">
        <v>226.47757422746946</v>
      </c>
      <c r="DI209" s="36">
        <v>1.2032004408913706</v>
      </c>
      <c r="DJ209" s="36">
        <v>19.394384686473312</v>
      </c>
      <c r="DK209" s="36">
        <v>82.604742806613572</v>
      </c>
      <c r="DL209" s="36">
        <v>770.17874054841548</v>
      </c>
      <c r="DM209" s="36">
        <v>52.117976594603327</v>
      </c>
      <c r="DN209" s="36">
        <v>434.71296185029973</v>
      </c>
      <c r="DO209" s="36">
        <v>119.61938014797478</v>
      </c>
      <c r="DP209" s="36">
        <v>51.724030570329575</v>
      </c>
      <c r="DQ209" s="36">
        <v>409.35608035897241</v>
      </c>
      <c r="DR209" s="36">
        <v>238.1948828434692</v>
      </c>
      <c r="DS209" s="36">
        <v>80.651872619200617</v>
      </c>
      <c r="DT209" s="36">
        <v>1017.199656737609</v>
      </c>
      <c r="DU209" s="36">
        <v>336.10307099314491</v>
      </c>
      <c r="DV209" s="36">
        <v>68.726127812611665</v>
      </c>
      <c r="DW209" s="36">
        <v>220.00646893896186</v>
      </c>
      <c r="DX209" s="36">
        <v>1234.5793890657058</v>
      </c>
      <c r="DY209" s="36">
        <v>209.63628785200916</v>
      </c>
      <c r="DZ209" s="36">
        <v>320.88200114111845</v>
      </c>
      <c r="EA209" s="36">
        <v>1825.3145576543855</v>
      </c>
      <c r="EB209" s="36">
        <v>2278.0242136527522</v>
      </c>
      <c r="EC209" s="36">
        <v>150.07433083907472</v>
      </c>
      <c r="ED209" s="36">
        <v>10392.41533765155</v>
      </c>
      <c r="EE209" s="36">
        <v>756.63365347699994</v>
      </c>
      <c r="EF209" s="36">
        <v>9.7093855536028055</v>
      </c>
      <c r="EG209" s="36">
        <v>0.27371136269893764</v>
      </c>
      <c r="EH209" s="36">
        <v>0.18123285049708088</v>
      </c>
      <c r="EI209" s="36">
        <v>400.12539600284612</v>
      </c>
      <c r="EJ209" s="36">
        <v>0</v>
      </c>
      <c r="EK209" s="36">
        <v>0</v>
      </c>
      <c r="EL209" s="36">
        <v>0</v>
      </c>
      <c r="EM209" s="36">
        <v>0</v>
      </c>
      <c r="EN209" s="36">
        <v>0</v>
      </c>
      <c r="EO209" s="36">
        <v>0</v>
      </c>
      <c r="EP209" s="36">
        <v>0</v>
      </c>
      <c r="EQ209" s="36">
        <v>0</v>
      </c>
      <c r="ER209" s="36">
        <v>0</v>
      </c>
      <c r="ES209" s="36">
        <v>0</v>
      </c>
      <c r="ET209" s="36">
        <v>0</v>
      </c>
      <c r="EU209" s="36">
        <v>0</v>
      </c>
      <c r="EV209" s="36">
        <v>0</v>
      </c>
      <c r="EW209" s="36">
        <v>0</v>
      </c>
      <c r="EX209" s="36">
        <v>0</v>
      </c>
      <c r="EY209" s="36">
        <v>0</v>
      </c>
      <c r="EZ209" s="36">
        <v>0</v>
      </c>
      <c r="FA209" s="36">
        <v>0</v>
      </c>
      <c r="FB209" s="36">
        <v>0</v>
      </c>
      <c r="FC209" s="36">
        <v>0</v>
      </c>
      <c r="FD209" s="36">
        <v>0</v>
      </c>
      <c r="FE209" s="36">
        <v>0</v>
      </c>
      <c r="FF209" s="36">
        <v>0</v>
      </c>
      <c r="FG209" s="36">
        <v>0</v>
      </c>
      <c r="FH209" s="36">
        <v>0</v>
      </c>
      <c r="FI209" s="36">
        <v>0</v>
      </c>
      <c r="FJ209" s="36">
        <v>0</v>
      </c>
      <c r="FK209" s="36">
        <v>0</v>
      </c>
      <c r="FL209" s="36">
        <v>0</v>
      </c>
      <c r="FM209" s="36">
        <v>0</v>
      </c>
      <c r="FN209" s="36">
        <v>0</v>
      </c>
      <c r="FO209" s="36">
        <v>0</v>
      </c>
      <c r="FP209" s="36">
        <v>0</v>
      </c>
      <c r="FQ209" s="36">
        <v>0</v>
      </c>
      <c r="FR209" s="36">
        <v>0</v>
      </c>
      <c r="FS209" s="36">
        <v>0</v>
      </c>
      <c r="FT209" s="36">
        <v>0</v>
      </c>
      <c r="FU209" s="36">
        <v>0</v>
      </c>
      <c r="FV209" s="36">
        <v>0</v>
      </c>
      <c r="FW209" s="36">
        <v>0</v>
      </c>
      <c r="FX209" s="36">
        <v>0</v>
      </c>
      <c r="FY209" s="36">
        <v>0</v>
      </c>
      <c r="FZ209" s="36">
        <v>0</v>
      </c>
      <c r="GA209" s="36">
        <v>0</v>
      </c>
      <c r="GB209" s="36">
        <v>0</v>
      </c>
      <c r="GC209" s="36">
        <v>0</v>
      </c>
      <c r="GD209" s="36">
        <v>0</v>
      </c>
      <c r="GE209" s="36">
        <v>0</v>
      </c>
      <c r="GF209" s="36">
        <v>0</v>
      </c>
      <c r="GG209" s="36"/>
      <c r="GH209" s="36"/>
      <c r="GI209" s="36"/>
      <c r="GJ209" s="36"/>
      <c r="GK209" s="36"/>
      <c r="GL209" s="36"/>
      <c r="GM209" s="36"/>
      <c r="GN209" s="36"/>
      <c r="GO209" s="36"/>
      <c r="GP209" s="36"/>
      <c r="GQ209" s="36"/>
      <c r="GR209" s="36"/>
      <c r="GS209" s="36"/>
      <c r="GT209" s="36"/>
      <c r="GU209" s="36">
        <v>0</v>
      </c>
      <c r="GV209" s="36">
        <v>0</v>
      </c>
      <c r="GW209" s="36">
        <v>0</v>
      </c>
      <c r="GX209" s="36">
        <v>0</v>
      </c>
      <c r="GY209" s="36">
        <v>0</v>
      </c>
      <c r="GZ209" s="36">
        <v>0</v>
      </c>
      <c r="HA209" s="36">
        <v>0</v>
      </c>
      <c r="HB209" s="36">
        <v>0</v>
      </c>
      <c r="HC209" s="36">
        <f t="shared" si="3"/>
        <v>48933.999999999964</v>
      </c>
      <c r="HD209" s="36">
        <f>SUM(GX$5:GX$213)</f>
        <v>48933.999999999964</v>
      </c>
      <c r="HE209" s="41">
        <v>0</v>
      </c>
    </row>
    <row r="210" spans="1:213" x14ac:dyDescent="0.2">
      <c r="A210" s="9" t="s">
        <v>1289</v>
      </c>
      <c r="B210" s="36">
        <v>0</v>
      </c>
      <c r="C210" s="36">
        <v>0</v>
      </c>
      <c r="D210" s="36">
        <v>0</v>
      </c>
      <c r="E210" s="36">
        <v>0</v>
      </c>
      <c r="F210" s="36">
        <v>0</v>
      </c>
      <c r="G210" s="36">
        <v>0</v>
      </c>
      <c r="H210" s="36">
        <v>0</v>
      </c>
      <c r="I210" s="36">
        <v>0</v>
      </c>
      <c r="J210" s="36">
        <v>0</v>
      </c>
      <c r="K210" s="36">
        <v>0</v>
      </c>
      <c r="L210" s="36">
        <v>0</v>
      </c>
      <c r="M210" s="36">
        <v>0</v>
      </c>
      <c r="N210" s="36">
        <v>0</v>
      </c>
      <c r="O210" s="36">
        <v>0</v>
      </c>
      <c r="P210" s="36">
        <v>0</v>
      </c>
      <c r="Q210" s="36">
        <v>0</v>
      </c>
      <c r="R210" s="36">
        <v>0</v>
      </c>
      <c r="S210" s="36">
        <v>0</v>
      </c>
      <c r="T210" s="36">
        <v>0</v>
      </c>
      <c r="U210" s="36">
        <v>0</v>
      </c>
      <c r="V210" s="36">
        <v>0</v>
      </c>
      <c r="W210" s="36">
        <v>0</v>
      </c>
      <c r="X210" s="36">
        <v>0</v>
      </c>
      <c r="Y210" s="36">
        <v>0</v>
      </c>
      <c r="Z210" s="36">
        <v>0</v>
      </c>
      <c r="AA210" s="36">
        <v>0</v>
      </c>
      <c r="AB210" s="36">
        <v>0</v>
      </c>
      <c r="AC210" s="36">
        <v>0</v>
      </c>
      <c r="AD210" s="36">
        <v>0</v>
      </c>
      <c r="AE210" s="36">
        <v>0</v>
      </c>
      <c r="AF210" s="36">
        <v>0</v>
      </c>
      <c r="AG210" s="36">
        <v>0</v>
      </c>
      <c r="AH210" s="36">
        <v>0</v>
      </c>
      <c r="AI210" s="36">
        <v>0</v>
      </c>
      <c r="AJ210" s="36">
        <v>0</v>
      </c>
      <c r="AK210" s="36">
        <v>0</v>
      </c>
      <c r="AL210" s="36">
        <v>0</v>
      </c>
      <c r="AM210" s="36">
        <v>0</v>
      </c>
      <c r="AN210" s="36">
        <v>0</v>
      </c>
      <c r="AO210" s="36">
        <v>0</v>
      </c>
      <c r="AP210" s="36">
        <v>0</v>
      </c>
      <c r="AQ210" s="36">
        <v>0</v>
      </c>
      <c r="AR210" s="36">
        <v>0</v>
      </c>
      <c r="AS210" s="36">
        <v>0</v>
      </c>
      <c r="AT210" s="36">
        <v>0</v>
      </c>
      <c r="AU210" s="36">
        <v>0</v>
      </c>
      <c r="AV210" s="36">
        <v>0</v>
      </c>
      <c r="AW210" s="36">
        <v>0</v>
      </c>
      <c r="AX210" s="36">
        <v>0</v>
      </c>
      <c r="AY210" s="36">
        <v>0</v>
      </c>
      <c r="AZ210" s="36">
        <v>0</v>
      </c>
      <c r="BA210" s="36">
        <v>0</v>
      </c>
      <c r="BB210" s="36">
        <v>0</v>
      </c>
      <c r="BC210" s="36">
        <v>0</v>
      </c>
      <c r="BD210" s="36">
        <v>0</v>
      </c>
      <c r="BE210" s="36">
        <v>0</v>
      </c>
      <c r="BF210" s="36">
        <v>0</v>
      </c>
      <c r="BG210" s="36">
        <v>0</v>
      </c>
      <c r="BH210" s="36">
        <v>0</v>
      </c>
      <c r="BI210" s="36">
        <v>0</v>
      </c>
      <c r="BJ210" s="36">
        <v>0</v>
      </c>
      <c r="BK210" s="36">
        <v>0</v>
      </c>
      <c r="BL210" s="36">
        <v>0</v>
      </c>
      <c r="BM210" s="36">
        <v>0</v>
      </c>
      <c r="BN210" s="36">
        <v>0</v>
      </c>
      <c r="BO210" s="36">
        <v>0</v>
      </c>
      <c r="BP210" s="36">
        <v>0</v>
      </c>
      <c r="BQ210" s="36">
        <v>0</v>
      </c>
      <c r="BR210" s="36">
        <v>0</v>
      </c>
      <c r="BS210" s="36">
        <v>0</v>
      </c>
      <c r="BT210" s="36">
        <v>0</v>
      </c>
      <c r="BU210" s="36">
        <v>0</v>
      </c>
      <c r="BV210" s="36">
        <v>0</v>
      </c>
      <c r="BW210" s="36">
        <v>0</v>
      </c>
      <c r="BX210" s="36">
        <v>0</v>
      </c>
      <c r="BY210" s="36">
        <v>0</v>
      </c>
      <c r="BZ210" s="36">
        <v>0</v>
      </c>
      <c r="CA210" s="36">
        <v>0</v>
      </c>
      <c r="CB210" s="36">
        <v>0</v>
      </c>
      <c r="CC210" s="36">
        <v>0</v>
      </c>
      <c r="CD210" s="36">
        <v>0</v>
      </c>
      <c r="CE210" s="36">
        <v>0</v>
      </c>
      <c r="CF210" s="36">
        <v>0</v>
      </c>
      <c r="CG210" s="36">
        <v>0</v>
      </c>
      <c r="CH210" s="36">
        <v>0</v>
      </c>
      <c r="CI210" s="36">
        <v>0</v>
      </c>
      <c r="CJ210" s="36">
        <v>0</v>
      </c>
      <c r="CK210" s="36">
        <v>0</v>
      </c>
      <c r="CL210" s="36">
        <v>0</v>
      </c>
      <c r="CM210" s="36">
        <v>0</v>
      </c>
      <c r="CN210" s="36">
        <v>0</v>
      </c>
      <c r="CO210" s="36">
        <v>0</v>
      </c>
      <c r="CP210" s="36">
        <v>0</v>
      </c>
      <c r="CQ210" s="36">
        <v>0</v>
      </c>
      <c r="CR210" s="36">
        <v>0</v>
      </c>
      <c r="CS210" s="36">
        <v>0</v>
      </c>
      <c r="CT210" s="36">
        <v>0</v>
      </c>
      <c r="CU210" s="36">
        <v>0</v>
      </c>
      <c r="CV210" s="36">
        <v>0</v>
      </c>
      <c r="CW210" s="36">
        <v>0</v>
      </c>
      <c r="CX210" s="36">
        <v>0</v>
      </c>
      <c r="CY210" s="36">
        <v>0</v>
      </c>
      <c r="CZ210" s="36">
        <v>0</v>
      </c>
      <c r="DA210" s="36">
        <v>0</v>
      </c>
      <c r="DB210" s="36">
        <v>0</v>
      </c>
      <c r="DC210" s="36">
        <v>0</v>
      </c>
      <c r="DD210" s="36">
        <v>0</v>
      </c>
      <c r="DE210" s="36">
        <v>0</v>
      </c>
      <c r="DF210" s="36">
        <v>0</v>
      </c>
      <c r="DG210" s="36">
        <v>0</v>
      </c>
      <c r="DH210" s="36">
        <v>0</v>
      </c>
      <c r="DI210" s="36">
        <v>0</v>
      </c>
      <c r="DJ210" s="36">
        <v>0</v>
      </c>
      <c r="DK210" s="36">
        <v>0</v>
      </c>
      <c r="DL210" s="36">
        <v>0</v>
      </c>
      <c r="DM210" s="36">
        <v>0</v>
      </c>
      <c r="DN210" s="36">
        <v>0</v>
      </c>
      <c r="DO210" s="36">
        <v>0</v>
      </c>
      <c r="DP210" s="36">
        <v>0</v>
      </c>
      <c r="DQ210" s="36">
        <v>0</v>
      </c>
      <c r="DR210" s="36">
        <v>0</v>
      </c>
      <c r="DS210" s="36">
        <v>0</v>
      </c>
      <c r="DT210" s="36">
        <v>0</v>
      </c>
      <c r="DU210" s="36">
        <v>0</v>
      </c>
      <c r="DV210" s="36">
        <v>0</v>
      </c>
      <c r="DW210" s="36">
        <v>0</v>
      </c>
      <c r="DX210" s="36">
        <v>0</v>
      </c>
      <c r="DY210" s="36">
        <v>0</v>
      </c>
      <c r="DZ210" s="36">
        <v>0</v>
      </c>
      <c r="EA210" s="36">
        <v>0</v>
      </c>
      <c r="EB210" s="36">
        <v>0</v>
      </c>
      <c r="EC210" s="36">
        <v>0</v>
      </c>
      <c r="ED210" s="36">
        <v>0</v>
      </c>
      <c r="EE210" s="36">
        <v>0</v>
      </c>
      <c r="EF210" s="36">
        <v>0</v>
      </c>
      <c r="EG210" s="36">
        <v>0</v>
      </c>
      <c r="EH210" s="36">
        <v>0</v>
      </c>
      <c r="EI210" s="36">
        <v>0</v>
      </c>
      <c r="EJ210" s="36">
        <v>0</v>
      </c>
      <c r="EK210" s="36">
        <v>0</v>
      </c>
      <c r="EL210" s="36">
        <v>0</v>
      </c>
      <c r="EM210" s="36">
        <v>0</v>
      </c>
      <c r="EN210" s="36">
        <v>0</v>
      </c>
      <c r="EO210" s="36">
        <v>0</v>
      </c>
      <c r="EP210" s="36">
        <v>0</v>
      </c>
      <c r="EQ210" s="36">
        <v>0</v>
      </c>
      <c r="ER210" s="36">
        <v>0</v>
      </c>
      <c r="ES210" s="36">
        <v>0</v>
      </c>
      <c r="ET210" s="36">
        <v>0</v>
      </c>
      <c r="EU210" s="36">
        <v>0</v>
      </c>
      <c r="EV210" s="36">
        <v>0</v>
      </c>
      <c r="EW210" s="36">
        <v>0</v>
      </c>
      <c r="EX210" s="36">
        <v>0</v>
      </c>
      <c r="EY210" s="36">
        <v>0</v>
      </c>
      <c r="EZ210" s="36">
        <v>0</v>
      </c>
      <c r="FA210" s="36">
        <v>0</v>
      </c>
      <c r="FB210" s="36">
        <v>0</v>
      </c>
      <c r="FC210" s="36">
        <v>0</v>
      </c>
      <c r="FD210" s="36">
        <v>0</v>
      </c>
      <c r="FE210" s="36">
        <v>0</v>
      </c>
      <c r="FF210" s="36">
        <v>0</v>
      </c>
      <c r="FG210" s="36">
        <v>0</v>
      </c>
      <c r="FH210" s="36">
        <v>0</v>
      </c>
      <c r="FI210" s="36">
        <v>0</v>
      </c>
      <c r="FJ210" s="36">
        <v>0</v>
      </c>
      <c r="FK210" s="36">
        <v>0</v>
      </c>
      <c r="FL210" s="36">
        <v>0</v>
      </c>
      <c r="FM210" s="36">
        <v>0</v>
      </c>
      <c r="FN210" s="36">
        <v>0</v>
      </c>
      <c r="FO210" s="36">
        <v>0</v>
      </c>
      <c r="FP210" s="36">
        <v>0</v>
      </c>
      <c r="FQ210" s="36">
        <v>0</v>
      </c>
      <c r="FR210" s="36">
        <v>0</v>
      </c>
      <c r="FS210" s="36">
        <v>0</v>
      </c>
      <c r="FT210" s="36">
        <v>0</v>
      </c>
      <c r="FU210" s="36">
        <v>0</v>
      </c>
      <c r="FV210" s="36">
        <v>0</v>
      </c>
      <c r="FW210" s="36">
        <v>0</v>
      </c>
      <c r="FX210" s="36">
        <v>0</v>
      </c>
      <c r="FY210" s="36">
        <v>0</v>
      </c>
      <c r="FZ210" s="36">
        <v>0</v>
      </c>
      <c r="GA210" s="36">
        <v>0</v>
      </c>
      <c r="GB210" s="36">
        <v>0</v>
      </c>
      <c r="GC210" s="36">
        <v>0</v>
      </c>
      <c r="GD210" s="36">
        <v>0</v>
      </c>
      <c r="GE210" s="36">
        <v>0</v>
      </c>
      <c r="GF210" s="36">
        <v>237566</v>
      </c>
      <c r="GG210" s="42">
        <v>49.141521413064751</v>
      </c>
      <c r="GH210" s="42">
        <v>331.91969188808724</v>
      </c>
      <c r="GI210" s="42">
        <v>883.28290273010623</v>
      </c>
      <c r="GJ210" s="42">
        <v>1568.7856616962104</v>
      </c>
      <c r="GK210" s="42">
        <v>3363.1693308316308</v>
      </c>
      <c r="GL210" s="42">
        <v>9293.0882521804051</v>
      </c>
      <c r="GM210" s="42">
        <v>15057.261022916156</v>
      </c>
      <c r="GN210" s="42">
        <v>34890.133748836444</v>
      </c>
      <c r="GO210" s="42">
        <v>113930.7503499491</v>
      </c>
      <c r="GP210" s="42">
        <v>24279.961657715521</v>
      </c>
      <c r="GQ210" s="42">
        <v>45177.637285560217</v>
      </c>
      <c r="GR210" s="42">
        <v>49810.459546546932</v>
      </c>
      <c r="GS210" s="42">
        <v>81823.412652567844</v>
      </c>
      <c r="GT210" s="42">
        <v>155832.99637516818</v>
      </c>
      <c r="GU210" s="36">
        <v>0</v>
      </c>
      <c r="GV210" s="36">
        <v>0</v>
      </c>
      <c r="GW210" s="36">
        <v>0</v>
      </c>
      <c r="GX210" s="36">
        <v>0</v>
      </c>
      <c r="GY210" s="36">
        <v>0</v>
      </c>
      <c r="GZ210" s="36">
        <v>0</v>
      </c>
      <c r="HA210" s="36">
        <v>0</v>
      </c>
      <c r="HB210" s="36">
        <v>0</v>
      </c>
      <c r="HC210" s="36">
        <f t="shared" si="3"/>
        <v>773857.99999999988</v>
      </c>
      <c r="HD210" s="36">
        <f>SUM(GY$5:GY$213)</f>
        <v>773858</v>
      </c>
      <c r="HE210" s="41">
        <v>0</v>
      </c>
    </row>
    <row r="211" spans="1:213" x14ac:dyDescent="0.2">
      <c r="A211" s="9" t="s">
        <v>1517</v>
      </c>
      <c r="B211" s="36">
        <v>0</v>
      </c>
      <c r="C211" s="36">
        <v>0</v>
      </c>
      <c r="D211" s="36">
        <v>0</v>
      </c>
      <c r="E211" s="36">
        <v>0</v>
      </c>
      <c r="F211" s="36">
        <v>0</v>
      </c>
      <c r="G211" s="36">
        <v>0</v>
      </c>
      <c r="H211" s="36">
        <v>0</v>
      </c>
      <c r="I211" s="36">
        <v>0</v>
      </c>
      <c r="J211" s="36">
        <v>0</v>
      </c>
      <c r="K211" s="36">
        <v>0</v>
      </c>
      <c r="L211" s="36">
        <v>0</v>
      </c>
      <c r="M211" s="36">
        <v>0</v>
      </c>
      <c r="N211" s="36">
        <v>0</v>
      </c>
      <c r="O211" s="36">
        <v>0</v>
      </c>
      <c r="P211" s="36">
        <v>0</v>
      </c>
      <c r="Q211" s="36">
        <v>0</v>
      </c>
      <c r="R211" s="36">
        <v>0</v>
      </c>
      <c r="S211" s="36">
        <v>0</v>
      </c>
      <c r="T211" s="36">
        <v>0</v>
      </c>
      <c r="U211" s="36">
        <v>0</v>
      </c>
      <c r="V211" s="36">
        <v>0</v>
      </c>
      <c r="W211" s="36">
        <v>0</v>
      </c>
      <c r="X211" s="36">
        <v>0</v>
      </c>
      <c r="Y211" s="36">
        <v>0</v>
      </c>
      <c r="Z211" s="36">
        <v>0</v>
      </c>
      <c r="AA211" s="36">
        <v>0</v>
      </c>
      <c r="AB211" s="36">
        <v>0</v>
      </c>
      <c r="AC211" s="36">
        <v>0</v>
      </c>
      <c r="AD211" s="36">
        <v>0</v>
      </c>
      <c r="AE211" s="36">
        <v>0</v>
      </c>
      <c r="AF211" s="36">
        <v>0</v>
      </c>
      <c r="AG211" s="36">
        <v>0</v>
      </c>
      <c r="AH211" s="36">
        <v>0</v>
      </c>
      <c r="AI211" s="36">
        <v>0</v>
      </c>
      <c r="AJ211" s="36">
        <v>0</v>
      </c>
      <c r="AK211" s="36">
        <v>0</v>
      </c>
      <c r="AL211" s="36">
        <v>0</v>
      </c>
      <c r="AM211" s="36">
        <v>0</v>
      </c>
      <c r="AN211" s="36">
        <v>0</v>
      </c>
      <c r="AO211" s="36">
        <v>0</v>
      </c>
      <c r="AP211" s="36">
        <v>0</v>
      </c>
      <c r="AQ211" s="36">
        <v>0</v>
      </c>
      <c r="AR211" s="36">
        <v>0</v>
      </c>
      <c r="AS211" s="36">
        <v>0</v>
      </c>
      <c r="AT211" s="36">
        <v>0</v>
      </c>
      <c r="AU211" s="36">
        <v>0</v>
      </c>
      <c r="AV211" s="36">
        <v>0</v>
      </c>
      <c r="AW211" s="36">
        <v>0</v>
      </c>
      <c r="AX211" s="36">
        <v>0</v>
      </c>
      <c r="AY211" s="36">
        <v>0</v>
      </c>
      <c r="AZ211" s="36">
        <v>0</v>
      </c>
      <c r="BA211" s="36">
        <v>0</v>
      </c>
      <c r="BB211" s="36">
        <v>0</v>
      </c>
      <c r="BC211" s="36">
        <v>0</v>
      </c>
      <c r="BD211" s="36">
        <v>0</v>
      </c>
      <c r="BE211" s="36">
        <v>0</v>
      </c>
      <c r="BF211" s="36">
        <v>0</v>
      </c>
      <c r="BG211" s="36">
        <v>0</v>
      </c>
      <c r="BH211" s="36">
        <v>0</v>
      </c>
      <c r="BI211" s="36">
        <v>0</v>
      </c>
      <c r="BJ211" s="36">
        <v>0</v>
      </c>
      <c r="BK211" s="36">
        <v>0</v>
      </c>
      <c r="BL211" s="36">
        <v>0</v>
      </c>
      <c r="BM211" s="36">
        <v>0</v>
      </c>
      <c r="BN211" s="36">
        <v>0</v>
      </c>
      <c r="BO211" s="36">
        <v>0</v>
      </c>
      <c r="BP211" s="36">
        <v>0</v>
      </c>
      <c r="BQ211" s="36">
        <v>0</v>
      </c>
      <c r="BR211" s="36">
        <v>0</v>
      </c>
      <c r="BS211" s="36">
        <v>0</v>
      </c>
      <c r="BT211" s="36">
        <v>0</v>
      </c>
      <c r="BU211" s="36">
        <v>0</v>
      </c>
      <c r="BV211" s="36">
        <v>0</v>
      </c>
      <c r="BW211" s="36">
        <v>0</v>
      </c>
      <c r="BX211" s="36">
        <v>0</v>
      </c>
      <c r="BY211" s="36">
        <v>0</v>
      </c>
      <c r="BZ211" s="36">
        <v>0</v>
      </c>
      <c r="CA211" s="36">
        <v>0</v>
      </c>
      <c r="CB211" s="36">
        <v>0</v>
      </c>
      <c r="CC211" s="36">
        <v>0</v>
      </c>
      <c r="CD211" s="36">
        <v>0</v>
      </c>
      <c r="CE211" s="36">
        <v>0</v>
      </c>
      <c r="CF211" s="36">
        <v>0</v>
      </c>
      <c r="CG211" s="36">
        <v>0</v>
      </c>
      <c r="CH211" s="36">
        <v>0</v>
      </c>
      <c r="CI211" s="36">
        <v>0</v>
      </c>
      <c r="CJ211" s="36">
        <v>0</v>
      </c>
      <c r="CK211" s="36">
        <v>0</v>
      </c>
      <c r="CL211" s="36">
        <v>0</v>
      </c>
      <c r="CM211" s="36">
        <v>0</v>
      </c>
      <c r="CN211" s="36">
        <v>0</v>
      </c>
      <c r="CO211" s="36">
        <v>0</v>
      </c>
      <c r="CP211" s="36">
        <v>0</v>
      </c>
      <c r="CQ211" s="36">
        <v>0</v>
      </c>
      <c r="CR211" s="36">
        <v>0</v>
      </c>
      <c r="CS211" s="36">
        <v>0</v>
      </c>
      <c r="CT211" s="36">
        <v>0</v>
      </c>
      <c r="CU211" s="36">
        <v>0</v>
      </c>
      <c r="CV211" s="36">
        <v>0</v>
      </c>
      <c r="CW211" s="36">
        <v>0</v>
      </c>
      <c r="CX211" s="36">
        <v>0</v>
      </c>
      <c r="CY211" s="36">
        <v>0</v>
      </c>
      <c r="CZ211" s="36">
        <v>0</v>
      </c>
      <c r="DA211" s="36">
        <v>0</v>
      </c>
      <c r="DB211" s="36">
        <v>0</v>
      </c>
      <c r="DC211" s="36">
        <v>0</v>
      </c>
      <c r="DD211" s="36">
        <v>0</v>
      </c>
      <c r="DE211" s="36">
        <v>0</v>
      </c>
      <c r="DF211" s="36">
        <v>0</v>
      </c>
      <c r="DG211" s="36">
        <v>0</v>
      </c>
      <c r="DH211" s="36">
        <v>0</v>
      </c>
      <c r="DI211" s="36">
        <v>0</v>
      </c>
      <c r="DJ211" s="36">
        <v>0</v>
      </c>
      <c r="DK211" s="36">
        <v>0</v>
      </c>
      <c r="DL211" s="36">
        <v>0</v>
      </c>
      <c r="DM211" s="36">
        <v>0</v>
      </c>
      <c r="DN211" s="36">
        <v>0</v>
      </c>
      <c r="DO211" s="36">
        <v>0</v>
      </c>
      <c r="DP211" s="36">
        <v>0</v>
      </c>
      <c r="DQ211" s="36">
        <v>0</v>
      </c>
      <c r="DR211" s="36">
        <v>0</v>
      </c>
      <c r="DS211" s="36">
        <v>0</v>
      </c>
      <c r="DT211" s="36">
        <v>0</v>
      </c>
      <c r="DU211" s="36">
        <v>0</v>
      </c>
      <c r="DV211" s="36">
        <v>0</v>
      </c>
      <c r="DW211" s="36">
        <v>0</v>
      </c>
      <c r="DX211" s="36">
        <v>0</v>
      </c>
      <c r="DY211" s="36">
        <v>0</v>
      </c>
      <c r="DZ211" s="36">
        <v>0</v>
      </c>
      <c r="EA211" s="36">
        <v>0</v>
      </c>
      <c r="EB211" s="36">
        <v>0</v>
      </c>
      <c r="EC211" s="36">
        <v>0</v>
      </c>
      <c r="ED211" s="36">
        <v>0</v>
      </c>
      <c r="EE211" s="36">
        <v>0</v>
      </c>
      <c r="EF211" s="36">
        <v>0</v>
      </c>
      <c r="EG211" s="36">
        <v>0</v>
      </c>
      <c r="EH211" s="36">
        <v>0</v>
      </c>
      <c r="EI211" s="36">
        <v>0</v>
      </c>
      <c r="EJ211" s="36">
        <v>0</v>
      </c>
      <c r="EK211" s="36">
        <v>0</v>
      </c>
      <c r="EL211" s="36">
        <v>0</v>
      </c>
      <c r="EM211" s="36">
        <v>0</v>
      </c>
      <c r="EN211" s="36">
        <v>0</v>
      </c>
      <c r="EO211" s="36">
        <v>0</v>
      </c>
      <c r="EP211" s="36">
        <v>0</v>
      </c>
      <c r="EQ211" s="36">
        <v>0</v>
      </c>
      <c r="ER211" s="36">
        <v>0</v>
      </c>
      <c r="ES211" s="36">
        <v>0</v>
      </c>
      <c r="ET211" s="36">
        <v>0</v>
      </c>
      <c r="EU211" s="36">
        <v>0</v>
      </c>
      <c r="EV211" s="36">
        <v>0</v>
      </c>
      <c r="EW211" s="36">
        <v>0</v>
      </c>
      <c r="EX211" s="36">
        <v>0</v>
      </c>
      <c r="EY211" s="36">
        <v>0</v>
      </c>
      <c r="EZ211" s="36">
        <v>0</v>
      </c>
      <c r="FA211" s="36">
        <v>0</v>
      </c>
      <c r="FB211" s="36">
        <v>0</v>
      </c>
      <c r="FC211" s="36">
        <v>0</v>
      </c>
      <c r="FD211" s="36">
        <v>0</v>
      </c>
      <c r="FE211" s="36">
        <v>0</v>
      </c>
      <c r="FF211" s="36">
        <v>0</v>
      </c>
      <c r="FG211" s="36">
        <v>0</v>
      </c>
      <c r="FH211" s="36">
        <v>0</v>
      </c>
      <c r="FI211" s="36">
        <v>0</v>
      </c>
      <c r="FJ211" s="36">
        <v>0</v>
      </c>
      <c r="FK211" s="36">
        <v>0</v>
      </c>
      <c r="FL211" s="36">
        <v>0</v>
      </c>
      <c r="FM211" s="36">
        <v>0</v>
      </c>
      <c r="FN211" s="36">
        <v>0</v>
      </c>
      <c r="FO211" s="36">
        <v>0</v>
      </c>
      <c r="FP211" s="36">
        <v>0</v>
      </c>
      <c r="FQ211" s="36">
        <v>0</v>
      </c>
      <c r="FR211" s="36">
        <v>0</v>
      </c>
      <c r="FS211" s="36">
        <v>0</v>
      </c>
      <c r="FT211" s="36">
        <v>0</v>
      </c>
      <c r="FU211" s="36">
        <v>0</v>
      </c>
      <c r="FV211" s="36">
        <v>0</v>
      </c>
      <c r="FW211" s="36">
        <v>0</v>
      </c>
      <c r="FX211" s="36">
        <v>0</v>
      </c>
      <c r="FY211" s="36">
        <v>0</v>
      </c>
      <c r="FZ211" s="36">
        <v>0</v>
      </c>
      <c r="GA211" s="36">
        <v>0</v>
      </c>
      <c r="GB211" s="36">
        <v>0</v>
      </c>
      <c r="GC211" s="36">
        <v>0</v>
      </c>
      <c r="GD211" s="36">
        <v>0</v>
      </c>
      <c r="GE211" s="36">
        <v>0</v>
      </c>
      <c r="GF211" s="36">
        <v>692364</v>
      </c>
      <c r="GG211" s="42">
        <v>78.443169791166525</v>
      </c>
      <c r="GH211" s="42">
        <v>123.9126492697864</v>
      </c>
      <c r="GI211" s="42">
        <v>209.38426266869445</v>
      </c>
      <c r="GJ211" s="42">
        <v>416.46542650868957</v>
      </c>
      <c r="GK211" s="42">
        <v>596.96231050461165</v>
      </c>
      <c r="GL211" s="42">
        <v>921.04611799925613</v>
      </c>
      <c r="GM211" s="42">
        <v>1257.0098293783194</v>
      </c>
      <c r="GN211" s="42">
        <v>2275.3212163040043</v>
      </c>
      <c r="GO211" s="42">
        <v>5254.2924673881798</v>
      </c>
      <c r="GP211" s="42">
        <v>1516.9320663942494</v>
      </c>
      <c r="GQ211" s="42">
        <v>2927.2931768171625</v>
      </c>
      <c r="GR211" s="42">
        <v>3652.9419463507879</v>
      </c>
      <c r="GS211" s="42">
        <v>9029.954221564245</v>
      </c>
      <c r="GT211" s="42">
        <v>68918.04113906085</v>
      </c>
      <c r="GU211" s="36">
        <v>-43755</v>
      </c>
      <c r="GV211" s="36">
        <v>0</v>
      </c>
      <c r="GW211" s="36">
        <v>0</v>
      </c>
      <c r="GX211" s="36">
        <v>0</v>
      </c>
      <c r="GY211" s="36">
        <v>0</v>
      </c>
      <c r="GZ211" s="36">
        <v>0</v>
      </c>
      <c r="HA211" s="36">
        <v>0</v>
      </c>
      <c r="HB211" s="36">
        <v>144163.32401825741</v>
      </c>
      <c r="HC211" s="36">
        <f t="shared" si="3"/>
        <v>889950.32401825732</v>
      </c>
      <c r="HD211" s="36">
        <f>SUM(GZ$5:GZ$213)</f>
        <v>889950.32401825674</v>
      </c>
      <c r="HE211" s="41">
        <v>0</v>
      </c>
    </row>
    <row r="212" spans="1:213" x14ac:dyDescent="0.2">
      <c r="A212" s="9" t="s">
        <v>1520</v>
      </c>
      <c r="B212" s="36">
        <v>0</v>
      </c>
      <c r="C212" s="36">
        <v>0</v>
      </c>
      <c r="D212" s="36">
        <v>0</v>
      </c>
      <c r="E212" s="36">
        <v>0</v>
      </c>
      <c r="F212" s="36">
        <v>0</v>
      </c>
      <c r="G212" s="36">
        <v>0</v>
      </c>
      <c r="H212" s="36">
        <v>0</v>
      </c>
      <c r="I212" s="36">
        <v>0</v>
      </c>
      <c r="J212" s="36">
        <v>0</v>
      </c>
      <c r="K212" s="36">
        <v>0</v>
      </c>
      <c r="L212" s="36">
        <v>0</v>
      </c>
      <c r="M212" s="36">
        <v>0</v>
      </c>
      <c r="N212" s="36">
        <v>0</v>
      </c>
      <c r="O212" s="36">
        <v>0</v>
      </c>
      <c r="P212" s="36">
        <v>0</v>
      </c>
      <c r="Q212" s="36">
        <v>0</v>
      </c>
      <c r="R212" s="36">
        <v>0</v>
      </c>
      <c r="S212" s="36">
        <v>0</v>
      </c>
      <c r="T212" s="36">
        <v>0</v>
      </c>
      <c r="U212" s="36">
        <v>0</v>
      </c>
      <c r="V212" s="36">
        <v>0</v>
      </c>
      <c r="W212" s="36">
        <v>0</v>
      </c>
      <c r="X212" s="36">
        <v>0</v>
      </c>
      <c r="Y212" s="36">
        <v>0</v>
      </c>
      <c r="Z212" s="36">
        <v>0</v>
      </c>
      <c r="AA212" s="36">
        <v>0</v>
      </c>
      <c r="AB212" s="36">
        <v>0</v>
      </c>
      <c r="AC212" s="36">
        <v>0</v>
      </c>
      <c r="AD212" s="36">
        <v>0</v>
      </c>
      <c r="AE212" s="36">
        <v>0</v>
      </c>
      <c r="AF212" s="36">
        <v>0</v>
      </c>
      <c r="AG212" s="36">
        <v>0</v>
      </c>
      <c r="AH212" s="36">
        <v>0</v>
      </c>
      <c r="AI212" s="36">
        <v>0</v>
      </c>
      <c r="AJ212" s="36">
        <v>0</v>
      </c>
      <c r="AK212" s="36">
        <v>0</v>
      </c>
      <c r="AL212" s="36">
        <v>0</v>
      </c>
      <c r="AM212" s="36">
        <v>0</v>
      </c>
      <c r="AN212" s="36">
        <v>0</v>
      </c>
      <c r="AO212" s="36">
        <v>0</v>
      </c>
      <c r="AP212" s="36">
        <v>0</v>
      </c>
      <c r="AQ212" s="36">
        <v>0</v>
      </c>
      <c r="AR212" s="36">
        <v>0</v>
      </c>
      <c r="AS212" s="36">
        <v>0</v>
      </c>
      <c r="AT212" s="36">
        <v>0</v>
      </c>
      <c r="AU212" s="36">
        <v>0</v>
      </c>
      <c r="AV212" s="36">
        <v>0</v>
      </c>
      <c r="AW212" s="36">
        <v>0</v>
      </c>
      <c r="AX212" s="36">
        <v>0</v>
      </c>
      <c r="AY212" s="36">
        <v>0</v>
      </c>
      <c r="AZ212" s="36">
        <v>0</v>
      </c>
      <c r="BA212" s="36">
        <v>0</v>
      </c>
      <c r="BB212" s="36">
        <v>0</v>
      </c>
      <c r="BC212" s="36">
        <v>0</v>
      </c>
      <c r="BD212" s="36">
        <v>0</v>
      </c>
      <c r="BE212" s="36">
        <v>0</v>
      </c>
      <c r="BF212" s="36">
        <v>0</v>
      </c>
      <c r="BG212" s="36">
        <v>0</v>
      </c>
      <c r="BH212" s="36">
        <v>0</v>
      </c>
      <c r="BI212" s="36">
        <v>0</v>
      </c>
      <c r="BJ212" s="36">
        <v>0</v>
      </c>
      <c r="BK212" s="36">
        <v>0</v>
      </c>
      <c r="BL212" s="36">
        <v>0</v>
      </c>
      <c r="BM212" s="36">
        <v>0</v>
      </c>
      <c r="BN212" s="36">
        <v>0</v>
      </c>
      <c r="BO212" s="36">
        <v>0</v>
      </c>
      <c r="BP212" s="36">
        <v>0</v>
      </c>
      <c r="BQ212" s="36">
        <v>0</v>
      </c>
      <c r="BR212" s="36">
        <v>0</v>
      </c>
      <c r="BS212" s="36">
        <v>0</v>
      </c>
      <c r="BT212" s="36">
        <v>0</v>
      </c>
      <c r="BU212" s="36">
        <v>0</v>
      </c>
      <c r="BV212" s="36">
        <v>0</v>
      </c>
      <c r="BW212" s="36">
        <v>0</v>
      </c>
      <c r="BX212" s="36">
        <v>0</v>
      </c>
      <c r="BY212" s="36">
        <v>0</v>
      </c>
      <c r="BZ212" s="36">
        <v>0</v>
      </c>
      <c r="CA212" s="36">
        <v>0</v>
      </c>
      <c r="CB212" s="36">
        <v>0</v>
      </c>
      <c r="CC212" s="36">
        <v>0</v>
      </c>
      <c r="CD212" s="36">
        <v>0</v>
      </c>
      <c r="CE212" s="36">
        <v>0</v>
      </c>
      <c r="CF212" s="36">
        <v>0</v>
      </c>
      <c r="CG212" s="36">
        <v>0</v>
      </c>
      <c r="CH212" s="36">
        <v>0</v>
      </c>
      <c r="CI212" s="36">
        <v>0</v>
      </c>
      <c r="CJ212" s="36">
        <v>0</v>
      </c>
      <c r="CK212" s="36">
        <v>0</v>
      </c>
      <c r="CL212" s="36">
        <v>0</v>
      </c>
      <c r="CM212" s="36">
        <v>0</v>
      </c>
      <c r="CN212" s="36">
        <v>0</v>
      </c>
      <c r="CO212" s="36">
        <v>0</v>
      </c>
      <c r="CP212" s="36">
        <v>0</v>
      </c>
      <c r="CQ212" s="36">
        <v>0</v>
      </c>
      <c r="CR212" s="36">
        <v>0</v>
      </c>
      <c r="CS212" s="36">
        <v>0</v>
      </c>
      <c r="CT212" s="36">
        <v>0</v>
      </c>
      <c r="CU212" s="36">
        <v>0</v>
      </c>
      <c r="CV212" s="36">
        <v>0</v>
      </c>
      <c r="CW212" s="36">
        <v>0</v>
      </c>
      <c r="CX212" s="36">
        <v>0</v>
      </c>
      <c r="CY212" s="36">
        <v>0</v>
      </c>
      <c r="CZ212" s="36">
        <v>0</v>
      </c>
      <c r="DA212" s="36">
        <v>0</v>
      </c>
      <c r="DB212" s="36">
        <v>0</v>
      </c>
      <c r="DC212" s="36">
        <v>0</v>
      </c>
      <c r="DD212" s="36">
        <v>0</v>
      </c>
      <c r="DE212" s="36">
        <v>0</v>
      </c>
      <c r="DF212" s="36">
        <v>0</v>
      </c>
      <c r="DG212" s="36">
        <v>0</v>
      </c>
      <c r="DH212" s="36">
        <v>0</v>
      </c>
      <c r="DI212" s="36">
        <v>0</v>
      </c>
      <c r="DJ212" s="36">
        <v>0</v>
      </c>
      <c r="DK212" s="36">
        <v>0</v>
      </c>
      <c r="DL212" s="36">
        <v>0</v>
      </c>
      <c r="DM212" s="36">
        <v>0</v>
      </c>
      <c r="DN212" s="36">
        <v>0</v>
      </c>
      <c r="DO212" s="36">
        <v>0</v>
      </c>
      <c r="DP212" s="36">
        <v>0</v>
      </c>
      <c r="DQ212" s="36">
        <v>0</v>
      </c>
      <c r="DR212" s="36">
        <v>0</v>
      </c>
      <c r="DS212" s="36">
        <v>0</v>
      </c>
      <c r="DT212" s="36">
        <v>0</v>
      </c>
      <c r="DU212" s="36">
        <v>0</v>
      </c>
      <c r="DV212" s="36">
        <v>0</v>
      </c>
      <c r="DW212" s="36">
        <v>0</v>
      </c>
      <c r="DX212" s="36">
        <v>0</v>
      </c>
      <c r="DY212" s="36">
        <v>0</v>
      </c>
      <c r="DZ212" s="36">
        <v>0</v>
      </c>
      <c r="EA212" s="36">
        <v>0</v>
      </c>
      <c r="EB212" s="36">
        <v>0</v>
      </c>
      <c r="EC212" s="36">
        <v>0</v>
      </c>
      <c r="ED212" s="36">
        <v>0</v>
      </c>
      <c r="EE212" s="36">
        <v>0</v>
      </c>
      <c r="EF212" s="36">
        <v>0</v>
      </c>
      <c r="EG212" s="36">
        <v>0</v>
      </c>
      <c r="EH212" s="36">
        <v>0</v>
      </c>
      <c r="EI212" s="36">
        <v>0</v>
      </c>
      <c r="EJ212" s="36">
        <v>0</v>
      </c>
      <c r="EK212" s="36">
        <v>0</v>
      </c>
      <c r="EL212" s="36">
        <v>0</v>
      </c>
      <c r="EM212" s="36">
        <v>0</v>
      </c>
      <c r="EN212" s="36">
        <v>0</v>
      </c>
      <c r="EO212" s="36">
        <v>0</v>
      </c>
      <c r="EP212" s="36">
        <v>0</v>
      </c>
      <c r="EQ212" s="36">
        <v>0</v>
      </c>
      <c r="ER212" s="36">
        <v>0</v>
      </c>
      <c r="ES212" s="36">
        <v>0</v>
      </c>
      <c r="ET212" s="36">
        <v>0</v>
      </c>
      <c r="EU212" s="36">
        <v>0</v>
      </c>
      <c r="EV212" s="36">
        <v>0</v>
      </c>
      <c r="EW212" s="36">
        <v>0</v>
      </c>
      <c r="EX212" s="36">
        <v>0</v>
      </c>
      <c r="EY212" s="36">
        <v>0</v>
      </c>
      <c r="EZ212" s="36">
        <v>0</v>
      </c>
      <c r="FA212" s="36">
        <v>0</v>
      </c>
      <c r="FB212" s="36">
        <v>0</v>
      </c>
      <c r="FC212" s="36">
        <v>0</v>
      </c>
      <c r="FD212" s="36">
        <v>0</v>
      </c>
      <c r="FE212" s="36">
        <v>0</v>
      </c>
      <c r="FF212" s="36">
        <v>0</v>
      </c>
      <c r="FG212" s="36">
        <v>0</v>
      </c>
      <c r="FH212" s="36">
        <v>0</v>
      </c>
      <c r="FI212" s="36">
        <v>0</v>
      </c>
      <c r="FJ212" s="36">
        <v>0</v>
      </c>
      <c r="FK212" s="36">
        <v>0</v>
      </c>
      <c r="FL212" s="36">
        <v>0</v>
      </c>
      <c r="FM212" s="36">
        <v>0</v>
      </c>
      <c r="FN212" s="36">
        <v>0</v>
      </c>
      <c r="FO212" s="36">
        <v>0</v>
      </c>
      <c r="FP212" s="36">
        <v>0</v>
      </c>
      <c r="FQ212" s="36">
        <v>0</v>
      </c>
      <c r="FR212" s="36">
        <v>0</v>
      </c>
      <c r="FS212" s="36">
        <v>0</v>
      </c>
      <c r="FT212" s="36">
        <v>0</v>
      </c>
      <c r="FU212" s="36">
        <v>0</v>
      </c>
      <c r="FV212" s="36">
        <v>0</v>
      </c>
      <c r="FW212" s="36">
        <v>0</v>
      </c>
      <c r="FX212" s="36">
        <v>0</v>
      </c>
      <c r="FY212" s="36">
        <v>0</v>
      </c>
      <c r="FZ212" s="36">
        <v>0</v>
      </c>
      <c r="GA212" s="36">
        <v>0</v>
      </c>
      <c r="GB212" s="36">
        <v>0</v>
      </c>
      <c r="GC212" s="36">
        <v>0</v>
      </c>
      <c r="GD212" s="36">
        <v>0</v>
      </c>
      <c r="GE212" s="36">
        <v>0</v>
      </c>
      <c r="GF212" s="36">
        <v>0</v>
      </c>
      <c r="GG212" s="36"/>
      <c r="GH212" s="36"/>
      <c r="GI212" s="36"/>
      <c r="GJ212" s="36"/>
      <c r="GK212" s="36"/>
      <c r="GL212" s="36"/>
      <c r="GM212" s="36"/>
      <c r="GN212" s="36"/>
      <c r="GO212" s="36"/>
      <c r="GP212" s="36"/>
      <c r="GQ212" s="36"/>
      <c r="GR212" s="36"/>
      <c r="GS212" s="36"/>
      <c r="GT212" s="36"/>
      <c r="GU212" s="36">
        <v>0</v>
      </c>
      <c r="GV212" s="36">
        <v>0</v>
      </c>
      <c r="GW212" s="36">
        <v>0</v>
      </c>
      <c r="GX212" s="36">
        <v>0</v>
      </c>
      <c r="GY212" s="36">
        <v>0</v>
      </c>
      <c r="GZ212" s="38">
        <v>24451.050778094304</v>
      </c>
      <c r="HA212" s="36">
        <v>0</v>
      </c>
      <c r="HB212" s="36">
        <v>0</v>
      </c>
      <c r="HC212" s="36">
        <f t="shared" si="3"/>
        <v>24451.050778094304</v>
      </c>
      <c r="HD212" s="36">
        <f>SUM(HA$5:HA$213)</f>
        <v>24451.050778094304</v>
      </c>
      <c r="HE212" s="41">
        <v>0</v>
      </c>
    </row>
    <row r="213" spans="1:213" x14ac:dyDescent="0.2">
      <c r="A213" s="9" t="s">
        <v>1521</v>
      </c>
      <c r="B213" s="36">
        <v>0</v>
      </c>
      <c r="C213" s="36">
        <v>0</v>
      </c>
      <c r="D213" s="36">
        <v>0</v>
      </c>
      <c r="E213" s="36">
        <v>0</v>
      </c>
      <c r="F213" s="36">
        <v>0</v>
      </c>
      <c r="G213" s="36">
        <v>0</v>
      </c>
      <c r="H213" s="36">
        <v>0</v>
      </c>
      <c r="I213" s="36">
        <v>0</v>
      </c>
      <c r="J213" s="36">
        <v>0</v>
      </c>
      <c r="K213" s="36">
        <v>0</v>
      </c>
      <c r="L213" s="36">
        <v>0</v>
      </c>
      <c r="M213" s="36">
        <v>0</v>
      </c>
      <c r="N213" s="36">
        <v>0</v>
      </c>
      <c r="O213" s="36">
        <v>0</v>
      </c>
      <c r="P213" s="36">
        <v>0</v>
      </c>
      <c r="Q213" s="36">
        <v>0</v>
      </c>
      <c r="R213" s="36">
        <v>0</v>
      </c>
      <c r="S213" s="36">
        <v>0</v>
      </c>
      <c r="T213" s="36">
        <v>0</v>
      </c>
      <c r="U213" s="36">
        <v>0</v>
      </c>
      <c r="V213" s="36">
        <v>0</v>
      </c>
      <c r="W213" s="36">
        <v>0</v>
      </c>
      <c r="X213" s="36">
        <v>0</v>
      </c>
      <c r="Y213" s="36">
        <v>0</v>
      </c>
      <c r="Z213" s="36">
        <v>0</v>
      </c>
      <c r="AA213" s="36">
        <v>0</v>
      </c>
      <c r="AB213" s="36">
        <v>0</v>
      </c>
      <c r="AC213" s="36">
        <v>0</v>
      </c>
      <c r="AD213" s="36">
        <v>0</v>
      </c>
      <c r="AE213" s="36">
        <v>0</v>
      </c>
      <c r="AF213" s="36">
        <v>0</v>
      </c>
      <c r="AG213" s="36">
        <v>0</v>
      </c>
      <c r="AH213" s="36">
        <v>0</v>
      </c>
      <c r="AI213" s="36">
        <v>0</v>
      </c>
      <c r="AJ213" s="36">
        <v>0</v>
      </c>
      <c r="AK213" s="36">
        <v>0</v>
      </c>
      <c r="AL213" s="36">
        <v>0</v>
      </c>
      <c r="AM213" s="36">
        <v>0</v>
      </c>
      <c r="AN213" s="36">
        <v>0</v>
      </c>
      <c r="AO213" s="36">
        <v>0</v>
      </c>
      <c r="AP213" s="36">
        <v>0</v>
      </c>
      <c r="AQ213" s="36">
        <v>0</v>
      </c>
      <c r="AR213" s="36">
        <v>0</v>
      </c>
      <c r="AS213" s="36">
        <v>0</v>
      </c>
      <c r="AT213" s="36">
        <v>0</v>
      </c>
      <c r="AU213" s="36">
        <v>0</v>
      </c>
      <c r="AV213" s="36">
        <v>0</v>
      </c>
      <c r="AW213" s="36">
        <v>0</v>
      </c>
      <c r="AX213" s="36">
        <v>0</v>
      </c>
      <c r="AY213" s="36">
        <v>0</v>
      </c>
      <c r="AZ213" s="36">
        <v>0</v>
      </c>
      <c r="BA213" s="36">
        <v>0</v>
      </c>
      <c r="BB213" s="36">
        <v>0</v>
      </c>
      <c r="BC213" s="36">
        <v>0</v>
      </c>
      <c r="BD213" s="36">
        <v>0</v>
      </c>
      <c r="BE213" s="36">
        <v>0</v>
      </c>
      <c r="BF213" s="36">
        <v>0</v>
      </c>
      <c r="BG213" s="36">
        <v>0</v>
      </c>
      <c r="BH213" s="36">
        <v>0</v>
      </c>
      <c r="BI213" s="36">
        <v>0</v>
      </c>
      <c r="BJ213" s="36">
        <v>0</v>
      </c>
      <c r="BK213" s="36">
        <v>7586.4483718431329</v>
      </c>
      <c r="BL213" s="36">
        <v>10218.801960298073</v>
      </c>
      <c r="BM213" s="36">
        <v>3403.893396817758</v>
      </c>
      <c r="BN213" s="36">
        <v>690.78339823570775</v>
      </c>
      <c r="BO213" s="36">
        <v>68.534511242440857</v>
      </c>
      <c r="BP213" s="36">
        <v>7054.6802967732765</v>
      </c>
      <c r="BQ213" s="36">
        <v>140565.3956051782</v>
      </c>
      <c r="BR213" s="36">
        <v>1307.3122756620676</v>
      </c>
      <c r="BS213" s="36">
        <v>426.98143694835409</v>
      </c>
      <c r="BT213" s="36">
        <v>8461.6798769354009</v>
      </c>
      <c r="BU213" s="36">
        <v>4649.8903166151185</v>
      </c>
      <c r="BV213" s="36">
        <v>0</v>
      </c>
      <c r="BW213" s="36">
        <v>11645.851937330524</v>
      </c>
      <c r="BX213" s="36">
        <v>7336.690059610316</v>
      </c>
      <c r="BY213" s="36">
        <v>1881.0877813663874</v>
      </c>
      <c r="BZ213" s="36">
        <v>3645.3259189534742</v>
      </c>
      <c r="CA213" s="36">
        <v>12640.162876627015</v>
      </c>
      <c r="CB213" s="36">
        <v>2777.2796907309144</v>
      </c>
      <c r="CC213" s="36">
        <v>11791.462813727949</v>
      </c>
      <c r="CD213" s="36">
        <v>2250.8588287531602</v>
      </c>
      <c r="CE213" s="36">
        <v>1970.052610206983</v>
      </c>
      <c r="CF213" s="36">
        <v>1511.6240687977652</v>
      </c>
      <c r="CG213" s="36">
        <v>4526.3081345797073</v>
      </c>
      <c r="CH213" s="36">
        <v>7793.2679742252058</v>
      </c>
      <c r="CI213" s="36">
        <v>11021.896635650357</v>
      </c>
      <c r="CJ213" s="36">
        <v>2735.6629207740389</v>
      </c>
      <c r="CK213" s="36">
        <v>3381.1204951618283</v>
      </c>
      <c r="CL213" s="36">
        <v>7070.8146255421125</v>
      </c>
      <c r="CM213" s="36">
        <v>4476.0319196891387</v>
      </c>
      <c r="CN213" s="36">
        <v>606.92513301555766</v>
      </c>
      <c r="CO213" s="36">
        <v>4258.8058998238694</v>
      </c>
      <c r="CP213" s="36">
        <v>3008.6829724031918</v>
      </c>
      <c r="CQ213" s="36">
        <v>32642.322290849952</v>
      </c>
      <c r="CR213" s="36">
        <v>3932.8648260888785</v>
      </c>
      <c r="CS213" s="36">
        <v>14394.84368346577</v>
      </c>
      <c r="CT213" s="36">
        <v>5261.1727565350875</v>
      </c>
      <c r="CU213" s="36">
        <v>18713.865669532068</v>
      </c>
      <c r="CV213" s="36">
        <v>4159.6831130048749</v>
      </c>
      <c r="CW213" s="36">
        <v>3564.0627482540344</v>
      </c>
      <c r="CX213" s="36">
        <v>73017.399438140783</v>
      </c>
      <c r="CY213" s="36">
        <v>73522.524713281557</v>
      </c>
      <c r="CZ213" s="36">
        <v>4934.4009272561116</v>
      </c>
      <c r="DA213" s="36">
        <v>39626.62833874613</v>
      </c>
      <c r="DB213" s="36">
        <v>10865.071880223686</v>
      </c>
      <c r="DC213" s="36">
        <v>31467.967092431121</v>
      </c>
      <c r="DD213" s="36">
        <v>16597.323489356</v>
      </c>
      <c r="DE213" s="36">
        <v>19632.780280280898</v>
      </c>
      <c r="DF213" s="36">
        <v>4422.805430473386</v>
      </c>
      <c r="DG213" s="36">
        <v>4701.13332884394</v>
      </c>
      <c r="DH213" s="36">
        <v>3866.9681182154995</v>
      </c>
      <c r="DI213" s="36">
        <v>1221.9413832941436</v>
      </c>
      <c r="DJ213" s="36">
        <v>639.34760841434741</v>
      </c>
      <c r="DK213" s="36">
        <v>3083.0199981508426</v>
      </c>
      <c r="DL213" s="36">
        <v>8396.1253121469454</v>
      </c>
      <c r="DM213" s="36">
        <v>3381.9356489511647</v>
      </c>
      <c r="DN213" s="36">
        <v>12041.61972972534</v>
      </c>
      <c r="DO213" s="36">
        <v>3509.2195611769353</v>
      </c>
      <c r="DP213" s="36">
        <v>2515.7815157328018</v>
      </c>
      <c r="DQ213" s="36">
        <v>16273.97895645967</v>
      </c>
      <c r="DR213" s="36">
        <v>33695.154969220144</v>
      </c>
      <c r="DS213" s="36">
        <v>2061.061690560105</v>
      </c>
      <c r="DT213" s="36">
        <v>21246.332146092464</v>
      </c>
      <c r="DU213" s="36">
        <v>41450.938503980877</v>
      </c>
      <c r="DV213" s="36">
        <v>10279.142994555024</v>
      </c>
      <c r="DW213" s="36">
        <v>24862.414126540432</v>
      </c>
      <c r="DX213" s="36">
        <v>62957.375552529484</v>
      </c>
      <c r="DY213" s="36">
        <v>8074.5946996917382</v>
      </c>
      <c r="DZ213" s="36">
        <v>24292.754938480364</v>
      </c>
      <c r="EA213" s="36">
        <v>46643.368973250603</v>
      </c>
      <c r="EB213" s="36">
        <v>73423.153486023308</v>
      </c>
      <c r="EC213" s="36">
        <v>39957.928067166402</v>
      </c>
      <c r="ED213" s="36">
        <v>204697.08484668712</v>
      </c>
      <c r="EE213" s="36">
        <v>7156.7031585529157</v>
      </c>
      <c r="EF213" s="36">
        <v>1093.345307781156</v>
      </c>
      <c r="EG213" s="36">
        <v>1853.1897341850724</v>
      </c>
      <c r="EH213" s="36">
        <v>14425.257597848235</v>
      </c>
      <c r="EI213" s="36">
        <v>2694.2861975292976</v>
      </c>
      <c r="EJ213" s="36">
        <v>64.366256113681075</v>
      </c>
      <c r="EK213" s="36">
        <v>0</v>
      </c>
      <c r="EL213" s="36">
        <v>0</v>
      </c>
      <c r="EM213" s="36">
        <v>16302.474520779129</v>
      </c>
      <c r="EN213" s="36">
        <v>9426.9674488724595</v>
      </c>
      <c r="EO213" s="36">
        <v>39586.431559199453</v>
      </c>
      <c r="EP213" s="36">
        <v>0</v>
      </c>
      <c r="EQ213" s="36">
        <v>0</v>
      </c>
      <c r="ER213" s="36">
        <v>0</v>
      </c>
      <c r="ES213" s="36">
        <v>0</v>
      </c>
      <c r="ET213" s="36">
        <v>0</v>
      </c>
      <c r="EU213" s="36">
        <v>3121.0292469999999</v>
      </c>
      <c r="EV213" s="36">
        <v>1326</v>
      </c>
      <c r="EW213" s="36">
        <v>4350</v>
      </c>
      <c r="EX213" s="36">
        <v>0</v>
      </c>
      <c r="EY213" s="36">
        <v>0</v>
      </c>
      <c r="EZ213" s="36">
        <v>0</v>
      </c>
      <c r="FA213" s="36">
        <v>3089.5802934566918</v>
      </c>
      <c r="FB213" s="36">
        <v>1483.4410588699934</v>
      </c>
      <c r="FC213" s="36">
        <v>3558.2470957844316</v>
      </c>
      <c r="FD213" s="36">
        <v>29032.730733532801</v>
      </c>
      <c r="FE213" s="36">
        <v>26190.830757207183</v>
      </c>
      <c r="FF213" s="36">
        <v>24101.191785269166</v>
      </c>
      <c r="FG213" s="36">
        <v>0</v>
      </c>
      <c r="FH213" s="36">
        <v>6391.3680875381751</v>
      </c>
      <c r="FI213" s="36">
        <v>900.72529649082446</v>
      </c>
      <c r="FJ213" s="36">
        <v>0</v>
      </c>
      <c r="FK213" s="36">
        <v>0</v>
      </c>
      <c r="FL213" s="36">
        <v>4813.5910855871598</v>
      </c>
      <c r="FM213" s="36">
        <v>310.76833029886643</v>
      </c>
      <c r="FN213" s="36">
        <v>0</v>
      </c>
      <c r="FO213" s="36">
        <v>0</v>
      </c>
      <c r="FP213" s="44">
        <v>3768.9522122379858</v>
      </c>
      <c r="FQ213" s="44">
        <v>2839.1181592906942</v>
      </c>
      <c r="FR213" s="44">
        <v>1814.8342383606941</v>
      </c>
      <c r="FS213" s="44">
        <v>1564.7801853343262</v>
      </c>
      <c r="FT213" s="44">
        <v>1350.74589714795</v>
      </c>
      <c r="FU213" s="44">
        <v>27.906502397420809</v>
      </c>
      <c r="FV213" s="44">
        <v>1100.5891920422728</v>
      </c>
      <c r="FW213" s="44">
        <v>819.81088142262888</v>
      </c>
      <c r="FX213" s="44">
        <v>1232.3193885176443</v>
      </c>
      <c r="FY213" s="44">
        <v>688.94334324826195</v>
      </c>
      <c r="FZ213" s="45">
        <v>9654.5354456855948</v>
      </c>
      <c r="GA213" s="45">
        <v>73330.696578030998</v>
      </c>
      <c r="GB213" s="45">
        <v>82161.054879127405</v>
      </c>
      <c r="GC213" s="45">
        <v>11076.600278489959</v>
      </c>
      <c r="GD213" s="45">
        <v>28658.630439588578</v>
      </c>
      <c r="GE213" s="45">
        <v>43150.482379077621</v>
      </c>
      <c r="GF213" s="36">
        <v>14929</v>
      </c>
      <c r="GG213" s="42">
        <v>5.2150852801797223</v>
      </c>
      <c r="GH213" s="42">
        <v>20.903269099647215</v>
      </c>
      <c r="GI213" s="42">
        <v>48.708155480601391</v>
      </c>
      <c r="GJ213" s="42">
        <v>107.72203415810456</v>
      </c>
      <c r="GK213" s="42">
        <v>272.62089922019049</v>
      </c>
      <c r="GL213" s="42">
        <v>525.48799670764163</v>
      </c>
      <c r="GM213" s="42">
        <v>915.50273143645552</v>
      </c>
      <c r="GN213" s="42">
        <v>2761.1966776373547</v>
      </c>
      <c r="GO213" s="42">
        <v>5872.932460956069</v>
      </c>
      <c r="GP213" s="42">
        <v>1908.0634240246306</v>
      </c>
      <c r="GQ213" s="42">
        <v>2604.2495876465014</v>
      </c>
      <c r="GR213" s="42">
        <v>3965.8183002916876</v>
      </c>
      <c r="GS213" s="42">
        <v>3910.9644373944184</v>
      </c>
      <c r="GT213" s="42">
        <v>7665.6149406665199</v>
      </c>
      <c r="GU213" s="36">
        <v>49782</v>
      </c>
      <c r="GV213" s="36">
        <v>0</v>
      </c>
      <c r="GW213" s="36">
        <v>0</v>
      </c>
      <c r="GX213" s="36">
        <v>0</v>
      </c>
      <c r="GY213" s="36">
        <v>0</v>
      </c>
      <c r="GZ213" s="36">
        <v>0</v>
      </c>
      <c r="HA213" s="36">
        <v>0</v>
      </c>
      <c r="HB213" s="36">
        <v>0</v>
      </c>
      <c r="HC213" s="36">
        <f t="shared" si="3"/>
        <v>1860600.9331292261</v>
      </c>
      <c r="HD213" s="36">
        <f>SUM(HB$5:HB$213)</f>
        <v>1860600.933129227</v>
      </c>
      <c r="HE213" s="41">
        <v>0</v>
      </c>
    </row>
    <row r="214" spans="1:213" x14ac:dyDescent="0.2">
      <c r="A214" s="9" t="s">
        <v>124</v>
      </c>
      <c r="B214" s="36">
        <f t="shared" ref="B214:BM214" si="4">SUM(B$5:B$213)</f>
        <v>317177.17920191219</v>
      </c>
      <c r="C214" s="36">
        <f t="shared" si="4"/>
        <v>15004.489103571586</v>
      </c>
      <c r="D214" s="36">
        <f t="shared" si="4"/>
        <v>20115.800067532065</v>
      </c>
      <c r="E214" s="36">
        <f t="shared" si="4"/>
        <v>148651.96816003579</v>
      </c>
      <c r="F214" s="36">
        <f t="shared" si="4"/>
        <v>86695.783461950021</v>
      </c>
      <c r="G214" s="36">
        <f t="shared" si="4"/>
        <v>462676.28493673267</v>
      </c>
      <c r="H214" s="36">
        <f t="shared" si="4"/>
        <v>84977.764971564306</v>
      </c>
      <c r="I214" s="36">
        <f t="shared" si="4"/>
        <v>383542.3398829471</v>
      </c>
      <c r="J214" s="36">
        <f t="shared" si="4"/>
        <v>135073.78051535576</v>
      </c>
      <c r="K214" s="36">
        <f t="shared" si="4"/>
        <v>27971.440577105292</v>
      </c>
      <c r="L214" s="36">
        <f t="shared" si="4"/>
        <v>40117.426990149906</v>
      </c>
      <c r="M214" s="36">
        <f t="shared" si="4"/>
        <v>8010.7851417102838</v>
      </c>
      <c r="N214" s="36">
        <f t="shared" si="4"/>
        <v>6403.2560825832797</v>
      </c>
      <c r="O214" s="36">
        <f t="shared" si="4"/>
        <v>36291.145179120605</v>
      </c>
      <c r="P214" s="36">
        <f t="shared" si="4"/>
        <v>96288.109807211891</v>
      </c>
      <c r="Q214" s="36">
        <f t="shared" si="4"/>
        <v>64377.107546137078</v>
      </c>
      <c r="R214" s="36">
        <f t="shared" si="4"/>
        <v>348633.43571924255</v>
      </c>
      <c r="S214" s="36">
        <f t="shared" si="4"/>
        <v>107759.02260074028</v>
      </c>
      <c r="T214" s="36">
        <f t="shared" si="4"/>
        <v>137585.11176869116</v>
      </c>
      <c r="U214" s="36">
        <f t="shared" si="4"/>
        <v>21056.909241257006</v>
      </c>
      <c r="V214" s="36">
        <f t="shared" si="4"/>
        <v>49088.475788189491</v>
      </c>
      <c r="W214" s="36">
        <f t="shared" si="4"/>
        <v>10157.615275682674</v>
      </c>
      <c r="X214" s="36">
        <f t="shared" si="4"/>
        <v>60777.989321058456</v>
      </c>
      <c r="Y214" s="36">
        <f t="shared" si="4"/>
        <v>227063.60457398026</v>
      </c>
      <c r="Z214" s="36">
        <f t="shared" si="4"/>
        <v>120486.05184048806</v>
      </c>
      <c r="AA214" s="36">
        <f t="shared" si="4"/>
        <v>138677.9317363381</v>
      </c>
      <c r="AB214" s="36">
        <f t="shared" si="4"/>
        <v>65651.79890125207</v>
      </c>
      <c r="AC214" s="36">
        <f t="shared" si="4"/>
        <v>17007.20471626952</v>
      </c>
      <c r="AD214" s="36">
        <f t="shared" si="4"/>
        <v>13528.608981878162</v>
      </c>
      <c r="AE214" s="36">
        <f t="shared" si="4"/>
        <v>292598.62942698848</v>
      </c>
      <c r="AF214" s="36">
        <f t="shared" si="4"/>
        <v>24015.423628872224</v>
      </c>
      <c r="AG214" s="36">
        <f t="shared" si="4"/>
        <v>17511.757630090098</v>
      </c>
      <c r="AH214" s="36">
        <f t="shared" si="4"/>
        <v>55009.567143934153</v>
      </c>
      <c r="AI214" s="36">
        <f t="shared" si="4"/>
        <v>274785.18735246378</v>
      </c>
      <c r="AJ214" s="36">
        <f t="shared" si="4"/>
        <v>63783.086826287981</v>
      </c>
      <c r="AK214" s="36">
        <f t="shared" si="4"/>
        <v>412707.62263494998</v>
      </c>
      <c r="AL214" s="36">
        <f t="shared" si="4"/>
        <v>468972.89896174963</v>
      </c>
      <c r="AM214" s="36">
        <f t="shared" si="4"/>
        <v>299195.88313172862</v>
      </c>
      <c r="AN214" s="36">
        <f t="shared" si="4"/>
        <v>184517.86027437967</v>
      </c>
      <c r="AO214" s="36">
        <f t="shared" si="4"/>
        <v>156779.30513866918</v>
      </c>
      <c r="AP214" s="36">
        <f t="shared" si="4"/>
        <v>295036.64570915024</v>
      </c>
      <c r="AQ214" s="36">
        <f t="shared" si="4"/>
        <v>6896.2804447260914</v>
      </c>
      <c r="AR214" s="36">
        <f t="shared" si="4"/>
        <v>79623.062274342563</v>
      </c>
      <c r="AS214" s="36">
        <f t="shared" si="4"/>
        <v>196715.28271942024</v>
      </c>
      <c r="AT214" s="36">
        <f t="shared" si="4"/>
        <v>383446.80456068995</v>
      </c>
      <c r="AU214" s="36">
        <f t="shared" si="4"/>
        <v>305728.78607900004</v>
      </c>
      <c r="AV214" s="36">
        <f t="shared" si="4"/>
        <v>124950</v>
      </c>
      <c r="AW214" s="36">
        <f t="shared" si="4"/>
        <v>269468.85897310392</v>
      </c>
      <c r="AX214" s="36">
        <f t="shared" si="4"/>
        <v>541571.84952895541</v>
      </c>
      <c r="AY214" s="36">
        <f t="shared" si="4"/>
        <v>51930.69272746559</v>
      </c>
      <c r="AZ214" s="36">
        <f t="shared" si="4"/>
        <v>159852.99159252481</v>
      </c>
      <c r="BA214" s="36">
        <f t="shared" si="4"/>
        <v>20859.983543101491</v>
      </c>
      <c r="BB214" s="36">
        <f t="shared" si="4"/>
        <v>654519.63628581632</v>
      </c>
      <c r="BC214" s="36">
        <f t="shared" si="4"/>
        <v>687736.15515491646</v>
      </c>
      <c r="BD214" s="36">
        <f t="shared" si="4"/>
        <v>487883.67462986964</v>
      </c>
      <c r="BE214" s="36">
        <f t="shared" si="4"/>
        <v>379119.11264279392</v>
      </c>
      <c r="BF214" s="36">
        <f t="shared" si="4"/>
        <v>47062.764305930163</v>
      </c>
      <c r="BG214" s="36">
        <f t="shared" si="4"/>
        <v>18633.256844639767</v>
      </c>
      <c r="BH214" s="36">
        <f t="shared" si="4"/>
        <v>98396.843540465474</v>
      </c>
      <c r="BI214" s="36">
        <f t="shared" si="4"/>
        <v>8573.2367336686802</v>
      </c>
      <c r="BJ214" s="36">
        <f t="shared" si="4"/>
        <v>717946.67467586044</v>
      </c>
      <c r="BK214" s="36">
        <f t="shared" si="4"/>
        <v>75679.753509102869</v>
      </c>
      <c r="BL214" s="36">
        <f t="shared" si="4"/>
        <v>117263.63128110992</v>
      </c>
      <c r="BM214" s="36">
        <f t="shared" si="4"/>
        <v>101213.14711078833</v>
      </c>
      <c r="BN214" s="36">
        <f t="shared" ref="BN214:DY214" si="5">SUM(BN$5:BN$213)</f>
        <v>21121.527036943953</v>
      </c>
      <c r="BO214" s="36">
        <f t="shared" si="5"/>
        <v>10944.978044863545</v>
      </c>
      <c r="BP214" s="36">
        <f t="shared" si="5"/>
        <v>150383.33236432765</v>
      </c>
      <c r="BQ214" s="36">
        <f t="shared" si="5"/>
        <v>156760.51464564906</v>
      </c>
      <c r="BR214" s="36">
        <f t="shared" si="5"/>
        <v>311015.59869494726</v>
      </c>
      <c r="BS214" s="36">
        <f t="shared" si="5"/>
        <v>33049.035713990997</v>
      </c>
      <c r="BT214" s="36">
        <f t="shared" si="5"/>
        <v>46195.572806543532</v>
      </c>
      <c r="BU214" s="36">
        <f t="shared" si="5"/>
        <v>295471.90797732788</v>
      </c>
      <c r="BV214" s="36">
        <f t="shared" si="5"/>
        <v>65421.00115822121</v>
      </c>
      <c r="BW214" s="36">
        <f t="shared" si="5"/>
        <v>147983.4459071077</v>
      </c>
      <c r="BX214" s="36">
        <f t="shared" si="5"/>
        <v>32766.924917909739</v>
      </c>
      <c r="BY214" s="36">
        <f t="shared" si="5"/>
        <v>26261.812144328953</v>
      </c>
      <c r="BZ214" s="36">
        <f t="shared" si="5"/>
        <v>49042.018017997238</v>
      </c>
      <c r="CA214" s="36">
        <f t="shared" si="5"/>
        <v>61889.563300323956</v>
      </c>
      <c r="CB214" s="36">
        <f t="shared" si="5"/>
        <v>90059.44337110284</v>
      </c>
      <c r="CC214" s="36">
        <f t="shared" si="5"/>
        <v>74454.02569939656</v>
      </c>
      <c r="CD214" s="36">
        <f t="shared" si="5"/>
        <v>45875.414556379983</v>
      </c>
      <c r="CE214" s="36">
        <f t="shared" si="5"/>
        <v>49234.451744719394</v>
      </c>
      <c r="CF214" s="36">
        <f t="shared" si="5"/>
        <v>29568.504023369456</v>
      </c>
      <c r="CG214" s="36">
        <f t="shared" si="5"/>
        <v>28674.693435067507</v>
      </c>
      <c r="CH214" s="36">
        <f t="shared" si="5"/>
        <v>90346.999009560386</v>
      </c>
      <c r="CI214" s="36">
        <f t="shared" si="5"/>
        <v>192992.19009362231</v>
      </c>
      <c r="CJ214" s="36">
        <f t="shared" si="5"/>
        <v>72528.676599686878</v>
      </c>
      <c r="CK214" s="36">
        <f t="shared" si="5"/>
        <v>62775.885669813586</v>
      </c>
      <c r="CL214" s="36">
        <f t="shared" si="5"/>
        <v>27059.441497503602</v>
      </c>
      <c r="CM214" s="36">
        <f t="shared" si="5"/>
        <v>30153.990932680554</v>
      </c>
      <c r="CN214" s="36">
        <f t="shared" si="5"/>
        <v>17637.797698701059</v>
      </c>
      <c r="CO214" s="36">
        <f t="shared" si="5"/>
        <v>15061.992509205698</v>
      </c>
      <c r="CP214" s="36">
        <f t="shared" si="5"/>
        <v>7497.3400427172219</v>
      </c>
      <c r="CQ214" s="36">
        <f t="shared" si="5"/>
        <v>134571.26834357428</v>
      </c>
      <c r="CR214" s="36">
        <f t="shared" si="5"/>
        <v>16750.836087077965</v>
      </c>
      <c r="CS214" s="36">
        <f t="shared" si="5"/>
        <v>43307.76797339601</v>
      </c>
      <c r="CT214" s="36">
        <f t="shared" si="5"/>
        <v>46498.183101640963</v>
      </c>
      <c r="CU214" s="36">
        <f t="shared" si="5"/>
        <v>129113.57515909255</v>
      </c>
      <c r="CV214" s="36">
        <f t="shared" si="5"/>
        <v>46724.801058894765</v>
      </c>
      <c r="CW214" s="36">
        <f t="shared" si="5"/>
        <v>64436.050385121584</v>
      </c>
      <c r="CX214" s="36">
        <f t="shared" si="5"/>
        <v>545677.92785544298</v>
      </c>
      <c r="CY214" s="36">
        <f t="shared" si="5"/>
        <v>205120.23872323317</v>
      </c>
      <c r="CZ214" s="36">
        <f t="shared" si="5"/>
        <v>33570.152935706385</v>
      </c>
      <c r="DA214" s="36">
        <f t="shared" si="5"/>
        <v>123499.22182950735</v>
      </c>
      <c r="DB214" s="36">
        <f t="shared" si="5"/>
        <v>75857.863518126149</v>
      </c>
      <c r="DC214" s="36">
        <f t="shared" si="5"/>
        <v>71515.892619569582</v>
      </c>
      <c r="DD214" s="36">
        <f t="shared" si="5"/>
        <v>59005.607640639071</v>
      </c>
      <c r="DE214" s="36">
        <f t="shared" si="5"/>
        <v>76971.765380052137</v>
      </c>
      <c r="DF214" s="36">
        <f t="shared" si="5"/>
        <v>19704.766495152471</v>
      </c>
      <c r="DG214" s="36">
        <f t="shared" si="5"/>
        <v>13144.543504770787</v>
      </c>
      <c r="DH214" s="36">
        <f t="shared" si="5"/>
        <v>22118.696052544845</v>
      </c>
      <c r="DI214" s="36">
        <f t="shared" si="5"/>
        <v>28470.33460358196</v>
      </c>
      <c r="DJ214" s="36">
        <f t="shared" si="5"/>
        <v>24914.304346660563</v>
      </c>
      <c r="DK214" s="36">
        <f t="shared" si="5"/>
        <v>16380.911858695063</v>
      </c>
      <c r="DL214" s="36">
        <f t="shared" si="5"/>
        <v>62847.96805053491</v>
      </c>
      <c r="DM214" s="36">
        <f t="shared" si="5"/>
        <v>33627.838742105567</v>
      </c>
      <c r="DN214" s="36">
        <f t="shared" si="5"/>
        <v>60764.491620106324</v>
      </c>
      <c r="DO214" s="36">
        <f t="shared" si="5"/>
        <v>44816.437779798158</v>
      </c>
      <c r="DP214" s="36">
        <f t="shared" si="5"/>
        <v>126979.49935566314</v>
      </c>
      <c r="DQ214" s="36">
        <f t="shared" si="5"/>
        <v>91556.539034077738</v>
      </c>
      <c r="DR214" s="36">
        <f t="shared" si="5"/>
        <v>300524.06669548509</v>
      </c>
      <c r="DS214" s="36">
        <f t="shared" si="5"/>
        <v>66609.941846004906</v>
      </c>
      <c r="DT214" s="36">
        <f t="shared" si="5"/>
        <v>95813.202545757507</v>
      </c>
      <c r="DU214" s="36">
        <f t="shared" si="5"/>
        <v>89716.354761023365</v>
      </c>
      <c r="DV214" s="36">
        <f t="shared" si="5"/>
        <v>20984.843614577476</v>
      </c>
      <c r="DW214" s="36">
        <f t="shared" si="5"/>
        <v>82204.098360910066</v>
      </c>
      <c r="DX214" s="36">
        <f t="shared" si="5"/>
        <v>123132.8583627066</v>
      </c>
      <c r="DY214" s="36">
        <f t="shared" si="5"/>
        <v>33166.268878468589</v>
      </c>
      <c r="DZ214" s="36">
        <f t="shared" ref="DZ214:GK214" si="6">SUM(DZ$5:DZ$213)</f>
        <v>92464.875672154885</v>
      </c>
      <c r="EA214" s="36">
        <f t="shared" si="6"/>
        <v>115589.78002071165</v>
      </c>
      <c r="EB214" s="36">
        <f t="shared" si="6"/>
        <v>251033.37165958493</v>
      </c>
      <c r="EC214" s="36">
        <f t="shared" si="6"/>
        <v>67436.680314587182</v>
      </c>
      <c r="ED214" s="36">
        <f t="shared" si="6"/>
        <v>526564.3330946425</v>
      </c>
      <c r="EE214" s="36">
        <f t="shared" si="6"/>
        <v>44006.04357145125</v>
      </c>
      <c r="EF214" s="36">
        <f t="shared" si="6"/>
        <v>5154.347993923755</v>
      </c>
      <c r="EG214" s="36">
        <f t="shared" si="6"/>
        <v>11069.686627487506</v>
      </c>
      <c r="EH214" s="36">
        <f t="shared" si="6"/>
        <v>20480.130824187854</v>
      </c>
      <c r="EI214" s="36">
        <f t="shared" si="6"/>
        <v>14766.696612187421</v>
      </c>
      <c r="EJ214" s="36">
        <f t="shared" si="6"/>
        <v>498391.22087760642</v>
      </c>
      <c r="EK214" s="36">
        <f t="shared" si="6"/>
        <v>395158.36594525463</v>
      </c>
      <c r="EL214" s="36">
        <f t="shared" si="6"/>
        <v>396433.96784483822</v>
      </c>
      <c r="EM214" s="36">
        <f t="shared" si="6"/>
        <v>93444.331179330475</v>
      </c>
      <c r="EN214" s="36">
        <f t="shared" si="6"/>
        <v>185048.48423613186</v>
      </c>
      <c r="EO214" s="36">
        <f t="shared" si="6"/>
        <v>270327.71412751143</v>
      </c>
      <c r="EP214" s="36">
        <f t="shared" si="6"/>
        <v>246106.3162606312</v>
      </c>
      <c r="EQ214" s="36">
        <f t="shared" si="6"/>
        <v>206472.89892952814</v>
      </c>
      <c r="ER214" s="36">
        <f t="shared" si="6"/>
        <v>24560.250811977763</v>
      </c>
      <c r="ES214" s="36">
        <f t="shared" si="6"/>
        <v>28332.010975322366</v>
      </c>
      <c r="ET214" s="36">
        <f t="shared" si="6"/>
        <v>3207.9258476772634</v>
      </c>
      <c r="EU214" s="36">
        <f t="shared" si="6"/>
        <v>174210.53030630478</v>
      </c>
      <c r="EV214" s="36">
        <f t="shared" si="6"/>
        <v>141352.34691867363</v>
      </c>
      <c r="EW214" s="36">
        <f t="shared" si="6"/>
        <v>229271.60032553357</v>
      </c>
      <c r="EX214" s="36">
        <f t="shared" si="6"/>
        <v>182559.01537048473</v>
      </c>
      <c r="EY214" s="36">
        <f t="shared" si="6"/>
        <v>288509.67988046427</v>
      </c>
      <c r="EZ214" s="36">
        <f t="shared" si="6"/>
        <v>272544.02540155267</v>
      </c>
      <c r="FA214" s="36">
        <f t="shared" si="6"/>
        <v>90819.329479098466</v>
      </c>
      <c r="FB214" s="36">
        <f t="shared" si="6"/>
        <v>46741.797596530887</v>
      </c>
      <c r="FC214" s="36">
        <f t="shared" si="6"/>
        <v>154800.76266430577</v>
      </c>
      <c r="FD214" s="36">
        <f t="shared" si="6"/>
        <v>611012.38101985713</v>
      </c>
      <c r="FE214" s="36">
        <f t="shared" si="6"/>
        <v>274685.58708526514</v>
      </c>
      <c r="FF214" s="36">
        <f t="shared" si="6"/>
        <v>459501.25272800005</v>
      </c>
      <c r="FG214" s="36">
        <f t="shared" si="6"/>
        <v>29772.769190859821</v>
      </c>
      <c r="FH214" s="36">
        <f t="shared" si="6"/>
        <v>754933.55566256039</v>
      </c>
      <c r="FI214" s="36">
        <f t="shared" si="6"/>
        <v>471035.94606869086</v>
      </c>
      <c r="FJ214" s="36">
        <f t="shared" si="6"/>
        <v>380566.27011409221</v>
      </c>
      <c r="FK214" s="36">
        <f t="shared" si="6"/>
        <v>28348.467125595605</v>
      </c>
      <c r="FL214" s="36">
        <f t="shared" si="6"/>
        <v>166232.35220484386</v>
      </c>
      <c r="FM214" s="36">
        <f t="shared" si="6"/>
        <v>96931.714096127907</v>
      </c>
      <c r="FN214" s="36">
        <f t="shared" si="6"/>
        <v>62421.93654970808</v>
      </c>
      <c r="FO214" s="36">
        <f t="shared" si="6"/>
        <v>871302.31351352064</v>
      </c>
      <c r="FP214" s="36">
        <f t="shared" si="6"/>
        <v>680322.14396536432</v>
      </c>
      <c r="FQ214" s="36">
        <f t="shared" si="6"/>
        <v>512480.61645035056</v>
      </c>
      <c r="FR214" s="36">
        <f t="shared" si="6"/>
        <v>327590.22944739222</v>
      </c>
      <c r="FS214" s="36">
        <f t="shared" si="6"/>
        <v>282453.72999543149</v>
      </c>
      <c r="FT214" s="36">
        <f t="shared" si="6"/>
        <v>243819.04915542473</v>
      </c>
      <c r="FU214" s="36">
        <f t="shared" si="6"/>
        <v>5037.318191496599</v>
      </c>
      <c r="FV214" s="36">
        <f t="shared" si="6"/>
        <v>198664.0202876699</v>
      </c>
      <c r="FW214" s="36">
        <f t="shared" si="6"/>
        <v>147981.5781915641</v>
      </c>
      <c r="FX214" s="36">
        <f t="shared" si="6"/>
        <v>222442.23891301948</v>
      </c>
      <c r="FY214" s="36">
        <f t="shared" si="6"/>
        <v>124359.07540228619</v>
      </c>
      <c r="FZ214" s="36">
        <f t="shared" si="6"/>
        <v>90175.694463100066</v>
      </c>
      <c r="GA214" s="36">
        <f t="shared" si="6"/>
        <v>684926.42930239253</v>
      </c>
      <c r="GB214" s="36">
        <f t="shared" si="6"/>
        <v>767404.11004002043</v>
      </c>
      <c r="GC214" s="36">
        <f t="shared" si="6"/>
        <v>103458.12369971252</v>
      </c>
      <c r="GD214" s="36">
        <f t="shared" si="6"/>
        <v>267678.53479745745</v>
      </c>
      <c r="GE214" s="36">
        <f t="shared" si="6"/>
        <v>403035.93444156303</v>
      </c>
      <c r="GF214" s="36">
        <f t="shared" si="6"/>
        <v>3422155</v>
      </c>
      <c r="GG214" s="36">
        <f t="shared" si="6"/>
        <v>79599.021644944267</v>
      </c>
      <c r="GH214" s="36">
        <f t="shared" si="6"/>
        <v>115602.40072840135</v>
      </c>
      <c r="GI214" s="36">
        <f t="shared" si="6"/>
        <v>142361.58189683312</v>
      </c>
      <c r="GJ214" s="36">
        <f t="shared" si="6"/>
        <v>165836.14066385679</v>
      </c>
      <c r="GK214" s="36">
        <f t="shared" si="6"/>
        <v>194950.79276041451</v>
      </c>
      <c r="GL214" s="36">
        <f t="shared" ref="GL214:GU214" si="7">SUM(GL$5:GL$213)</f>
        <v>259412.59053672021</v>
      </c>
      <c r="GM214" s="36">
        <f t="shared" si="7"/>
        <v>320504.25222436996</v>
      </c>
      <c r="GN214" s="36">
        <f t="shared" si="7"/>
        <v>513605.90607517329</v>
      </c>
      <c r="GO214" s="36">
        <f t="shared" si="7"/>
        <v>981609.9241340654</v>
      </c>
      <c r="GP214" s="36">
        <f t="shared" si="7"/>
        <v>274431.09612400742</v>
      </c>
      <c r="GQ214" s="36">
        <f t="shared" si="7"/>
        <v>317821.65170358546</v>
      </c>
      <c r="GR214" s="36">
        <f t="shared" si="7"/>
        <v>397027.13945904962</v>
      </c>
      <c r="GS214" s="36">
        <f t="shared" si="7"/>
        <v>512220.83048920601</v>
      </c>
      <c r="GT214" s="36">
        <f t="shared" si="7"/>
        <v>892167.18134239479</v>
      </c>
      <c r="GU214" s="36">
        <f t="shared" si="7"/>
        <v>2722930.5357754175</v>
      </c>
      <c r="GV214" s="36">
        <f t="shared" ref="GV214:HA214" si="8">SUM(GV$5:GV$213)</f>
        <v>106419.70903117261</v>
      </c>
      <c r="GW214" s="36">
        <f t="shared" si="8"/>
        <v>519804.99999999994</v>
      </c>
      <c r="GX214" s="36">
        <f t="shared" si="8"/>
        <v>48933.999999999964</v>
      </c>
      <c r="GY214" s="36">
        <f t="shared" si="8"/>
        <v>773858</v>
      </c>
      <c r="GZ214" s="36">
        <f t="shared" si="8"/>
        <v>889950.32401825674</v>
      </c>
      <c r="HA214" s="36">
        <f t="shared" si="8"/>
        <v>24451.050778094304</v>
      </c>
      <c r="HB214" s="36">
        <f>SUM(HB$5:HB$213)</f>
        <v>1860600.933129227</v>
      </c>
      <c r="HC214" s="36"/>
      <c r="HE214" s="20" cm="1">
        <f t="array" ref="HE214">SUM(ABS(_xlfn.ANCHORARRAY(HE5)))</f>
        <v>0</v>
      </c>
    </row>
  </sheetData>
  <hyperlinks>
    <hyperlink ref="A1" location="'Contents'!A1" display="Contents" xr:uid="{CFE1204D-E893-4547-B323-3A1BCF93D9D8}"/>
  </hyperlinks>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EC4FF-BC14-4DA6-AD7E-6C74C72553E4}">
  <sheetPr codeName="Sheet10">
    <tabColor rgb="FF7030A0"/>
  </sheetPr>
  <dimension ref="A1:L65"/>
  <sheetViews>
    <sheetView zoomScale="110" zoomScaleNormal="110" workbookViewId="0">
      <pane xSplit="1" ySplit="2" topLeftCell="B3" activePane="bottomRight" state="frozen"/>
      <selection pane="topRight"/>
      <selection pane="bottomLeft"/>
      <selection pane="bottomRight"/>
    </sheetView>
  </sheetViews>
  <sheetFormatPr defaultRowHeight="12.75" outlineLevelRow="1" x14ac:dyDescent="0.2"/>
  <cols>
    <col min="1" max="1" width="9.140625" style="24"/>
    <col min="2" max="2" width="12.140625" style="24" bestFit="1" customWidth="1"/>
    <col min="3" max="11" width="9.140625" style="24"/>
    <col min="12" max="12" width="10.140625" style="24" bestFit="1" customWidth="1"/>
    <col min="13" max="16384" width="9.140625" style="24"/>
  </cols>
  <sheetData>
    <row r="1" spans="1:12" ht="15" x14ac:dyDescent="0.25">
      <c r="A1" s="90" t="s">
        <v>1618</v>
      </c>
    </row>
    <row r="2" spans="1:12" s="34" customFormat="1" ht="63" customHeight="1" x14ac:dyDescent="0.25">
      <c r="A2" s="14" t="s">
        <v>1522</v>
      </c>
      <c r="B2" s="33" t="s">
        <v>1577</v>
      </c>
      <c r="C2" s="33" t="s">
        <v>1578</v>
      </c>
      <c r="D2" s="33" t="s">
        <v>1581</v>
      </c>
      <c r="E2" s="33" t="s">
        <v>1584</v>
      </c>
      <c r="F2" s="33" t="s">
        <v>1585</v>
      </c>
      <c r="G2" s="33" t="s">
        <v>1579</v>
      </c>
      <c r="H2" s="33" t="s">
        <v>1586</v>
      </c>
      <c r="I2" s="33" t="s">
        <v>1580</v>
      </c>
      <c r="J2" s="33" t="s">
        <v>1582</v>
      </c>
      <c r="K2" s="33" t="s">
        <v>1583</v>
      </c>
      <c r="L2" s="33" t="s">
        <v>128</v>
      </c>
    </row>
    <row r="3" spans="1:12" x14ac:dyDescent="0.2">
      <c r="A3" s="11"/>
      <c r="B3" s="12" t="s">
        <v>1525</v>
      </c>
      <c r="C3" s="13" t="s">
        <v>1523</v>
      </c>
      <c r="D3" s="13" t="s">
        <v>1524</v>
      </c>
      <c r="E3" s="13" t="s">
        <v>1526</v>
      </c>
      <c r="F3" s="13" t="s">
        <v>1527</v>
      </c>
      <c r="G3" s="13" t="s">
        <v>1528</v>
      </c>
      <c r="H3" s="13" t="s">
        <v>1529</v>
      </c>
      <c r="I3" s="13" t="s">
        <v>1530</v>
      </c>
      <c r="J3" s="13" t="s">
        <v>1531</v>
      </c>
      <c r="K3" s="13" t="s">
        <v>1532</v>
      </c>
      <c r="L3" s="13" t="s">
        <v>128</v>
      </c>
    </row>
    <row r="4" spans="1:12" x14ac:dyDescent="0.2">
      <c r="A4" s="9" t="s">
        <v>141</v>
      </c>
      <c r="B4" s="35">
        <v>28848</v>
      </c>
      <c r="C4" s="35">
        <v>1283</v>
      </c>
      <c r="D4" s="35">
        <v>5221</v>
      </c>
      <c r="E4" s="35">
        <v>10089</v>
      </c>
      <c r="F4" s="35">
        <v>9258</v>
      </c>
      <c r="G4" s="35">
        <v>42739</v>
      </c>
      <c r="H4" s="35">
        <v>12450</v>
      </c>
      <c r="I4" s="35">
        <v>61536.999999999993</v>
      </c>
      <c r="J4" s="35">
        <v>620972</v>
      </c>
      <c r="K4" s="35">
        <v>0</v>
      </c>
      <c r="L4" s="36">
        <f t="shared" ref="L4:L35" si="0">SUM(B4:K4)</f>
        <v>792397</v>
      </c>
    </row>
    <row r="5" spans="1:12" x14ac:dyDescent="0.2">
      <c r="A5" s="9" t="s">
        <v>146</v>
      </c>
      <c r="B5" s="35">
        <v>918</v>
      </c>
      <c r="C5" s="35">
        <v>0</v>
      </c>
      <c r="D5" s="35">
        <v>918</v>
      </c>
      <c r="E5" s="35">
        <v>349</v>
      </c>
      <c r="F5" s="35">
        <v>1887</v>
      </c>
      <c r="G5" s="35">
        <v>6156</v>
      </c>
      <c r="H5" s="35">
        <v>192</v>
      </c>
      <c r="I5" s="35">
        <v>12635</v>
      </c>
      <c r="J5" s="35">
        <v>37364</v>
      </c>
      <c r="K5" s="35">
        <v>0</v>
      </c>
      <c r="L5" s="36">
        <f t="shared" si="0"/>
        <v>60419</v>
      </c>
    </row>
    <row r="6" spans="1:12" hidden="1" outlineLevel="1" x14ac:dyDescent="0.2">
      <c r="A6" s="9" t="s">
        <v>151</v>
      </c>
      <c r="B6" s="35">
        <v>898</v>
      </c>
      <c r="C6" s="35">
        <v>0</v>
      </c>
      <c r="D6" s="35">
        <v>1303</v>
      </c>
      <c r="E6" s="35">
        <v>0</v>
      </c>
      <c r="F6" s="35">
        <v>0</v>
      </c>
      <c r="G6" s="35">
        <v>4542</v>
      </c>
      <c r="H6" s="35">
        <v>0</v>
      </c>
      <c r="I6" s="35">
        <v>0</v>
      </c>
      <c r="J6" s="35">
        <v>1512</v>
      </c>
      <c r="K6" s="35">
        <v>0</v>
      </c>
      <c r="L6" s="36">
        <f t="shared" si="0"/>
        <v>8255</v>
      </c>
    </row>
    <row r="7" spans="1:12" hidden="1" outlineLevel="1" x14ac:dyDescent="0.2">
      <c r="A7" s="9" t="s">
        <v>154</v>
      </c>
      <c r="B7" s="35">
        <v>1649.9999999999998</v>
      </c>
      <c r="C7" s="35">
        <v>1453</v>
      </c>
      <c r="D7" s="35">
        <v>5755</v>
      </c>
      <c r="E7" s="35">
        <v>3709.0000000000005</v>
      </c>
      <c r="F7" s="35">
        <v>513</v>
      </c>
      <c r="G7" s="35">
        <v>0</v>
      </c>
      <c r="H7" s="35">
        <v>29708</v>
      </c>
      <c r="I7" s="35">
        <v>27904</v>
      </c>
      <c r="J7" s="35">
        <v>5716</v>
      </c>
      <c r="K7" s="35">
        <v>0</v>
      </c>
      <c r="L7" s="36">
        <f t="shared" si="0"/>
        <v>76408</v>
      </c>
    </row>
    <row r="8" spans="1:12" hidden="1" outlineLevel="1" x14ac:dyDescent="0.2">
      <c r="A8" s="9" t="s">
        <v>158</v>
      </c>
      <c r="B8" s="35">
        <v>3402</v>
      </c>
      <c r="C8" s="35">
        <v>2670.0000000000005</v>
      </c>
      <c r="D8" s="35">
        <v>4929</v>
      </c>
      <c r="E8" s="35">
        <v>6224</v>
      </c>
      <c r="F8" s="35">
        <v>798</v>
      </c>
      <c r="G8" s="35">
        <v>0</v>
      </c>
      <c r="H8" s="35">
        <v>8470</v>
      </c>
      <c r="I8" s="35">
        <v>8235</v>
      </c>
      <c r="J8" s="35">
        <v>6043</v>
      </c>
      <c r="K8" s="35">
        <v>0</v>
      </c>
      <c r="L8" s="36">
        <f t="shared" si="0"/>
        <v>40771</v>
      </c>
    </row>
    <row r="9" spans="1:12" hidden="1" outlineLevel="1" x14ac:dyDescent="0.2">
      <c r="A9" s="9" t="s">
        <v>161</v>
      </c>
      <c r="B9" s="35">
        <v>1544</v>
      </c>
      <c r="C9" s="35">
        <v>1025</v>
      </c>
      <c r="D9" s="35">
        <v>2539</v>
      </c>
      <c r="E9" s="35">
        <v>3186</v>
      </c>
      <c r="F9" s="35">
        <v>2826</v>
      </c>
      <c r="G9" s="35">
        <v>0</v>
      </c>
      <c r="H9" s="35">
        <v>14116</v>
      </c>
      <c r="I9" s="35">
        <v>23483</v>
      </c>
      <c r="J9" s="35">
        <v>14262</v>
      </c>
      <c r="K9" s="35">
        <v>0</v>
      </c>
      <c r="L9" s="36">
        <f t="shared" si="0"/>
        <v>62981</v>
      </c>
    </row>
    <row r="10" spans="1:12" hidden="1" outlineLevel="1" x14ac:dyDescent="0.2">
      <c r="A10" s="9" t="s">
        <v>166</v>
      </c>
      <c r="B10" s="35">
        <v>4290</v>
      </c>
      <c r="C10" s="35">
        <v>3211</v>
      </c>
      <c r="D10" s="35">
        <v>5650</v>
      </c>
      <c r="E10" s="35">
        <v>8188</v>
      </c>
      <c r="F10" s="35">
        <v>1952.9999999999998</v>
      </c>
      <c r="G10" s="35">
        <v>0</v>
      </c>
      <c r="H10" s="35">
        <v>58799</v>
      </c>
      <c r="I10" s="35">
        <v>67600</v>
      </c>
      <c r="J10" s="35">
        <v>81908</v>
      </c>
      <c r="K10" s="35">
        <v>0</v>
      </c>
      <c r="L10" s="36">
        <f t="shared" si="0"/>
        <v>231599</v>
      </c>
    </row>
    <row r="11" spans="1:12" hidden="1" outlineLevel="1" x14ac:dyDescent="0.2">
      <c r="A11" s="9" t="s">
        <v>171</v>
      </c>
      <c r="B11" s="35">
        <v>19707</v>
      </c>
      <c r="C11" s="35">
        <v>2539</v>
      </c>
      <c r="D11" s="35">
        <v>27706</v>
      </c>
      <c r="E11" s="35">
        <v>30414</v>
      </c>
      <c r="F11" s="35">
        <v>8192</v>
      </c>
      <c r="G11" s="35">
        <v>821.99999999999989</v>
      </c>
      <c r="H11" s="35">
        <v>66638</v>
      </c>
      <c r="I11" s="35">
        <v>48830</v>
      </c>
      <c r="J11" s="35">
        <v>103284</v>
      </c>
      <c r="K11" s="35">
        <v>0</v>
      </c>
      <c r="L11" s="36">
        <f t="shared" si="0"/>
        <v>308132</v>
      </c>
    </row>
    <row r="12" spans="1:12" hidden="1" outlineLevel="1" x14ac:dyDescent="0.2">
      <c r="A12" s="9" t="s">
        <v>175</v>
      </c>
      <c r="B12" s="35">
        <v>12366.000000000002</v>
      </c>
      <c r="C12" s="35">
        <v>3279</v>
      </c>
      <c r="D12" s="35">
        <v>9635</v>
      </c>
      <c r="E12" s="35">
        <v>5839</v>
      </c>
      <c r="F12" s="35">
        <v>12114</v>
      </c>
      <c r="G12" s="35">
        <v>0</v>
      </c>
      <c r="H12" s="35">
        <v>1319</v>
      </c>
      <c r="I12" s="35">
        <v>13271</v>
      </c>
      <c r="J12" s="35">
        <v>12754</v>
      </c>
      <c r="K12" s="35">
        <v>0</v>
      </c>
      <c r="L12" s="36">
        <f t="shared" si="0"/>
        <v>70577</v>
      </c>
    </row>
    <row r="13" spans="1:12" hidden="1" outlineLevel="1" x14ac:dyDescent="0.2">
      <c r="A13" s="9" t="s">
        <v>180</v>
      </c>
      <c r="B13" s="35">
        <v>6115</v>
      </c>
      <c r="C13" s="35">
        <v>0</v>
      </c>
      <c r="D13" s="35">
        <v>549</v>
      </c>
      <c r="E13" s="35">
        <v>4895</v>
      </c>
      <c r="F13" s="35">
        <v>368</v>
      </c>
      <c r="G13" s="35">
        <v>0</v>
      </c>
      <c r="H13" s="35">
        <v>18297</v>
      </c>
      <c r="I13" s="35">
        <v>13305</v>
      </c>
      <c r="J13" s="35">
        <v>8118.0000000000009</v>
      </c>
      <c r="K13" s="35">
        <v>0</v>
      </c>
      <c r="L13" s="36">
        <f t="shared" si="0"/>
        <v>51647</v>
      </c>
    </row>
    <row r="14" spans="1:12" hidden="1" outlineLevel="1" x14ac:dyDescent="0.2">
      <c r="A14" s="9" t="s">
        <v>185</v>
      </c>
      <c r="B14" s="35">
        <v>7849</v>
      </c>
      <c r="C14" s="35">
        <v>0</v>
      </c>
      <c r="D14" s="35">
        <v>10108</v>
      </c>
      <c r="E14" s="35">
        <v>4326</v>
      </c>
      <c r="F14" s="35">
        <v>2362</v>
      </c>
      <c r="G14" s="35">
        <v>0</v>
      </c>
      <c r="H14" s="35">
        <v>54416</v>
      </c>
      <c r="I14" s="35">
        <v>63902.999999999993</v>
      </c>
      <c r="J14" s="35">
        <v>25509</v>
      </c>
      <c r="K14" s="35">
        <v>0</v>
      </c>
      <c r="L14" s="36">
        <f t="shared" si="0"/>
        <v>168473</v>
      </c>
    </row>
    <row r="15" spans="1:12" hidden="1" outlineLevel="1" x14ac:dyDescent="0.2">
      <c r="A15" s="9" t="s">
        <v>190</v>
      </c>
      <c r="B15" s="35">
        <v>0</v>
      </c>
      <c r="C15" s="35">
        <v>0</v>
      </c>
      <c r="D15" s="35">
        <v>528</v>
      </c>
      <c r="E15" s="35">
        <v>0</v>
      </c>
      <c r="F15" s="35">
        <v>177</v>
      </c>
      <c r="G15" s="35">
        <v>0</v>
      </c>
      <c r="H15" s="35">
        <v>1480</v>
      </c>
      <c r="I15" s="35">
        <v>4573</v>
      </c>
      <c r="J15" s="35">
        <v>772</v>
      </c>
      <c r="K15" s="35">
        <v>0</v>
      </c>
      <c r="L15" s="36">
        <f t="shared" si="0"/>
        <v>7530</v>
      </c>
    </row>
    <row r="16" spans="1:12" hidden="1" outlineLevel="1" x14ac:dyDescent="0.2">
      <c r="A16" s="9" t="s">
        <v>196</v>
      </c>
      <c r="B16" s="35">
        <v>598</v>
      </c>
      <c r="C16" s="35">
        <v>0</v>
      </c>
      <c r="D16" s="35">
        <v>604.99999999999989</v>
      </c>
      <c r="E16" s="35">
        <v>1250.0000000000002</v>
      </c>
      <c r="F16" s="35">
        <v>0</v>
      </c>
      <c r="G16" s="35">
        <v>0</v>
      </c>
      <c r="H16" s="35">
        <v>9261</v>
      </c>
      <c r="I16" s="35">
        <v>4580</v>
      </c>
      <c r="J16" s="35">
        <v>1399</v>
      </c>
      <c r="K16" s="35">
        <v>0</v>
      </c>
      <c r="L16" s="36">
        <f t="shared" si="0"/>
        <v>17693</v>
      </c>
    </row>
    <row r="17" spans="1:12" hidden="1" outlineLevel="1" x14ac:dyDescent="0.2">
      <c r="A17" s="9" t="s">
        <v>202</v>
      </c>
      <c r="B17" s="35">
        <v>3394</v>
      </c>
      <c r="C17" s="35">
        <v>0</v>
      </c>
      <c r="D17" s="35">
        <v>3295</v>
      </c>
      <c r="E17" s="35">
        <v>2194</v>
      </c>
      <c r="F17" s="35">
        <v>572</v>
      </c>
      <c r="G17" s="35">
        <v>246</v>
      </c>
      <c r="H17" s="35">
        <v>22338</v>
      </c>
      <c r="I17" s="35">
        <v>13088</v>
      </c>
      <c r="J17" s="35">
        <v>12490</v>
      </c>
      <c r="K17" s="35">
        <v>0</v>
      </c>
      <c r="L17" s="36">
        <f t="shared" si="0"/>
        <v>57617</v>
      </c>
    </row>
    <row r="18" spans="1:12" hidden="1" outlineLevel="1" x14ac:dyDescent="0.2">
      <c r="A18" s="9" t="s">
        <v>206</v>
      </c>
      <c r="B18" s="35">
        <v>5343</v>
      </c>
      <c r="C18" s="35">
        <v>354</v>
      </c>
      <c r="D18" s="35">
        <v>4776</v>
      </c>
      <c r="E18" s="35">
        <v>5457</v>
      </c>
      <c r="F18" s="35">
        <v>221</v>
      </c>
      <c r="G18" s="35">
        <v>0</v>
      </c>
      <c r="H18" s="35">
        <v>4822</v>
      </c>
      <c r="I18" s="35">
        <v>15469</v>
      </c>
      <c r="J18" s="35">
        <v>6775</v>
      </c>
      <c r="K18" s="35">
        <v>0</v>
      </c>
      <c r="L18" s="36">
        <f t="shared" si="0"/>
        <v>43217</v>
      </c>
    </row>
    <row r="19" spans="1:12" hidden="1" outlineLevel="1" x14ac:dyDescent="0.2">
      <c r="A19" s="9" t="s">
        <v>212</v>
      </c>
      <c r="B19" s="35">
        <v>12364</v>
      </c>
      <c r="C19" s="35">
        <v>2798</v>
      </c>
      <c r="D19" s="35">
        <v>8561</v>
      </c>
      <c r="E19" s="35">
        <v>6168</v>
      </c>
      <c r="F19" s="35">
        <v>2539</v>
      </c>
      <c r="G19" s="35">
        <v>0</v>
      </c>
      <c r="H19" s="35">
        <v>10284</v>
      </c>
      <c r="I19" s="35">
        <v>14509</v>
      </c>
      <c r="J19" s="35">
        <v>11053</v>
      </c>
      <c r="K19" s="35">
        <v>0</v>
      </c>
      <c r="L19" s="36">
        <f t="shared" si="0"/>
        <v>68276</v>
      </c>
    </row>
    <row r="20" spans="1:12" hidden="1" outlineLevel="1" x14ac:dyDescent="0.2">
      <c r="A20" s="9" t="s">
        <v>218</v>
      </c>
      <c r="B20" s="35">
        <v>5346</v>
      </c>
      <c r="C20" s="35">
        <v>1698</v>
      </c>
      <c r="D20" s="35">
        <v>6975</v>
      </c>
      <c r="E20" s="35">
        <v>5073</v>
      </c>
      <c r="F20" s="35">
        <v>927.00000000000011</v>
      </c>
      <c r="G20" s="35">
        <v>0</v>
      </c>
      <c r="H20" s="35">
        <v>6887.0000000000009</v>
      </c>
      <c r="I20" s="35">
        <v>10642</v>
      </c>
      <c r="J20" s="35">
        <v>1365</v>
      </c>
      <c r="K20" s="35">
        <v>0</v>
      </c>
      <c r="L20" s="36">
        <f t="shared" si="0"/>
        <v>38913</v>
      </c>
    </row>
    <row r="21" spans="1:12" hidden="1" outlineLevel="1" x14ac:dyDescent="0.2">
      <c r="A21" s="9" t="s">
        <v>223</v>
      </c>
      <c r="B21" s="35">
        <v>2539</v>
      </c>
      <c r="C21" s="35">
        <v>0</v>
      </c>
      <c r="D21" s="35">
        <v>262</v>
      </c>
      <c r="E21" s="35">
        <v>1695.9999999999998</v>
      </c>
      <c r="F21" s="35">
        <v>470</v>
      </c>
      <c r="G21" s="35">
        <v>0</v>
      </c>
      <c r="H21" s="35">
        <v>1013</v>
      </c>
      <c r="I21" s="35">
        <v>4443</v>
      </c>
      <c r="J21" s="35">
        <v>2083</v>
      </c>
      <c r="K21" s="35">
        <v>0</v>
      </c>
      <c r="L21" s="36">
        <f t="shared" si="0"/>
        <v>12506</v>
      </c>
    </row>
    <row r="22" spans="1:12" hidden="1" outlineLevel="1" x14ac:dyDescent="0.2">
      <c r="A22" s="9" t="s">
        <v>229</v>
      </c>
      <c r="B22" s="35">
        <v>18611</v>
      </c>
      <c r="C22" s="35">
        <v>3447.9999999999995</v>
      </c>
      <c r="D22" s="35">
        <v>9489</v>
      </c>
      <c r="E22" s="35">
        <v>9060</v>
      </c>
      <c r="F22" s="35">
        <v>1619</v>
      </c>
      <c r="G22" s="35">
        <v>0</v>
      </c>
      <c r="H22" s="35">
        <v>5770</v>
      </c>
      <c r="I22" s="35">
        <v>21892</v>
      </c>
      <c r="J22" s="35">
        <v>24054.999999999996</v>
      </c>
      <c r="K22" s="35">
        <v>0</v>
      </c>
      <c r="L22" s="36">
        <f t="shared" si="0"/>
        <v>93944</v>
      </c>
    </row>
    <row r="23" spans="1:12" hidden="1" outlineLevel="1" x14ac:dyDescent="0.2">
      <c r="A23" s="9" t="s">
        <v>235</v>
      </c>
      <c r="B23" s="35">
        <v>3155</v>
      </c>
      <c r="C23" s="35">
        <v>280</v>
      </c>
      <c r="D23" s="35">
        <v>1830</v>
      </c>
      <c r="E23" s="35">
        <v>1572</v>
      </c>
      <c r="F23" s="35">
        <v>0</v>
      </c>
      <c r="G23" s="35">
        <v>0</v>
      </c>
      <c r="H23" s="35">
        <v>1540</v>
      </c>
      <c r="I23" s="35">
        <v>9042</v>
      </c>
      <c r="J23" s="35">
        <v>1218</v>
      </c>
      <c r="K23" s="35">
        <v>0</v>
      </c>
      <c r="L23" s="36">
        <f t="shared" si="0"/>
        <v>18637</v>
      </c>
    </row>
    <row r="24" spans="1:12" hidden="1" outlineLevel="1" x14ac:dyDescent="0.2">
      <c r="A24" s="9" t="s">
        <v>238</v>
      </c>
      <c r="B24" s="35">
        <v>4151</v>
      </c>
      <c r="C24" s="35">
        <v>1324</v>
      </c>
      <c r="D24" s="35">
        <v>2656</v>
      </c>
      <c r="E24" s="35">
        <v>6157</v>
      </c>
      <c r="F24" s="35">
        <v>458</v>
      </c>
      <c r="G24" s="35">
        <v>0</v>
      </c>
      <c r="H24" s="35">
        <v>5959</v>
      </c>
      <c r="I24" s="35">
        <v>20965</v>
      </c>
      <c r="J24" s="35">
        <v>10520</v>
      </c>
      <c r="K24" s="35">
        <v>0</v>
      </c>
      <c r="L24" s="36">
        <f t="shared" si="0"/>
        <v>52190</v>
      </c>
    </row>
    <row r="25" spans="1:12" hidden="1" outlineLevel="1" x14ac:dyDescent="0.2">
      <c r="A25" s="9" t="s">
        <v>243</v>
      </c>
      <c r="B25" s="35">
        <v>2998</v>
      </c>
      <c r="C25" s="35">
        <v>1482</v>
      </c>
      <c r="D25" s="35">
        <v>858</v>
      </c>
      <c r="E25" s="35">
        <v>1771</v>
      </c>
      <c r="F25" s="35">
        <v>0</v>
      </c>
      <c r="G25" s="35">
        <v>0</v>
      </c>
      <c r="H25" s="35">
        <v>2008</v>
      </c>
      <c r="I25" s="35">
        <v>3184</v>
      </c>
      <c r="J25" s="35">
        <v>3138</v>
      </c>
      <c r="K25" s="35">
        <v>0</v>
      </c>
      <c r="L25" s="36">
        <f t="shared" si="0"/>
        <v>15439</v>
      </c>
    </row>
    <row r="26" spans="1:12" collapsed="1" x14ac:dyDescent="0.2">
      <c r="A26" s="9" t="s">
        <v>249</v>
      </c>
      <c r="B26" s="35">
        <v>7914</v>
      </c>
      <c r="C26" s="35">
        <v>503.99999999999994</v>
      </c>
      <c r="D26" s="35">
        <v>2895</v>
      </c>
      <c r="E26" s="35">
        <v>8284</v>
      </c>
      <c r="F26" s="35">
        <v>1089</v>
      </c>
      <c r="G26" s="35">
        <v>0</v>
      </c>
      <c r="H26" s="35">
        <v>41675</v>
      </c>
      <c r="I26" s="35">
        <v>25950</v>
      </c>
      <c r="J26" s="35">
        <v>24009</v>
      </c>
      <c r="K26" s="35">
        <v>0</v>
      </c>
      <c r="L26" s="36">
        <f t="shared" si="0"/>
        <v>112320</v>
      </c>
    </row>
    <row r="27" spans="1:12" x14ac:dyDescent="0.2">
      <c r="A27" s="10" t="s">
        <v>1459</v>
      </c>
      <c r="B27" s="37">
        <v>10458</v>
      </c>
      <c r="C27" s="37">
        <v>3038</v>
      </c>
      <c r="D27" s="37">
        <v>4842</v>
      </c>
      <c r="E27" s="37">
        <v>6408</v>
      </c>
      <c r="F27" s="37">
        <v>2756</v>
      </c>
      <c r="G27" s="37">
        <v>0</v>
      </c>
      <c r="H27" s="37">
        <v>37677</v>
      </c>
      <c r="I27" s="37">
        <v>37390</v>
      </c>
      <c r="J27" s="37">
        <v>9924</v>
      </c>
      <c r="K27" s="37">
        <v>0</v>
      </c>
      <c r="L27" s="38">
        <f t="shared" si="0"/>
        <v>112493</v>
      </c>
    </row>
    <row r="28" spans="1:12" x14ac:dyDescent="0.2">
      <c r="A28" s="9" t="s">
        <v>264</v>
      </c>
      <c r="B28" s="35">
        <v>19793</v>
      </c>
      <c r="C28" s="35">
        <v>1325</v>
      </c>
      <c r="D28" s="35">
        <v>5636</v>
      </c>
      <c r="E28" s="35">
        <v>5882</v>
      </c>
      <c r="F28" s="35">
        <v>3795</v>
      </c>
      <c r="G28" s="35">
        <v>0</v>
      </c>
      <c r="H28" s="35">
        <v>92188</v>
      </c>
      <c r="I28" s="35">
        <v>23394.999999999996</v>
      </c>
      <c r="J28" s="35">
        <v>11017</v>
      </c>
      <c r="K28" s="35">
        <v>0</v>
      </c>
      <c r="L28" s="36">
        <f t="shared" si="0"/>
        <v>163031</v>
      </c>
    </row>
    <row r="29" spans="1:12" hidden="1" outlineLevel="1" x14ac:dyDescent="0.2">
      <c r="A29" s="9" t="s">
        <v>269</v>
      </c>
      <c r="B29" s="35">
        <v>16005</v>
      </c>
      <c r="C29" s="35">
        <v>3853</v>
      </c>
      <c r="D29" s="35">
        <v>5740</v>
      </c>
      <c r="E29" s="35">
        <v>8432</v>
      </c>
      <c r="F29" s="35">
        <v>2882</v>
      </c>
      <c r="G29" s="35">
        <v>0</v>
      </c>
      <c r="H29" s="35">
        <v>20362</v>
      </c>
      <c r="I29" s="35">
        <v>12996</v>
      </c>
      <c r="J29" s="35">
        <v>4301</v>
      </c>
      <c r="K29" s="35">
        <v>0</v>
      </c>
      <c r="L29" s="36">
        <f t="shared" si="0"/>
        <v>74571</v>
      </c>
    </row>
    <row r="30" spans="1:12" hidden="1" outlineLevel="1" x14ac:dyDescent="0.2">
      <c r="A30" s="9" t="s">
        <v>275</v>
      </c>
      <c r="B30" s="35">
        <v>8488</v>
      </c>
      <c r="C30" s="35">
        <v>3463</v>
      </c>
      <c r="D30" s="35">
        <v>3680</v>
      </c>
      <c r="E30" s="35">
        <v>5018</v>
      </c>
      <c r="F30" s="35">
        <v>1632</v>
      </c>
      <c r="G30" s="35">
        <v>0</v>
      </c>
      <c r="H30" s="35">
        <v>7701.0000000000009</v>
      </c>
      <c r="I30" s="35">
        <v>7663</v>
      </c>
      <c r="J30" s="35">
        <v>7180</v>
      </c>
      <c r="K30" s="35">
        <v>0</v>
      </c>
      <c r="L30" s="36">
        <f t="shared" si="0"/>
        <v>44825</v>
      </c>
    </row>
    <row r="31" spans="1:12" hidden="1" outlineLevel="1" x14ac:dyDescent="0.2">
      <c r="A31" s="9" t="s">
        <v>281</v>
      </c>
      <c r="B31" s="35">
        <v>3099</v>
      </c>
      <c r="C31" s="35">
        <v>0</v>
      </c>
      <c r="D31" s="35">
        <v>3221</v>
      </c>
      <c r="E31" s="35">
        <v>2377</v>
      </c>
      <c r="F31" s="35">
        <v>0</v>
      </c>
      <c r="G31" s="35">
        <v>0</v>
      </c>
      <c r="H31" s="35">
        <v>1581</v>
      </c>
      <c r="I31" s="35">
        <v>2108</v>
      </c>
      <c r="J31" s="35">
        <v>2368</v>
      </c>
      <c r="K31" s="35">
        <v>0</v>
      </c>
      <c r="L31" s="36">
        <f t="shared" si="0"/>
        <v>14754</v>
      </c>
    </row>
    <row r="32" spans="1:12" hidden="1" outlineLevel="1" x14ac:dyDescent="0.2">
      <c r="A32" s="9" t="s">
        <v>286</v>
      </c>
      <c r="B32" s="35">
        <v>1249</v>
      </c>
      <c r="C32" s="35">
        <v>978</v>
      </c>
      <c r="D32" s="35">
        <v>647</v>
      </c>
      <c r="E32" s="35">
        <v>2850</v>
      </c>
      <c r="F32" s="35">
        <v>0</v>
      </c>
      <c r="G32" s="35">
        <v>0</v>
      </c>
      <c r="H32" s="35">
        <v>841</v>
      </c>
      <c r="I32" s="35">
        <v>2217</v>
      </c>
      <c r="J32" s="35">
        <v>228</v>
      </c>
      <c r="K32" s="35">
        <v>0</v>
      </c>
      <c r="L32" s="36">
        <f t="shared" si="0"/>
        <v>9010</v>
      </c>
    </row>
    <row r="33" spans="1:12" hidden="1" outlineLevel="1" x14ac:dyDescent="0.2">
      <c r="A33" s="9" t="s">
        <v>291</v>
      </c>
      <c r="B33" s="35">
        <v>9203</v>
      </c>
      <c r="C33" s="35">
        <v>5775</v>
      </c>
      <c r="D33" s="35">
        <v>11448</v>
      </c>
      <c r="E33" s="35">
        <v>6289</v>
      </c>
      <c r="F33" s="35">
        <v>3548</v>
      </c>
      <c r="G33" s="35">
        <v>0</v>
      </c>
      <c r="H33" s="35">
        <v>15252</v>
      </c>
      <c r="I33" s="35">
        <v>32625</v>
      </c>
      <c r="J33" s="35">
        <v>9247</v>
      </c>
      <c r="K33" s="35">
        <v>0</v>
      </c>
      <c r="L33" s="36">
        <f t="shared" si="0"/>
        <v>93387</v>
      </c>
    </row>
    <row r="34" spans="1:12" hidden="1" outlineLevel="1" x14ac:dyDescent="0.2">
      <c r="A34" s="9" t="s">
        <v>295</v>
      </c>
      <c r="B34" s="35">
        <v>551</v>
      </c>
      <c r="C34" s="35">
        <v>175</v>
      </c>
      <c r="D34" s="35">
        <v>1721</v>
      </c>
      <c r="E34" s="35">
        <v>282</v>
      </c>
      <c r="F34" s="35">
        <v>0</v>
      </c>
      <c r="G34" s="35">
        <v>0</v>
      </c>
      <c r="H34" s="35">
        <v>3615</v>
      </c>
      <c r="I34" s="35">
        <v>380</v>
      </c>
      <c r="J34" s="35">
        <v>545</v>
      </c>
      <c r="K34" s="35">
        <v>0</v>
      </c>
      <c r="L34" s="36">
        <f t="shared" si="0"/>
        <v>7269</v>
      </c>
    </row>
    <row r="35" spans="1:12" hidden="1" outlineLevel="1" x14ac:dyDescent="0.2">
      <c r="A35" s="9" t="s">
        <v>300</v>
      </c>
      <c r="B35" s="35">
        <v>8297</v>
      </c>
      <c r="C35" s="35">
        <v>0</v>
      </c>
      <c r="D35" s="35">
        <v>3867.0000000000005</v>
      </c>
      <c r="E35" s="35">
        <v>5297</v>
      </c>
      <c r="F35" s="35">
        <v>1446</v>
      </c>
      <c r="G35" s="35">
        <v>0</v>
      </c>
      <c r="H35" s="35">
        <v>20605</v>
      </c>
      <c r="I35" s="35">
        <v>11437</v>
      </c>
      <c r="J35" s="35">
        <v>9882</v>
      </c>
      <c r="K35" s="35">
        <v>0</v>
      </c>
      <c r="L35" s="36">
        <f t="shared" si="0"/>
        <v>60831</v>
      </c>
    </row>
    <row r="36" spans="1:12" hidden="1" outlineLevel="1" x14ac:dyDescent="0.2">
      <c r="A36" s="9" t="s">
        <v>305</v>
      </c>
      <c r="B36" s="35">
        <v>5195</v>
      </c>
      <c r="C36" s="35">
        <v>0</v>
      </c>
      <c r="D36" s="35">
        <v>858</v>
      </c>
      <c r="E36" s="35">
        <v>5183</v>
      </c>
      <c r="F36" s="35">
        <v>191</v>
      </c>
      <c r="G36" s="35">
        <v>0</v>
      </c>
      <c r="H36" s="35">
        <v>8631</v>
      </c>
      <c r="I36" s="35">
        <v>4349</v>
      </c>
      <c r="J36" s="35">
        <v>20781</v>
      </c>
      <c r="K36" s="35">
        <v>0</v>
      </c>
      <c r="L36" s="36">
        <f t="shared" ref="L36:L64" si="1">SUM(B36:K36)</f>
        <v>45188</v>
      </c>
    </row>
    <row r="37" spans="1:12" hidden="1" outlineLevel="1" x14ac:dyDescent="0.2">
      <c r="A37" s="9" t="s">
        <v>309</v>
      </c>
      <c r="B37" s="35">
        <v>16354</v>
      </c>
      <c r="C37" s="35">
        <v>7177</v>
      </c>
      <c r="D37" s="35">
        <v>13858</v>
      </c>
      <c r="E37" s="35">
        <v>10090</v>
      </c>
      <c r="F37" s="35">
        <v>2310</v>
      </c>
      <c r="G37" s="35">
        <v>0</v>
      </c>
      <c r="H37" s="35">
        <v>30767.000000000004</v>
      </c>
      <c r="I37" s="35">
        <v>14963.999999999998</v>
      </c>
      <c r="J37" s="35">
        <v>4376</v>
      </c>
      <c r="K37" s="35">
        <v>0</v>
      </c>
      <c r="L37" s="36">
        <f t="shared" si="1"/>
        <v>99896</v>
      </c>
    </row>
    <row r="38" spans="1:12" hidden="1" outlineLevel="1" x14ac:dyDescent="0.2">
      <c r="A38" s="9" t="s">
        <v>313</v>
      </c>
      <c r="B38" s="35">
        <v>1889.286848648504</v>
      </c>
      <c r="C38" s="35">
        <v>1208.1927385503836</v>
      </c>
      <c r="D38" s="35">
        <v>2352.3068203085313</v>
      </c>
      <c r="E38" s="35">
        <v>4536.1487848568295</v>
      </c>
      <c r="F38" s="35">
        <v>670.75884287356621</v>
      </c>
      <c r="G38" s="35">
        <v>0</v>
      </c>
      <c r="H38" s="35">
        <v>1523.4183888992861</v>
      </c>
      <c r="I38" s="35">
        <v>23801.086891425821</v>
      </c>
      <c r="J38" s="35">
        <v>2675.8006844370775</v>
      </c>
      <c r="K38" s="35">
        <v>0</v>
      </c>
      <c r="L38" s="36">
        <f t="shared" si="1"/>
        <v>38657</v>
      </c>
    </row>
    <row r="39" spans="1:12" hidden="1" outlineLevel="1" x14ac:dyDescent="0.2">
      <c r="A39" s="9" t="s">
        <v>318</v>
      </c>
      <c r="B39" s="35">
        <v>131401.00538234544</v>
      </c>
      <c r="C39" s="35">
        <v>12061.846113311285</v>
      </c>
      <c r="D39" s="35">
        <v>25736.072683928964</v>
      </c>
      <c r="E39" s="35">
        <v>36181.537395871062</v>
      </c>
      <c r="F39" s="35">
        <v>3633.8574450335764</v>
      </c>
      <c r="G39" s="35">
        <v>1225.2891192309748</v>
      </c>
      <c r="H39" s="35">
        <v>793414.21402467636</v>
      </c>
      <c r="I39" s="35">
        <v>39994.437087714716</v>
      </c>
      <c r="J39" s="35">
        <v>304037.74074788776</v>
      </c>
      <c r="K39" s="35">
        <v>0</v>
      </c>
      <c r="L39" s="36">
        <f t="shared" si="1"/>
        <v>1347686</v>
      </c>
    </row>
    <row r="40" spans="1:12" hidden="1" outlineLevel="1" x14ac:dyDescent="0.2">
      <c r="A40" s="9" t="s">
        <v>324</v>
      </c>
      <c r="B40" s="35">
        <v>26475</v>
      </c>
      <c r="C40" s="35">
        <v>1329</v>
      </c>
      <c r="D40" s="35">
        <v>10691</v>
      </c>
      <c r="E40" s="35">
        <v>27409</v>
      </c>
      <c r="F40" s="35">
        <v>26724</v>
      </c>
      <c r="G40" s="35">
        <v>0</v>
      </c>
      <c r="H40" s="35">
        <v>8542</v>
      </c>
      <c r="I40" s="35">
        <v>23043</v>
      </c>
      <c r="J40" s="35">
        <v>39778</v>
      </c>
      <c r="K40" s="35">
        <v>0</v>
      </c>
      <c r="L40" s="36">
        <f t="shared" si="1"/>
        <v>163991</v>
      </c>
    </row>
    <row r="41" spans="1:12" hidden="1" outlineLevel="1" x14ac:dyDescent="0.2">
      <c r="A41" s="9" t="s">
        <v>329</v>
      </c>
      <c r="B41" s="35">
        <v>161353</v>
      </c>
      <c r="C41" s="35">
        <v>16517</v>
      </c>
      <c r="D41" s="35">
        <v>44670</v>
      </c>
      <c r="E41" s="35">
        <v>317393</v>
      </c>
      <c r="F41" s="35">
        <v>513649</v>
      </c>
      <c r="G41" s="35">
        <v>1122</v>
      </c>
      <c r="H41" s="35">
        <v>111569</v>
      </c>
      <c r="I41" s="35">
        <v>49850</v>
      </c>
      <c r="J41" s="35">
        <v>842471</v>
      </c>
      <c r="K41" s="35">
        <v>0</v>
      </c>
      <c r="L41" s="36">
        <f t="shared" si="1"/>
        <v>2058594</v>
      </c>
    </row>
    <row r="42" spans="1:12" hidden="1" outlineLevel="1" x14ac:dyDescent="0.2">
      <c r="A42" s="9" t="s">
        <v>334</v>
      </c>
      <c r="B42" s="35">
        <v>53969</v>
      </c>
      <c r="C42" s="35">
        <v>905</v>
      </c>
      <c r="D42" s="35">
        <v>13088</v>
      </c>
      <c r="E42" s="35">
        <v>58797</v>
      </c>
      <c r="F42" s="35">
        <v>148534</v>
      </c>
      <c r="G42" s="35">
        <v>0</v>
      </c>
      <c r="H42" s="35">
        <v>236976</v>
      </c>
      <c r="I42" s="35">
        <v>22577</v>
      </c>
      <c r="J42" s="35">
        <v>23628</v>
      </c>
      <c r="K42" s="35">
        <v>0</v>
      </c>
      <c r="L42" s="36">
        <f t="shared" si="1"/>
        <v>558474</v>
      </c>
    </row>
    <row r="43" spans="1:12" hidden="1" outlineLevel="1" x14ac:dyDescent="0.2">
      <c r="A43" s="9" t="s">
        <v>339</v>
      </c>
      <c r="B43" s="35">
        <v>86590</v>
      </c>
      <c r="C43" s="35">
        <v>1227</v>
      </c>
      <c r="D43" s="35">
        <v>6689</v>
      </c>
      <c r="E43" s="35">
        <v>54467</v>
      </c>
      <c r="F43" s="35">
        <v>333605</v>
      </c>
      <c r="G43" s="35">
        <v>177</v>
      </c>
      <c r="H43" s="35">
        <v>12028</v>
      </c>
      <c r="I43" s="35">
        <v>4311</v>
      </c>
      <c r="J43" s="35">
        <v>77506</v>
      </c>
      <c r="K43" s="35">
        <v>0</v>
      </c>
      <c r="L43" s="36">
        <f t="shared" si="1"/>
        <v>576600</v>
      </c>
    </row>
    <row r="44" spans="1:12" hidden="1" outlineLevel="1" x14ac:dyDescent="0.2">
      <c r="A44" s="9" t="s">
        <v>344</v>
      </c>
      <c r="B44" s="35">
        <v>117472.40758081758</v>
      </c>
      <c r="C44" s="35">
        <v>5981.7054022026468</v>
      </c>
      <c r="D44" s="35">
        <v>17922.098099823492</v>
      </c>
      <c r="E44" s="35">
        <v>68981.262883992284</v>
      </c>
      <c r="F44" s="35">
        <v>10229.046497559521</v>
      </c>
      <c r="G44" s="35">
        <v>0</v>
      </c>
      <c r="H44" s="35">
        <v>24082.944420044252</v>
      </c>
      <c r="I44" s="35">
        <v>419872.28506791079</v>
      </c>
      <c r="J44" s="35">
        <v>60066.250047649432</v>
      </c>
      <c r="K44" s="35">
        <v>0</v>
      </c>
      <c r="L44" s="36">
        <f t="shared" si="1"/>
        <v>724608</v>
      </c>
    </row>
    <row r="45" spans="1:12" hidden="1" outlineLevel="1" x14ac:dyDescent="0.2">
      <c r="A45" s="9" t="s">
        <v>349</v>
      </c>
      <c r="B45" s="35">
        <v>143</v>
      </c>
      <c r="C45" s="35">
        <v>0</v>
      </c>
      <c r="D45" s="35">
        <v>0</v>
      </c>
      <c r="E45" s="35">
        <v>0</v>
      </c>
      <c r="F45" s="35">
        <v>401</v>
      </c>
      <c r="G45" s="35">
        <v>0</v>
      </c>
      <c r="H45" s="35">
        <v>0</v>
      </c>
      <c r="I45" s="35">
        <v>0</v>
      </c>
      <c r="J45" s="35">
        <v>0</v>
      </c>
      <c r="K45" s="35">
        <v>0</v>
      </c>
      <c r="L45" s="36">
        <f t="shared" si="1"/>
        <v>544</v>
      </c>
    </row>
    <row r="46" spans="1:12" hidden="1" outlineLevel="1" x14ac:dyDescent="0.2">
      <c r="A46" s="9" t="s">
        <v>355</v>
      </c>
      <c r="B46" s="35">
        <v>1692</v>
      </c>
      <c r="C46" s="35">
        <v>1141</v>
      </c>
      <c r="D46" s="35">
        <v>8578</v>
      </c>
      <c r="E46" s="35">
        <v>7739</v>
      </c>
      <c r="F46" s="35">
        <v>5445</v>
      </c>
      <c r="G46" s="35">
        <v>0</v>
      </c>
      <c r="H46" s="35">
        <v>1434</v>
      </c>
      <c r="I46" s="35">
        <v>1835</v>
      </c>
      <c r="J46" s="35">
        <v>1857</v>
      </c>
      <c r="K46" s="35">
        <v>0</v>
      </c>
      <c r="L46" s="36">
        <f t="shared" si="1"/>
        <v>29721</v>
      </c>
    </row>
    <row r="47" spans="1:12" hidden="1" outlineLevel="1" x14ac:dyDescent="0.2">
      <c r="A47" s="9" t="s">
        <v>360</v>
      </c>
      <c r="B47" s="35">
        <v>18679</v>
      </c>
      <c r="C47" s="35">
        <v>3202</v>
      </c>
      <c r="D47" s="35">
        <v>11760</v>
      </c>
      <c r="E47" s="35">
        <v>35661</v>
      </c>
      <c r="F47" s="35">
        <v>6353</v>
      </c>
      <c r="G47" s="35">
        <v>340</v>
      </c>
      <c r="H47" s="35">
        <v>2616</v>
      </c>
      <c r="I47" s="35">
        <v>13282</v>
      </c>
      <c r="J47" s="35">
        <v>18789</v>
      </c>
      <c r="K47" s="35">
        <v>0</v>
      </c>
      <c r="L47" s="36">
        <f t="shared" si="1"/>
        <v>110682</v>
      </c>
    </row>
    <row r="48" spans="1:12" hidden="1" outlineLevel="1" x14ac:dyDescent="0.2">
      <c r="A48" s="9" t="s">
        <v>366</v>
      </c>
      <c r="B48" s="35">
        <v>20112</v>
      </c>
      <c r="C48" s="35">
        <v>9945</v>
      </c>
      <c r="D48" s="35">
        <v>15314</v>
      </c>
      <c r="E48" s="35">
        <v>44431</v>
      </c>
      <c r="F48" s="35">
        <v>7980</v>
      </c>
      <c r="G48" s="35">
        <v>0</v>
      </c>
      <c r="H48" s="35">
        <v>4668</v>
      </c>
      <c r="I48" s="35">
        <v>20641</v>
      </c>
      <c r="J48" s="35">
        <v>9662</v>
      </c>
      <c r="K48" s="35">
        <v>0</v>
      </c>
      <c r="L48" s="36">
        <f t="shared" si="1"/>
        <v>132753</v>
      </c>
    </row>
    <row r="49" spans="1:12" hidden="1" outlineLevel="1" x14ac:dyDescent="0.2">
      <c r="A49" s="9" t="s">
        <v>370</v>
      </c>
      <c r="B49" s="35">
        <v>66485</v>
      </c>
      <c r="C49" s="35">
        <v>44148</v>
      </c>
      <c r="D49" s="35">
        <v>41418</v>
      </c>
      <c r="E49" s="35">
        <v>115490</v>
      </c>
      <c r="F49" s="35">
        <v>858</v>
      </c>
      <c r="G49" s="35">
        <v>0</v>
      </c>
      <c r="H49" s="35">
        <v>831</v>
      </c>
      <c r="I49" s="35">
        <v>3769</v>
      </c>
      <c r="J49" s="35">
        <v>2110</v>
      </c>
      <c r="K49" s="35">
        <v>0</v>
      </c>
      <c r="L49" s="36">
        <f t="shared" si="1"/>
        <v>275109</v>
      </c>
    </row>
    <row r="50" spans="1:12" hidden="1" outlineLevel="1" x14ac:dyDescent="0.2">
      <c r="A50" s="9" t="s">
        <v>382</v>
      </c>
      <c r="B50" s="35">
        <v>24023</v>
      </c>
      <c r="C50" s="35">
        <v>9392</v>
      </c>
      <c r="D50" s="35">
        <v>61639</v>
      </c>
      <c r="E50" s="35">
        <v>34057</v>
      </c>
      <c r="F50" s="35">
        <v>3885</v>
      </c>
      <c r="G50" s="35">
        <v>0</v>
      </c>
      <c r="H50" s="35">
        <v>469.99999999999994</v>
      </c>
      <c r="I50" s="35">
        <v>512</v>
      </c>
      <c r="J50" s="35">
        <v>3073</v>
      </c>
      <c r="K50" s="35">
        <v>0</v>
      </c>
      <c r="L50" s="36">
        <f t="shared" si="1"/>
        <v>137051</v>
      </c>
    </row>
    <row r="51" spans="1:12" hidden="1" outlineLevel="1" x14ac:dyDescent="0.2">
      <c r="A51" s="9" t="s">
        <v>377</v>
      </c>
      <c r="B51" s="35">
        <v>4718</v>
      </c>
      <c r="C51" s="35">
        <v>2058</v>
      </c>
      <c r="D51" s="35">
        <v>5893</v>
      </c>
      <c r="E51" s="35">
        <v>5328</v>
      </c>
      <c r="F51" s="35">
        <v>0</v>
      </c>
      <c r="G51" s="35">
        <v>0</v>
      </c>
      <c r="H51" s="35">
        <v>0</v>
      </c>
      <c r="I51" s="35">
        <v>0</v>
      </c>
      <c r="J51" s="35">
        <v>269</v>
      </c>
      <c r="K51" s="35">
        <v>0</v>
      </c>
      <c r="L51" s="36">
        <f t="shared" si="1"/>
        <v>18266</v>
      </c>
    </row>
    <row r="52" spans="1:12" hidden="1" outlineLevel="1" x14ac:dyDescent="0.2">
      <c r="A52" s="9" t="s">
        <v>387</v>
      </c>
      <c r="B52" s="35">
        <v>17733</v>
      </c>
      <c r="C52" s="35">
        <v>591</v>
      </c>
      <c r="D52" s="35">
        <v>27637</v>
      </c>
      <c r="E52" s="35">
        <v>6559</v>
      </c>
      <c r="F52" s="35">
        <v>63931.000000000007</v>
      </c>
      <c r="G52" s="35">
        <v>0</v>
      </c>
      <c r="H52" s="35">
        <v>1022</v>
      </c>
      <c r="I52" s="35">
        <v>0</v>
      </c>
      <c r="J52" s="35">
        <v>9729</v>
      </c>
      <c r="K52" s="35">
        <v>0</v>
      </c>
      <c r="L52" s="36">
        <f t="shared" si="1"/>
        <v>127202</v>
      </c>
    </row>
    <row r="53" spans="1:12" hidden="1" outlineLevel="1" x14ac:dyDescent="0.2">
      <c r="A53" s="9" t="s">
        <v>392</v>
      </c>
      <c r="B53" s="35">
        <v>11398</v>
      </c>
      <c r="C53" s="35">
        <v>2056</v>
      </c>
      <c r="D53" s="35">
        <v>3960</v>
      </c>
      <c r="E53" s="35">
        <v>10036</v>
      </c>
      <c r="F53" s="35">
        <v>888</v>
      </c>
      <c r="G53" s="35">
        <v>0</v>
      </c>
      <c r="H53" s="35">
        <v>6546</v>
      </c>
      <c r="I53" s="35">
        <v>9655</v>
      </c>
      <c r="J53" s="35">
        <v>5253</v>
      </c>
      <c r="K53" s="35">
        <v>0</v>
      </c>
      <c r="L53" s="36">
        <f t="shared" si="1"/>
        <v>49792</v>
      </c>
    </row>
    <row r="54" spans="1:12" hidden="1" outlineLevel="1" x14ac:dyDescent="0.2">
      <c r="A54" s="9" t="s">
        <v>398</v>
      </c>
      <c r="B54" s="35">
        <v>27134</v>
      </c>
      <c r="C54" s="35">
        <v>35066</v>
      </c>
      <c r="D54" s="35">
        <v>42261</v>
      </c>
      <c r="E54" s="35">
        <v>12502</v>
      </c>
      <c r="F54" s="35">
        <v>1324</v>
      </c>
      <c r="G54" s="35">
        <v>0</v>
      </c>
      <c r="H54" s="35">
        <v>20938</v>
      </c>
      <c r="I54" s="35">
        <v>1100</v>
      </c>
      <c r="J54" s="35">
        <v>1020</v>
      </c>
      <c r="K54" s="35">
        <v>0</v>
      </c>
      <c r="L54" s="36">
        <f t="shared" si="1"/>
        <v>141345</v>
      </c>
    </row>
    <row r="55" spans="1:12" hidden="1" outlineLevel="1" x14ac:dyDescent="0.2">
      <c r="A55" s="9" t="s">
        <v>402</v>
      </c>
      <c r="B55" s="35">
        <v>1710</v>
      </c>
      <c r="C55" s="35">
        <v>4163</v>
      </c>
      <c r="D55" s="35">
        <v>6654</v>
      </c>
      <c r="E55" s="35">
        <v>2933</v>
      </c>
      <c r="F55" s="35">
        <v>266</v>
      </c>
      <c r="G55" s="35">
        <v>0</v>
      </c>
      <c r="H55" s="35">
        <v>0</v>
      </c>
      <c r="I55" s="35">
        <v>461</v>
      </c>
      <c r="J55" s="35">
        <v>150</v>
      </c>
      <c r="K55" s="35">
        <v>0</v>
      </c>
      <c r="L55" s="36">
        <f t="shared" si="1"/>
        <v>16337</v>
      </c>
    </row>
    <row r="56" spans="1:12" hidden="1" outlineLevel="1" x14ac:dyDescent="0.2">
      <c r="A56" s="9" t="s">
        <v>407</v>
      </c>
      <c r="B56" s="35">
        <v>165025</v>
      </c>
      <c r="C56" s="35">
        <v>149894</v>
      </c>
      <c r="D56" s="35">
        <v>167822</v>
      </c>
      <c r="E56" s="35">
        <v>196391</v>
      </c>
      <c r="F56" s="35">
        <v>588319</v>
      </c>
      <c r="G56" s="35">
        <v>2076</v>
      </c>
      <c r="H56" s="35">
        <v>66956</v>
      </c>
      <c r="I56" s="35">
        <v>38167</v>
      </c>
      <c r="J56" s="35">
        <v>377739</v>
      </c>
      <c r="K56" s="35">
        <v>0</v>
      </c>
      <c r="L56" s="36">
        <f t="shared" si="1"/>
        <v>1752389</v>
      </c>
    </row>
    <row r="57" spans="1:12" hidden="1" outlineLevel="1" x14ac:dyDescent="0.2">
      <c r="A57" s="9" t="s">
        <v>412</v>
      </c>
      <c r="B57" s="35">
        <v>91292</v>
      </c>
      <c r="C57" s="35">
        <v>68738</v>
      </c>
      <c r="D57" s="35">
        <v>85676</v>
      </c>
      <c r="E57" s="35">
        <v>217960</v>
      </c>
      <c r="F57" s="35">
        <v>263823</v>
      </c>
      <c r="G57" s="35">
        <v>270</v>
      </c>
      <c r="H57" s="35">
        <v>7376</v>
      </c>
      <c r="I57" s="35">
        <v>17999</v>
      </c>
      <c r="J57" s="35">
        <v>45483</v>
      </c>
      <c r="K57" s="35">
        <v>0</v>
      </c>
      <c r="L57" s="36">
        <f t="shared" si="1"/>
        <v>798617</v>
      </c>
    </row>
    <row r="58" spans="1:12" hidden="1" outlineLevel="1" x14ac:dyDescent="0.2">
      <c r="A58" s="9" t="s">
        <v>415</v>
      </c>
      <c r="B58" s="35">
        <v>57709</v>
      </c>
      <c r="C58" s="35">
        <v>345766</v>
      </c>
      <c r="D58" s="35">
        <v>305062</v>
      </c>
      <c r="E58" s="35">
        <v>72265</v>
      </c>
      <c r="F58" s="35">
        <v>104410</v>
      </c>
      <c r="G58" s="35">
        <v>0</v>
      </c>
      <c r="H58" s="35">
        <v>3831</v>
      </c>
      <c r="I58" s="35">
        <v>4202</v>
      </c>
      <c r="J58" s="35">
        <v>89132</v>
      </c>
      <c r="K58" s="35">
        <v>0</v>
      </c>
      <c r="L58" s="36">
        <f t="shared" si="1"/>
        <v>982377</v>
      </c>
    </row>
    <row r="59" spans="1:12" hidden="1" outlineLevel="1" x14ac:dyDescent="0.2">
      <c r="A59" s="9" t="s">
        <v>420</v>
      </c>
      <c r="B59" s="35">
        <v>60360</v>
      </c>
      <c r="C59" s="35">
        <v>109679</v>
      </c>
      <c r="D59" s="35">
        <v>280613</v>
      </c>
      <c r="E59" s="35">
        <v>117417</v>
      </c>
      <c r="F59" s="35">
        <v>365393</v>
      </c>
      <c r="G59" s="35">
        <v>234</v>
      </c>
      <c r="H59" s="35">
        <v>3497</v>
      </c>
      <c r="I59" s="35">
        <v>11282</v>
      </c>
      <c r="J59" s="35">
        <v>66277</v>
      </c>
      <c r="K59" s="35">
        <v>0</v>
      </c>
      <c r="L59" s="36">
        <f t="shared" si="1"/>
        <v>1014752</v>
      </c>
    </row>
    <row r="60" spans="1:12" hidden="1" outlineLevel="1" x14ac:dyDescent="0.2">
      <c r="A60" s="9" t="s">
        <v>426</v>
      </c>
      <c r="B60" s="35">
        <v>2653</v>
      </c>
      <c r="C60" s="35">
        <v>345</v>
      </c>
      <c r="D60" s="35">
        <v>1300</v>
      </c>
      <c r="E60" s="35">
        <v>1302</v>
      </c>
      <c r="F60" s="35">
        <v>2302</v>
      </c>
      <c r="G60" s="35">
        <v>0</v>
      </c>
      <c r="H60" s="35">
        <v>682.99999999999989</v>
      </c>
      <c r="I60" s="35">
        <v>9907</v>
      </c>
      <c r="J60" s="35">
        <v>312592</v>
      </c>
      <c r="K60" s="35">
        <v>0</v>
      </c>
      <c r="L60" s="36">
        <f t="shared" si="1"/>
        <v>331084</v>
      </c>
    </row>
    <row r="61" spans="1:12" hidden="1" outlineLevel="1" x14ac:dyDescent="0.2">
      <c r="A61" s="9" t="s">
        <v>431</v>
      </c>
      <c r="B61" s="35">
        <v>8664</v>
      </c>
      <c r="C61" s="35">
        <v>12501</v>
      </c>
      <c r="D61" s="35">
        <v>25083</v>
      </c>
      <c r="E61" s="35">
        <v>14884</v>
      </c>
      <c r="F61" s="35">
        <v>2687</v>
      </c>
      <c r="G61" s="35">
        <v>0</v>
      </c>
      <c r="H61" s="35">
        <v>349.99999999999994</v>
      </c>
      <c r="I61" s="35">
        <v>941.00000000000011</v>
      </c>
      <c r="J61" s="35">
        <v>11431</v>
      </c>
      <c r="K61" s="35">
        <v>0</v>
      </c>
      <c r="L61" s="36">
        <f t="shared" si="1"/>
        <v>76541</v>
      </c>
    </row>
    <row r="62" spans="1:12" collapsed="1" x14ac:dyDescent="0.2">
      <c r="A62" s="9" t="s">
        <v>436</v>
      </c>
      <c r="B62" s="35">
        <v>24891.000000000004</v>
      </c>
      <c r="C62" s="35">
        <v>21974</v>
      </c>
      <c r="D62" s="35">
        <v>29342</v>
      </c>
      <c r="E62" s="35">
        <v>39487</v>
      </c>
      <c r="F62" s="35">
        <v>23429</v>
      </c>
      <c r="G62" s="35">
        <v>1385.9999999999998</v>
      </c>
      <c r="H62" s="35">
        <v>6255</v>
      </c>
      <c r="I62" s="35">
        <v>1372</v>
      </c>
      <c r="J62" s="35">
        <v>26400</v>
      </c>
      <c r="K62" s="35">
        <v>0</v>
      </c>
      <c r="L62" s="36">
        <f t="shared" si="1"/>
        <v>174536</v>
      </c>
    </row>
    <row r="63" spans="1:12" x14ac:dyDescent="0.2">
      <c r="A63" s="9" t="s">
        <v>440</v>
      </c>
      <c r="B63" s="35">
        <v>28214</v>
      </c>
      <c r="C63" s="35">
        <v>511</v>
      </c>
      <c r="D63" s="35">
        <v>6655</v>
      </c>
      <c r="E63" s="35">
        <v>15936</v>
      </c>
      <c r="F63" s="35">
        <v>153104.00000000003</v>
      </c>
      <c r="G63" s="35">
        <v>0</v>
      </c>
      <c r="H63" s="35">
        <v>4675</v>
      </c>
      <c r="I63" s="35">
        <v>12949</v>
      </c>
      <c r="J63" s="35">
        <v>67115</v>
      </c>
      <c r="K63" s="35">
        <v>0</v>
      </c>
      <c r="L63" s="36">
        <f t="shared" si="1"/>
        <v>289159</v>
      </c>
    </row>
    <row r="64" spans="1:12" x14ac:dyDescent="0.2">
      <c r="A64" s="9" t="s">
        <v>445</v>
      </c>
      <c r="B64" s="35">
        <v>2668</v>
      </c>
      <c r="C64" s="35">
        <v>0</v>
      </c>
      <c r="D64" s="35">
        <v>0</v>
      </c>
      <c r="E64" s="35">
        <v>1629</v>
      </c>
      <c r="F64" s="35">
        <v>18800</v>
      </c>
      <c r="G64" s="35">
        <v>0</v>
      </c>
      <c r="H64" s="35">
        <v>298</v>
      </c>
      <c r="I64" s="35">
        <v>2064</v>
      </c>
      <c r="J64" s="35">
        <v>250339.99999999997</v>
      </c>
      <c r="K64" s="35">
        <v>1011732</v>
      </c>
      <c r="L64" s="36">
        <f t="shared" si="1"/>
        <v>1287531</v>
      </c>
    </row>
    <row r="65" spans="1:12" x14ac:dyDescent="0.2">
      <c r="A65" s="9" t="s">
        <v>128</v>
      </c>
      <c r="B65" s="36">
        <f>SUM(B4:B64)</f>
        <v>1467144.6998118116</v>
      </c>
      <c r="C65" s="36">
        <f t="shared" ref="C65:L65" si="2">SUM(C4:C64)</f>
        <v>913531.74425406428</v>
      </c>
      <c r="D65" s="36">
        <f t="shared" si="2"/>
        <v>1420376.4776040609</v>
      </c>
      <c r="E65" s="36">
        <f t="shared" si="2"/>
        <v>1703780.9490647202</v>
      </c>
      <c r="F65" s="36">
        <f t="shared" si="2"/>
        <v>2717546.6627854668</v>
      </c>
      <c r="G65" s="36">
        <f t="shared" si="2"/>
        <v>61335.289119230976</v>
      </c>
      <c r="H65" s="36">
        <f t="shared" si="2"/>
        <v>1937243.57683362</v>
      </c>
      <c r="I65" s="36">
        <f t="shared" si="2"/>
        <v>1372150.8090470512</v>
      </c>
      <c r="J65" s="36">
        <f t="shared" si="2"/>
        <v>3744751.7914799741</v>
      </c>
      <c r="K65" s="36">
        <f t="shared" si="2"/>
        <v>1011732</v>
      </c>
      <c r="L65" s="36">
        <f t="shared" si="2"/>
        <v>16349594</v>
      </c>
    </row>
  </sheetData>
  <hyperlinks>
    <hyperlink ref="A1" location="'Contents'!A1" display="Contents" xr:uid="{CD5A519A-9EB4-4195-8E87-506165DACFBD}"/>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CE03C-291D-4E8A-8E43-B88B5AB486D1}">
  <sheetPr codeName="Sheet4">
    <tabColor rgb="FFFFCCFF"/>
  </sheetPr>
  <dimension ref="A1:GT203"/>
  <sheetViews>
    <sheetView workbookViewId="0">
      <pane xSplit="2" ySplit="5" topLeftCell="FQ6" activePane="bottomRight" state="frozen"/>
      <selection pane="topRight"/>
      <selection pane="bottomLeft"/>
      <selection pane="bottomRight"/>
    </sheetView>
  </sheetViews>
  <sheetFormatPr defaultRowHeight="12.75" outlineLevelRow="1" outlineLevelCol="1" x14ac:dyDescent="0.2"/>
  <cols>
    <col min="1" max="1" width="14.28515625" style="65" bestFit="1" customWidth="1"/>
    <col min="2" max="3" width="7.7109375" style="65" customWidth="1"/>
    <col min="4" max="60" width="7.7109375" style="65" hidden="1" customWidth="1" outlineLevel="1"/>
    <col min="61" max="61" width="7.7109375" style="65" customWidth="1" collapsed="1"/>
    <col min="62" max="64" width="7.7109375" style="65" customWidth="1"/>
    <col min="65" max="168" width="7.7109375" style="65" hidden="1" customWidth="1" outlineLevel="1"/>
    <col min="169" max="169" width="7.7109375" style="65" customWidth="1" collapsed="1"/>
    <col min="170" max="182" width="7.7109375" style="65" customWidth="1"/>
    <col min="183" max="192" width="7.7109375" style="65" hidden="1" customWidth="1" outlineLevel="1"/>
    <col min="193" max="193" width="7.7109375" style="65" customWidth="1" collapsed="1"/>
    <col min="194" max="201" width="7.7109375" style="65" customWidth="1"/>
    <col min="202" max="204" width="8.7109375" style="65" customWidth="1"/>
    <col min="205" max="16384" width="9.140625" style="65"/>
  </cols>
  <sheetData>
    <row r="1" spans="1:202" ht="15" x14ac:dyDescent="0.25">
      <c r="A1" s="90" t="s">
        <v>1618</v>
      </c>
      <c r="C1" s="87"/>
    </row>
    <row r="3" spans="1:202" x14ac:dyDescent="0.2">
      <c r="A3" s="91"/>
      <c r="B3" s="91"/>
      <c r="C3" s="91"/>
      <c r="D3" s="91"/>
      <c r="E3" s="91"/>
      <c r="F3" s="91"/>
      <c r="G3" s="91"/>
      <c r="H3" s="91"/>
      <c r="I3" s="91"/>
      <c r="J3" s="91"/>
      <c r="K3" s="91"/>
      <c r="L3" s="91"/>
      <c r="M3" s="91"/>
      <c r="N3" s="91"/>
      <c r="O3" s="91"/>
      <c r="P3" s="91"/>
      <c r="Q3" s="91"/>
      <c r="R3" s="91"/>
      <c r="S3" s="91"/>
      <c r="T3" s="91"/>
      <c r="U3" s="91"/>
      <c r="V3" s="91"/>
      <c r="W3" s="91"/>
      <c r="X3" s="91"/>
      <c r="Y3" s="91"/>
      <c r="Z3" s="91"/>
      <c r="AA3" s="91"/>
      <c r="AB3" s="91"/>
      <c r="AC3" s="91"/>
      <c r="AD3" s="91"/>
      <c r="AE3" s="91"/>
      <c r="AF3" s="91"/>
      <c r="AG3" s="91"/>
      <c r="AH3" s="91"/>
      <c r="AI3" s="91"/>
      <c r="AJ3" s="91"/>
      <c r="AK3" s="91"/>
      <c r="AL3" s="91"/>
      <c r="AM3" s="91"/>
      <c r="AN3" s="91"/>
      <c r="AO3" s="91"/>
      <c r="AP3" s="91"/>
      <c r="AQ3" s="91"/>
      <c r="AR3" s="91"/>
      <c r="AS3" s="91"/>
      <c r="AT3" s="91"/>
      <c r="AU3" s="91"/>
      <c r="AV3" s="91"/>
      <c r="AW3" s="91"/>
      <c r="AX3" s="91"/>
      <c r="AY3" s="91"/>
      <c r="AZ3" s="91"/>
      <c r="BA3" s="91"/>
      <c r="BB3" s="91"/>
      <c r="BC3" s="91"/>
      <c r="BD3" s="91"/>
      <c r="BE3" s="91"/>
      <c r="BF3" s="91"/>
      <c r="BG3" s="91"/>
      <c r="BH3" s="91"/>
      <c r="BI3" s="91"/>
      <c r="BJ3" s="91"/>
      <c r="BK3" s="91"/>
      <c r="BL3" s="91"/>
      <c r="BM3" s="91"/>
      <c r="BN3" s="91"/>
      <c r="BO3" s="91"/>
      <c r="BP3" s="91"/>
      <c r="BQ3" s="91"/>
      <c r="BR3" s="91"/>
      <c r="BS3" s="91"/>
      <c r="BT3" s="91"/>
      <c r="BU3" s="91"/>
      <c r="BV3" s="91"/>
      <c r="BW3" s="91"/>
      <c r="BX3" s="91"/>
      <c r="BY3" s="91"/>
      <c r="BZ3" s="91"/>
      <c r="CA3" s="91"/>
      <c r="CB3" s="91"/>
      <c r="CC3" s="91"/>
      <c r="CD3" s="91"/>
      <c r="CE3" s="91"/>
      <c r="CF3" s="91"/>
      <c r="CG3" s="91"/>
      <c r="CH3" s="91"/>
      <c r="CI3" s="91"/>
      <c r="CJ3" s="91"/>
      <c r="CK3" s="91"/>
      <c r="CL3" s="91"/>
      <c r="CM3" s="91"/>
      <c r="CN3" s="91"/>
      <c r="CO3" s="91"/>
      <c r="CP3" s="91"/>
      <c r="CQ3" s="91"/>
      <c r="CR3" s="91"/>
      <c r="CS3" s="91"/>
      <c r="CT3" s="91"/>
      <c r="CU3" s="91"/>
      <c r="CV3" s="91"/>
      <c r="CW3" s="91"/>
      <c r="CX3" s="91"/>
      <c r="CY3" s="91"/>
      <c r="CZ3" s="91"/>
      <c r="DA3" s="91"/>
      <c r="DB3" s="91"/>
      <c r="DC3" s="91"/>
      <c r="DD3" s="91"/>
      <c r="DE3" s="91"/>
      <c r="DF3" s="91"/>
      <c r="DG3" s="91"/>
      <c r="DH3" s="91"/>
      <c r="DI3" s="91"/>
      <c r="DJ3" s="91"/>
      <c r="DK3" s="91"/>
      <c r="DL3" s="91"/>
      <c r="DM3" s="91"/>
      <c r="DN3" s="91"/>
      <c r="DO3" s="91"/>
      <c r="DP3" s="91"/>
      <c r="DQ3" s="91"/>
      <c r="DR3" s="91"/>
      <c r="DS3" s="91"/>
      <c r="DT3" s="91"/>
      <c r="DU3" s="91"/>
      <c r="DV3" s="91"/>
      <c r="DW3" s="91"/>
      <c r="DX3" s="91"/>
      <c r="DY3" s="91"/>
      <c r="DZ3" s="91"/>
      <c r="EA3" s="91"/>
      <c r="EB3" s="91"/>
      <c r="EC3" s="91"/>
      <c r="ED3" s="91"/>
      <c r="EE3" s="91"/>
      <c r="EF3" s="91"/>
      <c r="EG3" s="91"/>
      <c r="EH3" s="91"/>
      <c r="EI3" s="91"/>
      <c r="EJ3" s="91"/>
      <c r="EK3" s="91"/>
      <c r="EL3" s="91"/>
      <c r="EM3" s="91"/>
      <c r="EN3" s="91"/>
      <c r="EO3" s="91"/>
      <c r="EP3" s="91"/>
      <c r="EQ3" s="91"/>
      <c r="ER3" s="91"/>
      <c r="ES3" s="91"/>
      <c r="ET3" s="91"/>
      <c r="EU3" s="91"/>
      <c r="EV3" s="91"/>
      <c r="EW3" s="91"/>
      <c r="EX3" s="91"/>
      <c r="EY3" s="91"/>
      <c r="EZ3" s="91"/>
      <c r="FA3" s="91"/>
      <c r="FB3" s="91"/>
      <c r="FC3" s="91"/>
      <c r="FD3" s="91"/>
      <c r="FE3" s="91"/>
      <c r="FF3" s="91"/>
      <c r="FG3" s="91"/>
      <c r="FH3" s="91"/>
      <c r="FI3" s="91"/>
      <c r="FJ3" s="91"/>
      <c r="FK3" s="91"/>
      <c r="FL3" s="91"/>
      <c r="FM3" s="91"/>
      <c r="FN3" s="91"/>
      <c r="FO3" s="91"/>
      <c r="FP3" s="91"/>
      <c r="FQ3" s="91"/>
      <c r="FR3" s="91"/>
      <c r="FS3" s="91"/>
      <c r="FT3" s="91"/>
      <c r="FU3" s="91"/>
      <c r="FV3" s="91"/>
      <c r="FW3" s="91"/>
      <c r="FX3" s="91"/>
      <c r="FY3" s="91"/>
      <c r="FZ3" s="91"/>
      <c r="GA3" s="91"/>
      <c r="GB3" s="91"/>
      <c r="GC3" s="91"/>
      <c r="GD3" s="91"/>
      <c r="GE3" s="91"/>
      <c r="GF3" s="91"/>
      <c r="GG3" s="91"/>
      <c r="GH3" s="91"/>
      <c r="GI3" s="91"/>
      <c r="GJ3" s="91"/>
      <c r="GK3" s="91"/>
      <c r="GL3" s="91"/>
      <c r="GM3" s="91"/>
      <c r="GN3" s="91"/>
      <c r="GO3" s="91"/>
      <c r="GP3" s="91"/>
      <c r="GQ3" s="91"/>
      <c r="GR3" s="91"/>
      <c r="GS3" s="92"/>
      <c r="GT3" s="92" t="s">
        <v>1601</v>
      </c>
    </row>
    <row r="4" spans="1:202" x14ac:dyDescent="0.2">
      <c r="A4" s="66"/>
      <c r="B4" s="67" t="s">
        <v>141</v>
      </c>
      <c r="C4" s="67" t="s">
        <v>146</v>
      </c>
      <c r="D4" s="67" t="s">
        <v>151</v>
      </c>
      <c r="E4" s="67" t="s">
        <v>154</v>
      </c>
      <c r="F4" s="67" t="s">
        <v>158</v>
      </c>
      <c r="G4" s="67" t="s">
        <v>161</v>
      </c>
      <c r="H4" s="67" t="s">
        <v>166</v>
      </c>
      <c r="I4" s="67" t="s">
        <v>171</v>
      </c>
      <c r="J4" s="67" t="s">
        <v>175</v>
      </c>
      <c r="K4" s="67" t="s">
        <v>180</v>
      </c>
      <c r="L4" s="67" t="s">
        <v>185</v>
      </c>
      <c r="M4" s="67" t="s">
        <v>190</v>
      </c>
      <c r="N4" s="67" t="s">
        <v>196</v>
      </c>
      <c r="O4" s="67" t="s">
        <v>202</v>
      </c>
      <c r="P4" s="67" t="s">
        <v>206</v>
      </c>
      <c r="Q4" s="67" t="s">
        <v>212</v>
      </c>
      <c r="R4" s="67" t="s">
        <v>218</v>
      </c>
      <c r="S4" s="67" t="s">
        <v>223</v>
      </c>
      <c r="T4" s="67" t="s">
        <v>229</v>
      </c>
      <c r="U4" s="67" t="s">
        <v>235</v>
      </c>
      <c r="V4" s="67" t="s">
        <v>238</v>
      </c>
      <c r="W4" s="67" t="s">
        <v>243</v>
      </c>
      <c r="X4" s="67" t="s">
        <v>249</v>
      </c>
      <c r="Y4" s="67" t="s">
        <v>1459</v>
      </c>
      <c r="Z4" s="67" t="s">
        <v>264</v>
      </c>
      <c r="AA4" s="67" t="s">
        <v>269</v>
      </c>
      <c r="AB4" s="67" t="s">
        <v>275</v>
      </c>
      <c r="AC4" s="67" t="s">
        <v>281</v>
      </c>
      <c r="AD4" s="67" t="s">
        <v>286</v>
      </c>
      <c r="AE4" s="67" t="s">
        <v>291</v>
      </c>
      <c r="AF4" s="67" t="s">
        <v>295</v>
      </c>
      <c r="AG4" s="67" t="s">
        <v>300</v>
      </c>
      <c r="AH4" s="67" t="s">
        <v>305</v>
      </c>
      <c r="AI4" s="67" t="s">
        <v>309</v>
      </c>
      <c r="AJ4" s="67" t="s">
        <v>313</v>
      </c>
      <c r="AK4" s="67" t="s">
        <v>318</v>
      </c>
      <c r="AL4" s="67" t="s">
        <v>324</v>
      </c>
      <c r="AM4" s="67" t="s">
        <v>329</v>
      </c>
      <c r="AN4" s="67" t="s">
        <v>334</v>
      </c>
      <c r="AO4" s="67" t="s">
        <v>339</v>
      </c>
      <c r="AP4" s="67" t="s">
        <v>344</v>
      </c>
      <c r="AQ4" s="67" t="s">
        <v>349</v>
      </c>
      <c r="AR4" s="67" t="s">
        <v>355</v>
      </c>
      <c r="AS4" s="67" t="s">
        <v>360</v>
      </c>
      <c r="AT4" s="67" t="s">
        <v>366</v>
      </c>
      <c r="AU4" s="67" t="s">
        <v>370</v>
      </c>
      <c r="AV4" s="67" t="s">
        <v>382</v>
      </c>
      <c r="AW4" s="67" t="s">
        <v>377</v>
      </c>
      <c r="AX4" s="67" t="s">
        <v>387</v>
      </c>
      <c r="AY4" s="67" t="s">
        <v>392</v>
      </c>
      <c r="AZ4" s="67" t="s">
        <v>398</v>
      </c>
      <c r="BA4" s="67" t="s">
        <v>402</v>
      </c>
      <c r="BB4" s="67" t="s">
        <v>407</v>
      </c>
      <c r="BC4" s="67" t="s">
        <v>412</v>
      </c>
      <c r="BD4" s="67" t="s">
        <v>415</v>
      </c>
      <c r="BE4" s="67" t="s">
        <v>420</v>
      </c>
      <c r="BF4" s="67" t="s">
        <v>426</v>
      </c>
      <c r="BG4" s="67" t="s">
        <v>431</v>
      </c>
      <c r="BH4" s="67" t="s">
        <v>436</v>
      </c>
      <c r="BI4" s="67" t="s">
        <v>440</v>
      </c>
      <c r="BJ4" s="67" t="s">
        <v>445</v>
      </c>
      <c r="BK4" s="67" t="s">
        <v>1498</v>
      </c>
      <c r="BL4" s="67" t="s">
        <v>1499</v>
      </c>
      <c r="BM4" s="67" t="s">
        <v>641</v>
      </c>
      <c r="BN4" s="67" t="s">
        <v>648</v>
      </c>
      <c r="BO4" s="67" t="s">
        <v>655</v>
      </c>
      <c r="BP4" s="67" t="s">
        <v>662</v>
      </c>
      <c r="BQ4" s="67" t="s">
        <v>1500</v>
      </c>
      <c r="BR4" s="67" t="s">
        <v>667</v>
      </c>
      <c r="BS4" s="67" t="s">
        <v>1501</v>
      </c>
      <c r="BT4" s="67" t="s">
        <v>672</v>
      </c>
      <c r="BU4" s="67" t="s">
        <v>679</v>
      </c>
      <c r="BV4" s="67" t="s">
        <v>686</v>
      </c>
      <c r="BW4" s="67" t="s">
        <v>693</v>
      </c>
      <c r="BX4" s="67" t="s">
        <v>700</v>
      </c>
      <c r="BY4" s="67" t="s">
        <v>704</v>
      </c>
      <c r="BZ4" s="67" t="s">
        <v>709</v>
      </c>
      <c r="CA4" s="67" t="s">
        <v>714</v>
      </c>
      <c r="CB4" s="67" t="s">
        <v>719</v>
      </c>
      <c r="CC4" s="67" t="s">
        <v>723</v>
      </c>
      <c r="CD4" s="67" t="s">
        <v>737</v>
      </c>
      <c r="CE4" s="67" t="s">
        <v>744</v>
      </c>
      <c r="CF4" s="67" t="s">
        <v>749</v>
      </c>
      <c r="CG4" s="67" t="s">
        <v>753</v>
      </c>
      <c r="CH4" s="67" t="s">
        <v>758</v>
      </c>
      <c r="CI4" s="67" t="s">
        <v>770</v>
      </c>
      <c r="CJ4" s="67" t="s">
        <v>777</v>
      </c>
      <c r="CK4" s="67" t="s">
        <v>782</v>
      </c>
      <c r="CL4" s="67" t="s">
        <v>786</v>
      </c>
      <c r="CM4" s="67" t="s">
        <v>793</v>
      </c>
      <c r="CN4" s="67" t="s">
        <v>798</v>
      </c>
      <c r="CO4" s="67" t="s">
        <v>803</v>
      </c>
      <c r="CP4" s="67" t="s">
        <v>810</v>
      </c>
      <c r="CQ4" s="67" t="s">
        <v>815</v>
      </c>
      <c r="CR4" s="67" t="s">
        <v>821</v>
      </c>
      <c r="CS4" s="67" t="s">
        <v>827</v>
      </c>
      <c r="CT4" s="67" t="s">
        <v>833</v>
      </c>
      <c r="CU4" s="67" t="s">
        <v>839</v>
      </c>
      <c r="CV4" s="67" t="s">
        <v>844</v>
      </c>
      <c r="CW4" s="67" t="s">
        <v>1506</v>
      </c>
      <c r="CX4" s="67" t="s">
        <v>851</v>
      </c>
      <c r="CY4" s="67" t="s">
        <v>858</v>
      </c>
      <c r="CZ4" s="67" t="s">
        <v>873</v>
      </c>
      <c r="DA4" s="67" t="s">
        <v>878</v>
      </c>
      <c r="DB4" s="67" t="s">
        <v>882</v>
      </c>
      <c r="DC4" s="67" t="s">
        <v>887</v>
      </c>
      <c r="DD4" s="67" t="s">
        <v>894</v>
      </c>
      <c r="DE4" s="67" t="s">
        <v>909</v>
      </c>
      <c r="DF4" s="67" t="s">
        <v>913</v>
      </c>
      <c r="DG4" s="67" t="s">
        <v>918</v>
      </c>
      <c r="DH4" s="67" t="s">
        <v>923</v>
      </c>
      <c r="DI4" s="67" t="s">
        <v>928</v>
      </c>
      <c r="DJ4" s="67" t="s">
        <v>933</v>
      </c>
      <c r="DK4" s="67" t="s">
        <v>940</v>
      </c>
      <c r="DL4" s="67" t="s">
        <v>945</v>
      </c>
      <c r="DM4" s="67" t="s">
        <v>949</v>
      </c>
      <c r="DN4" s="67" t="s">
        <v>956</v>
      </c>
      <c r="DO4" s="67" t="s">
        <v>963</v>
      </c>
      <c r="DP4" s="67" t="s">
        <v>967</v>
      </c>
      <c r="DQ4" s="67" t="s">
        <v>1507</v>
      </c>
      <c r="DR4" s="67" t="s">
        <v>972</v>
      </c>
      <c r="DS4" s="67" t="s">
        <v>979</v>
      </c>
      <c r="DT4" s="67" t="s">
        <v>991</v>
      </c>
      <c r="DU4" s="67" t="s">
        <v>998</v>
      </c>
      <c r="DV4" s="67" t="s">
        <v>1017</v>
      </c>
      <c r="DW4" s="67" t="s">
        <v>1022</v>
      </c>
      <c r="DX4" s="67" t="s">
        <v>1029</v>
      </c>
      <c r="DY4" s="67" t="s">
        <v>1036</v>
      </c>
      <c r="DZ4" s="67" t="s">
        <v>1043</v>
      </c>
      <c r="EA4" s="67" t="s">
        <v>1050</v>
      </c>
      <c r="EB4" s="67" t="s">
        <v>1055</v>
      </c>
      <c r="EC4" s="67" t="s">
        <v>1060</v>
      </c>
      <c r="ED4" s="67" t="s">
        <v>1066</v>
      </c>
      <c r="EE4" s="67" t="s">
        <v>1508</v>
      </c>
      <c r="EF4" s="67" t="s">
        <v>1071</v>
      </c>
      <c r="EG4" s="67" t="s">
        <v>1076</v>
      </c>
      <c r="EH4" s="67" t="s">
        <v>1081</v>
      </c>
      <c r="EI4" s="67" t="s">
        <v>1089</v>
      </c>
      <c r="EJ4" s="67" t="s">
        <v>1095</v>
      </c>
      <c r="EK4" s="67" t="s">
        <v>1509</v>
      </c>
      <c r="EL4" s="67" t="s">
        <v>1510</v>
      </c>
      <c r="EM4" s="67" t="s">
        <v>1511</v>
      </c>
      <c r="EN4" s="67" t="s">
        <v>1512</v>
      </c>
      <c r="EO4" s="67" t="s">
        <v>1128</v>
      </c>
      <c r="EP4" s="67" t="s">
        <v>1135</v>
      </c>
      <c r="EQ4" s="67" t="s">
        <v>1140</v>
      </c>
      <c r="ER4" s="67" t="s">
        <v>1145</v>
      </c>
      <c r="ES4" s="67" t="s">
        <v>1150</v>
      </c>
      <c r="ET4" s="67" t="s">
        <v>1156</v>
      </c>
      <c r="EU4" s="67" t="s">
        <v>1163</v>
      </c>
      <c r="EV4" s="67" t="s">
        <v>1177</v>
      </c>
      <c r="EW4" s="67" t="s">
        <v>1170</v>
      </c>
      <c r="EX4" s="67" t="s">
        <v>1513</v>
      </c>
      <c r="EY4" s="67" t="s">
        <v>1183</v>
      </c>
      <c r="EZ4" s="67" t="s">
        <v>1514</v>
      </c>
      <c r="FA4" s="67" t="s">
        <v>1190</v>
      </c>
      <c r="FB4" s="67" t="s">
        <v>1197</v>
      </c>
      <c r="FC4" s="67" t="s">
        <v>1204</v>
      </c>
      <c r="FD4" s="67" t="s">
        <v>1211</v>
      </c>
      <c r="FE4" s="67" t="s">
        <v>1218</v>
      </c>
      <c r="FF4" s="67" t="s">
        <v>1225</v>
      </c>
      <c r="FG4" s="67" t="s">
        <v>1233</v>
      </c>
      <c r="FH4" s="67" t="s">
        <v>1240</v>
      </c>
      <c r="FI4" s="67" t="s">
        <v>1247</v>
      </c>
      <c r="FJ4" s="67" t="s">
        <v>1254</v>
      </c>
      <c r="FK4" s="67" t="s">
        <v>1502</v>
      </c>
      <c r="FL4" s="67" t="s">
        <v>1503</v>
      </c>
      <c r="FM4" s="67" t="s">
        <v>1504</v>
      </c>
      <c r="FN4" s="67" t="s">
        <v>1505</v>
      </c>
      <c r="FO4" s="67" t="s">
        <v>1518</v>
      </c>
      <c r="FP4" s="68" t="s" cm="1">
        <v>1605</v>
      </c>
      <c r="FQ4" s="69" t="s">
        <v>1606</v>
      </c>
      <c r="FR4" s="69" t="s">
        <v>1607</v>
      </c>
      <c r="FS4" s="69" t="s">
        <v>1608</v>
      </c>
      <c r="FT4" s="67" t="s">
        <v>1609</v>
      </c>
      <c r="FU4" s="67" t="s">
        <v>1282</v>
      </c>
      <c r="FV4" s="70" t="s" cm="1">
        <v>1549</v>
      </c>
      <c r="FW4" s="70" t="s">
        <v>1550</v>
      </c>
      <c r="FX4" s="70" t="s">
        <v>1551</v>
      </c>
      <c r="FY4" s="70" t="s">
        <v>1552</v>
      </c>
      <c r="FZ4" s="70" t="s">
        <v>1553</v>
      </c>
      <c r="GA4" s="70" t="s">
        <v>1554</v>
      </c>
      <c r="GB4" s="70" t="s">
        <v>1555</v>
      </c>
      <c r="GC4" s="70" t="s">
        <v>1556</v>
      </c>
      <c r="GD4" s="70" t="s">
        <v>1557</v>
      </c>
      <c r="GE4" s="70" t="s">
        <v>1558</v>
      </c>
      <c r="GF4" s="70" t="s">
        <v>1559</v>
      </c>
      <c r="GG4" s="70" t="s">
        <v>1560</v>
      </c>
      <c r="GH4" s="70" t="s">
        <v>1561</v>
      </c>
      <c r="GI4" s="70" t="s">
        <v>1562</v>
      </c>
      <c r="GJ4" s="67" t="s">
        <v>1516</v>
      </c>
      <c r="GK4" s="67" t="s">
        <v>1519</v>
      </c>
      <c r="GL4" s="67" t="s">
        <v>1287</v>
      </c>
      <c r="GM4" s="67" t="s">
        <v>1288</v>
      </c>
      <c r="GN4" s="67" t="s">
        <v>1289</v>
      </c>
      <c r="GO4" s="67" t="s">
        <v>1517</v>
      </c>
      <c r="GP4" s="67" t="s">
        <v>1520</v>
      </c>
      <c r="GQ4" s="67" t="s">
        <v>1521</v>
      </c>
      <c r="GR4" s="67" t="s">
        <v>124</v>
      </c>
      <c r="GS4" s="67" t="s">
        <v>125</v>
      </c>
      <c r="GT4" s="71" cm="1">
        <f t="array" ref="GT4">MAX(ABS(_xlfn.ANCHORARRAY(GT5)))</f>
        <v>1.1641532182693481E-10</v>
      </c>
    </row>
    <row r="5" spans="1:202" x14ac:dyDescent="0.2">
      <c r="A5" s="66" t="s">
        <v>141</v>
      </c>
      <c r="B5" s="72">
        <v>0</v>
      </c>
      <c r="C5" s="72">
        <v>0</v>
      </c>
      <c r="D5" s="72">
        <v>0</v>
      </c>
      <c r="E5" s="72">
        <v>0</v>
      </c>
      <c r="F5" s="72">
        <v>0</v>
      </c>
      <c r="G5" s="72">
        <v>0</v>
      </c>
      <c r="H5" s="72">
        <v>0</v>
      </c>
      <c r="I5" s="72">
        <v>0</v>
      </c>
      <c r="J5" s="72">
        <v>0</v>
      </c>
      <c r="K5" s="72">
        <v>0</v>
      </c>
      <c r="L5" s="72">
        <v>0</v>
      </c>
      <c r="M5" s="72">
        <v>0</v>
      </c>
      <c r="N5" s="72">
        <v>0</v>
      </c>
      <c r="O5" s="72">
        <v>0</v>
      </c>
      <c r="P5" s="72">
        <v>0</v>
      </c>
      <c r="Q5" s="72">
        <v>0</v>
      </c>
      <c r="R5" s="72">
        <v>0</v>
      </c>
      <c r="S5" s="72">
        <v>0</v>
      </c>
      <c r="T5" s="72">
        <v>0</v>
      </c>
      <c r="U5" s="72">
        <v>0</v>
      </c>
      <c r="V5" s="72">
        <v>0</v>
      </c>
      <c r="W5" s="72">
        <v>0</v>
      </c>
      <c r="X5" s="72">
        <v>0</v>
      </c>
      <c r="Y5" s="72">
        <v>0</v>
      </c>
      <c r="Z5" s="72">
        <v>0</v>
      </c>
      <c r="AA5" s="72">
        <v>0</v>
      </c>
      <c r="AB5" s="72">
        <v>0</v>
      </c>
      <c r="AC5" s="72">
        <v>0</v>
      </c>
      <c r="AD5" s="72">
        <v>0</v>
      </c>
      <c r="AE5" s="72">
        <v>0</v>
      </c>
      <c r="AF5" s="72">
        <v>0</v>
      </c>
      <c r="AG5" s="72">
        <v>0</v>
      </c>
      <c r="AH5" s="72">
        <v>0</v>
      </c>
      <c r="AI5" s="72">
        <v>0</v>
      </c>
      <c r="AJ5" s="72">
        <v>0</v>
      </c>
      <c r="AK5" s="72">
        <v>0</v>
      </c>
      <c r="AL5" s="72">
        <v>0</v>
      </c>
      <c r="AM5" s="72">
        <v>0</v>
      </c>
      <c r="AN5" s="72">
        <v>0</v>
      </c>
      <c r="AO5" s="72">
        <v>0</v>
      </c>
      <c r="AP5" s="72">
        <v>0</v>
      </c>
      <c r="AQ5" s="72">
        <v>0</v>
      </c>
      <c r="AR5" s="72">
        <v>0</v>
      </c>
      <c r="AS5" s="72">
        <v>0</v>
      </c>
      <c r="AT5" s="72">
        <v>0</v>
      </c>
      <c r="AU5" s="72">
        <v>0</v>
      </c>
      <c r="AV5" s="72">
        <v>0</v>
      </c>
      <c r="AW5" s="72">
        <v>0</v>
      </c>
      <c r="AX5" s="72">
        <v>0</v>
      </c>
      <c r="AY5" s="72">
        <v>0</v>
      </c>
      <c r="AZ5" s="72">
        <v>0</v>
      </c>
      <c r="BA5" s="72">
        <v>0</v>
      </c>
      <c r="BB5" s="72">
        <v>0</v>
      </c>
      <c r="BC5" s="72">
        <v>0</v>
      </c>
      <c r="BD5" s="72">
        <v>0</v>
      </c>
      <c r="BE5" s="72">
        <v>0</v>
      </c>
      <c r="BF5" s="72">
        <v>0</v>
      </c>
      <c r="BG5" s="72">
        <v>0</v>
      </c>
      <c r="BH5" s="72">
        <v>0</v>
      </c>
      <c r="BI5" s="72">
        <v>0</v>
      </c>
      <c r="BJ5" s="72">
        <v>0</v>
      </c>
      <c r="BK5" s="72">
        <v>58526.689898286182</v>
      </c>
      <c r="BL5" s="72">
        <v>82559.964265482718</v>
      </c>
      <c r="BM5" s="72">
        <v>82208.749684879091</v>
      </c>
      <c r="BN5" s="72">
        <v>693.51370887322093</v>
      </c>
      <c r="BO5" s="72">
        <v>0</v>
      </c>
      <c r="BP5" s="72">
        <v>0</v>
      </c>
      <c r="BQ5" s="72">
        <v>0</v>
      </c>
      <c r="BR5" s="72">
        <v>0</v>
      </c>
      <c r="BS5" s="72">
        <v>0</v>
      </c>
      <c r="BT5" s="72">
        <v>0</v>
      </c>
      <c r="BU5" s="72">
        <v>0</v>
      </c>
      <c r="BV5" s="72">
        <v>1102.9988697196641</v>
      </c>
      <c r="BW5" s="72">
        <v>33496.689227352093</v>
      </c>
      <c r="BX5" s="72">
        <v>0</v>
      </c>
      <c r="BY5" s="72">
        <v>0</v>
      </c>
      <c r="BZ5" s="72">
        <v>0</v>
      </c>
      <c r="CA5" s="72">
        <v>0</v>
      </c>
      <c r="CB5" s="72">
        <v>28171.186100010833</v>
      </c>
      <c r="CC5" s="72">
        <v>0</v>
      </c>
      <c r="CD5" s="72">
        <v>5273.3524714221994</v>
      </c>
      <c r="CE5" s="72">
        <v>0</v>
      </c>
      <c r="CF5" s="72">
        <v>0</v>
      </c>
      <c r="CG5" s="72">
        <v>0</v>
      </c>
      <c r="CH5" s="72">
        <v>0</v>
      </c>
      <c r="CI5" s="72">
        <v>1362.3936334105435</v>
      </c>
      <c r="CJ5" s="72">
        <v>0</v>
      </c>
      <c r="CK5" s="72">
        <v>1362.3936334105435</v>
      </c>
      <c r="CL5" s="72">
        <v>2421.6385463794968</v>
      </c>
      <c r="CM5" s="72">
        <v>0</v>
      </c>
      <c r="CN5" s="72">
        <v>0</v>
      </c>
      <c r="CO5" s="72">
        <v>0</v>
      </c>
      <c r="CP5" s="72">
        <v>0</v>
      </c>
      <c r="CQ5" s="72">
        <v>0</v>
      </c>
      <c r="CR5" s="72">
        <v>539.0739443085813</v>
      </c>
      <c r="CS5" s="72">
        <v>0</v>
      </c>
      <c r="CT5" s="72">
        <v>0</v>
      </c>
      <c r="CU5" s="72">
        <v>0</v>
      </c>
      <c r="CV5" s="72">
        <v>0</v>
      </c>
      <c r="CW5" s="72">
        <v>0</v>
      </c>
      <c r="CX5" s="72">
        <v>0</v>
      </c>
      <c r="CY5" s="72">
        <v>716.02738284703082</v>
      </c>
      <c r="CZ5" s="72">
        <v>0</v>
      </c>
      <c r="DA5" s="72">
        <v>0</v>
      </c>
      <c r="DB5" s="72">
        <v>0</v>
      </c>
      <c r="DC5" s="72">
        <v>0</v>
      </c>
      <c r="DD5" s="72">
        <v>0</v>
      </c>
      <c r="DE5" s="72">
        <v>0</v>
      </c>
      <c r="DF5" s="72">
        <v>0</v>
      </c>
      <c r="DG5" s="72">
        <v>0</v>
      </c>
      <c r="DH5" s="72">
        <v>0</v>
      </c>
      <c r="DI5" s="72">
        <v>0</v>
      </c>
      <c r="DJ5" s="72">
        <v>0</v>
      </c>
      <c r="DK5" s="72">
        <v>0</v>
      </c>
      <c r="DL5" s="72">
        <v>0</v>
      </c>
      <c r="DM5" s="72">
        <v>0</v>
      </c>
      <c r="DN5" s="72">
        <v>0</v>
      </c>
      <c r="DO5" s="72">
        <v>0</v>
      </c>
      <c r="DP5" s="72">
        <v>0</v>
      </c>
      <c r="DQ5" s="72">
        <v>0</v>
      </c>
      <c r="DR5" s="72">
        <v>0</v>
      </c>
      <c r="DS5" s="72">
        <v>0</v>
      </c>
      <c r="DT5" s="72">
        <v>0</v>
      </c>
      <c r="DU5" s="72">
        <v>0</v>
      </c>
      <c r="DV5" s="72">
        <v>0</v>
      </c>
      <c r="DW5" s="72">
        <v>0</v>
      </c>
      <c r="DX5" s="72">
        <v>0</v>
      </c>
      <c r="DY5" s="72">
        <v>0</v>
      </c>
      <c r="DZ5" s="72">
        <v>0</v>
      </c>
      <c r="EA5" s="72">
        <v>0</v>
      </c>
      <c r="EB5" s="72">
        <v>0</v>
      </c>
      <c r="EC5" s="72">
        <v>0</v>
      </c>
      <c r="ED5" s="72">
        <v>0</v>
      </c>
      <c r="EE5" s="72">
        <v>0</v>
      </c>
      <c r="EF5" s="72">
        <v>0</v>
      </c>
      <c r="EG5" s="72">
        <v>0</v>
      </c>
      <c r="EH5" s="72">
        <v>0</v>
      </c>
      <c r="EI5" s="72">
        <v>0</v>
      </c>
      <c r="EJ5" s="72">
        <v>0</v>
      </c>
      <c r="EK5" s="72">
        <v>0</v>
      </c>
      <c r="EL5" s="72">
        <v>0</v>
      </c>
      <c r="EM5" s="72">
        <v>886.14820523438436</v>
      </c>
      <c r="EN5" s="72">
        <v>0</v>
      </c>
      <c r="EO5" s="72">
        <v>0</v>
      </c>
      <c r="EP5" s="72">
        <v>0</v>
      </c>
      <c r="EQ5" s="72">
        <v>0</v>
      </c>
      <c r="ER5" s="72">
        <v>0</v>
      </c>
      <c r="ES5" s="72">
        <v>0</v>
      </c>
      <c r="ET5" s="72">
        <v>0</v>
      </c>
      <c r="EU5" s="72">
        <v>0</v>
      </c>
      <c r="EV5" s="72">
        <v>0</v>
      </c>
      <c r="EW5" s="72">
        <v>0</v>
      </c>
      <c r="EX5" s="72">
        <v>0</v>
      </c>
      <c r="EY5" s="72">
        <v>0</v>
      </c>
      <c r="EZ5" s="72">
        <v>2585.8712746363767</v>
      </c>
      <c r="FA5" s="72">
        <v>9585.3170385898302</v>
      </c>
      <c r="FB5" s="72">
        <v>0</v>
      </c>
      <c r="FC5" s="72">
        <v>0</v>
      </c>
      <c r="FD5" s="72">
        <v>0</v>
      </c>
      <c r="FE5" s="72">
        <v>0</v>
      </c>
      <c r="FF5" s="72">
        <v>0</v>
      </c>
      <c r="FG5" s="72">
        <v>0</v>
      </c>
      <c r="FH5" s="72">
        <v>0</v>
      </c>
      <c r="FI5" s="72">
        <v>0</v>
      </c>
      <c r="FJ5" s="72">
        <v>0</v>
      </c>
      <c r="FK5" s="72">
        <v>0</v>
      </c>
      <c r="FL5" s="72">
        <v>5685.1713170693547</v>
      </c>
      <c r="FM5" s="72">
        <v>0</v>
      </c>
      <c r="FN5" s="72">
        <v>0</v>
      </c>
      <c r="FO5" s="72">
        <v>0</v>
      </c>
      <c r="FP5" s="72">
        <v>0</v>
      </c>
      <c r="FQ5" s="72">
        <v>0</v>
      </c>
      <c r="FR5" s="72">
        <v>0</v>
      </c>
      <c r="FS5" s="72">
        <v>0</v>
      </c>
      <c r="FT5" s="72">
        <v>0</v>
      </c>
      <c r="FU5" s="72">
        <v>0</v>
      </c>
      <c r="FV5" s="72">
        <v>0</v>
      </c>
      <c r="FW5" s="72">
        <v>0</v>
      </c>
      <c r="FX5" s="72">
        <v>0</v>
      </c>
      <c r="FY5" s="72">
        <v>0</v>
      </c>
      <c r="FZ5" s="72">
        <v>0</v>
      </c>
      <c r="GA5" s="72">
        <v>0</v>
      </c>
      <c r="GB5" s="72">
        <v>0</v>
      </c>
      <c r="GC5" s="72">
        <v>0</v>
      </c>
      <c r="GD5" s="72">
        <v>0</v>
      </c>
      <c r="GE5" s="72">
        <v>0</v>
      </c>
      <c r="GF5" s="72">
        <v>0</v>
      </c>
      <c r="GG5" s="72">
        <v>0</v>
      </c>
      <c r="GH5" s="72">
        <v>0</v>
      </c>
      <c r="GI5" s="72">
        <v>0</v>
      </c>
      <c r="GJ5" s="72">
        <v>0</v>
      </c>
      <c r="GK5" s="72">
        <v>0</v>
      </c>
      <c r="GL5" s="72">
        <v>0</v>
      </c>
      <c r="GM5" s="72">
        <v>0</v>
      </c>
      <c r="GN5" s="72">
        <v>0</v>
      </c>
      <c r="GO5" s="72">
        <v>0</v>
      </c>
      <c r="GP5" s="72">
        <v>0</v>
      </c>
      <c r="GQ5" s="72">
        <v>0</v>
      </c>
      <c r="GR5" s="72">
        <f t="shared" ref="GR5:GR68" si="0">SUM(B5:GQ5)</f>
        <v>317177.17920191213</v>
      </c>
      <c r="GS5" s="72">
        <f>SUM(B$5:B$202)</f>
        <v>317177.17920191213</v>
      </c>
      <c r="GT5" s="73" cm="1">
        <f t="array" ref="GT5:GT202">GR5:GR202-GS5:GS202</f>
        <v>0</v>
      </c>
    </row>
    <row r="6" spans="1:202" x14ac:dyDescent="0.2">
      <c r="A6" s="66" t="s">
        <v>146</v>
      </c>
      <c r="B6" s="72">
        <v>0</v>
      </c>
      <c r="C6" s="72">
        <v>0</v>
      </c>
      <c r="D6" s="72">
        <v>0</v>
      </c>
      <c r="E6" s="72">
        <v>0</v>
      </c>
      <c r="F6" s="72">
        <v>0</v>
      </c>
      <c r="G6" s="72">
        <v>0</v>
      </c>
      <c r="H6" s="72">
        <v>0</v>
      </c>
      <c r="I6" s="72">
        <v>0</v>
      </c>
      <c r="J6" s="72">
        <v>0</v>
      </c>
      <c r="K6" s="72">
        <v>0</v>
      </c>
      <c r="L6" s="72">
        <v>0</v>
      </c>
      <c r="M6" s="72">
        <v>0</v>
      </c>
      <c r="N6" s="72">
        <v>0</v>
      </c>
      <c r="O6" s="72">
        <v>0</v>
      </c>
      <c r="P6" s="72">
        <v>0</v>
      </c>
      <c r="Q6" s="72">
        <v>0</v>
      </c>
      <c r="R6" s="72">
        <v>0</v>
      </c>
      <c r="S6" s="72">
        <v>0</v>
      </c>
      <c r="T6" s="72">
        <v>0</v>
      </c>
      <c r="U6" s="72">
        <v>0</v>
      </c>
      <c r="V6" s="72">
        <v>0</v>
      </c>
      <c r="W6" s="72">
        <v>0</v>
      </c>
      <c r="X6" s="72">
        <v>0</v>
      </c>
      <c r="Y6" s="72">
        <v>0</v>
      </c>
      <c r="Z6" s="72">
        <v>0</v>
      </c>
      <c r="AA6" s="72">
        <v>0</v>
      </c>
      <c r="AB6" s="72">
        <v>0</v>
      </c>
      <c r="AC6" s="72">
        <v>0</v>
      </c>
      <c r="AD6" s="72">
        <v>0</v>
      </c>
      <c r="AE6" s="72">
        <v>0</v>
      </c>
      <c r="AF6" s="72">
        <v>0</v>
      </c>
      <c r="AG6" s="72">
        <v>0</v>
      </c>
      <c r="AH6" s="72">
        <v>0</v>
      </c>
      <c r="AI6" s="72">
        <v>0</v>
      </c>
      <c r="AJ6" s="72">
        <v>0</v>
      </c>
      <c r="AK6" s="72">
        <v>0</v>
      </c>
      <c r="AL6" s="72">
        <v>0</v>
      </c>
      <c r="AM6" s="72">
        <v>0</v>
      </c>
      <c r="AN6" s="72">
        <v>0</v>
      </c>
      <c r="AO6" s="72">
        <v>0</v>
      </c>
      <c r="AP6" s="72">
        <v>0</v>
      </c>
      <c r="AQ6" s="72">
        <v>0</v>
      </c>
      <c r="AR6" s="72">
        <v>0</v>
      </c>
      <c r="AS6" s="72">
        <v>0</v>
      </c>
      <c r="AT6" s="72">
        <v>0</v>
      </c>
      <c r="AU6" s="72">
        <v>0</v>
      </c>
      <c r="AV6" s="72">
        <v>0</v>
      </c>
      <c r="AW6" s="72">
        <v>0</v>
      </c>
      <c r="AX6" s="72">
        <v>0</v>
      </c>
      <c r="AY6" s="72">
        <v>0</v>
      </c>
      <c r="AZ6" s="72">
        <v>0</v>
      </c>
      <c r="BA6" s="72">
        <v>0</v>
      </c>
      <c r="BB6" s="72">
        <v>0</v>
      </c>
      <c r="BC6" s="72">
        <v>0</v>
      </c>
      <c r="BD6" s="72">
        <v>0</v>
      </c>
      <c r="BE6" s="72">
        <v>0</v>
      </c>
      <c r="BF6" s="72">
        <v>0</v>
      </c>
      <c r="BG6" s="72">
        <v>0</v>
      </c>
      <c r="BH6" s="72">
        <v>0</v>
      </c>
      <c r="BI6" s="72">
        <v>0</v>
      </c>
      <c r="BJ6" s="72">
        <v>0</v>
      </c>
      <c r="BK6" s="72">
        <v>0</v>
      </c>
      <c r="BL6" s="72">
        <v>0</v>
      </c>
      <c r="BM6" s="72">
        <v>0</v>
      </c>
      <c r="BN6" s="72">
        <v>15004.489103571585</v>
      </c>
      <c r="BO6" s="72">
        <v>0</v>
      </c>
      <c r="BP6" s="72">
        <v>0</v>
      </c>
      <c r="BQ6" s="72">
        <v>0</v>
      </c>
      <c r="BR6" s="72">
        <v>0</v>
      </c>
      <c r="BS6" s="72">
        <v>0</v>
      </c>
      <c r="BT6" s="72">
        <v>0</v>
      </c>
      <c r="BU6" s="72">
        <v>0</v>
      </c>
      <c r="BV6" s="72">
        <v>0</v>
      </c>
      <c r="BW6" s="72">
        <v>0</v>
      </c>
      <c r="BX6" s="72">
        <v>0</v>
      </c>
      <c r="BY6" s="72">
        <v>0</v>
      </c>
      <c r="BZ6" s="72">
        <v>0</v>
      </c>
      <c r="CA6" s="72">
        <v>0</v>
      </c>
      <c r="CB6" s="72">
        <v>0</v>
      </c>
      <c r="CC6" s="72">
        <v>0</v>
      </c>
      <c r="CD6" s="72">
        <v>0</v>
      </c>
      <c r="CE6" s="72">
        <v>0</v>
      </c>
      <c r="CF6" s="72">
        <v>0</v>
      </c>
      <c r="CG6" s="72">
        <v>0</v>
      </c>
      <c r="CH6" s="72">
        <v>0</v>
      </c>
      <c r="CI6" s="72">
        <v>0</v>
      </c>
      <c r="CJ6" s="72">
        <v>0</v>
      </c>
      <c r="CK6" s="72">
        <v>0</v>
      </c>
      <c r="CL6" s="72">
        <v>0</v>
      </c>
      <c r="CM6" s="72">
        <v>0</v>
      </c>
      <c r="CN6" s="72">
        <v>0</v>
      </c>
      <c r="CO6" s="72">
        <v>0</v>
      </c>
      <c r="CP6" s="72">
        <v>0</v>
      </c>
      <c r="CQ6" s="72">
        <v>0</v>
      </c>
      <c r="CR6" s="72">
        <v>0</v>
      </c>
      <c r="CS6" s="72">
        <v>0</v>
      </c>
      <c r="CT6" s="72">
        <v>0</v>
      </c>
      <c r="CU6" s="72">
        <v>0</v>
      </c>
      <c r="CV6" s="72">
        <v>0</v>
      </c>
      <c r="CW6" s="72">
        <v>0</v>
      </c>
      <c r="CX6" s="72">
        <v>0</v>
      </c>
      <c r="CY6" s="72">
        <v>0</v>
      </c>
      <c r="CZ6" s="72">
        <v>0</v>
      </c>
      <c r="DA6" s="72">
        <v>0</v>
      </c>
      <c r="DB6" s="72">
        <v>0</v>
      </c>
      <c r="DC6" s="72">
        <v>0</v>
      </c>
      <c r="DD6" s="72">
        <v>0</v>
      </c>
      <c r="DE6" s="72">
        <v>0</v>
      </c>
      <c r="DF6" s="72">
        <v>0</v>
      </c>
      <c r="DG6" s="72">
        <v>0</v>
      </c>
      <c r="DH6" s="72">
        <v>0</v>
      </c>
      <c r="DI6" s="72">
        <v>0</v>
      </c>
      <c r="DJ6" s="72">
        <v>0</v>
      </c>
      <c r="DK6" s="72">
        <v>0</v>
      </c>
      <c r="DL6" s="72">
        <v>0</v>
      </c>
      <c r="DM6" s="72">
        <v>0</v>
      </c>
      <c r="DN6" s="72">
        <v>0</v>
      </c>
      <c r="DO6" s="72">
        <v>0</v>
      </c>
      <c r="DP6" s="72">
        <v>0</v>
      </c>
      <c r="DQ6" s="72">
        <v>0</v>
      </c>
      <c r="DR6" s="72">
        <v>0</v>
      </c>
      <c r="DS6" s="72">
        <v>0</v>
      </c>
      <c r="DT6" s="72">
        <v>0</v>
      </c>
      <c r="DU6" s="72">
        <v>0</v>
      </c>
      <c r="DV6" s="72">
        <v>0</v>
      </c>
      <c r="DW6" s="72">
        <v>0</v>
      </c>
      <c r="DX6" s="72">
        <v>0</v>
      </c>
      <c r="DY6" s="72">
        <v>0</v>
      </c>
      <c r="DZ6" s="72">
        <v>0</v>
      </c>
      <c r="EA6" s="72">
        <v>0</v>
      </c>
      <c r="EB6" s="72">
        <v>0</v>
      </c>
      <c r="EC6" s="72">
        <v>0</v>
      </c>
      <c r="ED6" s="72">
        <v>0</v>
      </c>
      <c r="EE6" s="72">
        <v>0</v>
      </c>
      <c r="EF6" s="72">
        <v>0</v>
      </c>
      <c r="EG6" s="72">
        <v>0</v>
      </c>
      <c r="EH6" s="72">
        <v>0</v>
      </c>
      <c r="EI6" s="72">
        <v>0</v>
      </c>
      <c r="EJ6" s="72">
        <v>0</v>
      </c>
      <c r="EK6" s="72">
        <v>0</v>
      </c>
      <c r="EL6" s="72">
        <v>0</v>
      </c>
      <c r="EM6" s="72">
        <v>0</v>
      </c>
      <c r="EN6" s="72">
        <v>0</v>
      </c>
      <c r="EO6" s="72">
        <v>0</v>
      </c>
      <c r="EP6" s="72">
        <v>0</v>
      </c>
      <c r="EQ6" s="72">
        <v>0</v>
      </c>
      <c r="ER6" s="72">
        <v>0</v>
      </c>
      <c r="ES6" s="72">
        <v>0</v>
      </c>
      <c r="ET6" s="72">
        <v>0</v>
      </c>
      <c r="EU6" s="72">
        <v>0</v>
      </c>
      <c r="EV6" s="72">
        <v>0</v>
      </c>
      <c r="EW6" s="72">
        <v>0</v>
      </c>
      <c r="EX6" s="72">
        <v>0</v>
      </c>
      <c r="EY6" s="72">
        <v>0</v>
      </c>
      <c r="EZ6" s="72">
        <v>0</v>
      </c>
      <c r="FA6" s="72">
        <v>0</v>
      </c>
      <c r="FB6" s="72">
        <v>0</v>
      </c>
      <c r="FC6" s="72">
        <v>0</v>
      </c>
      <c r="FD6" s="72">
        <v>0</v>
      </c>
      <c r="FE6" s="72">
        <v>0</v>
      </c>
      <c r="FF6" s="72">
        <v>0</v>
      </c>
      <c r="FG6" s="72">
        <v>0</v>
      </c>
      <c r="FH6" s="72">
        <v>0</v>
      </c>
      <c r="FI6" s="72">
        <v>0</v>
      </c>
      <c r="FJ6" s="72">
        <v>0</v>
      </c>
      <c r="FK6" s="72">
        <v>0</v>
      </c>
      <c r="FL6" s="72">
        <v>0</v>
      </c>
      <c r="FM6" s="72">
        <v>0</v>
      </c>
      <c r="FN6" s="72">
        <v>0</v>
      </c>
      <c r="FO6" s="72">
        <v>0</v>
      </c>
      <c r="FP6" s="72">
        <v>0</v>
      </c>
      <c r="FQ6" s="72">
        <v>0</v>
      </c>
      <c r="FR6" s="72">
        <v>0</v>
      </c>
      <c r="FS6" s="72">
        <v>0</v>
      </c>
      <c r="FT6" s="72">
        <v>0</v>
      </c>
      <c r="FU6" s="72">
        <v>0</v>
      </c>
      <c r="FV6" s="72">
        <v>0</v>
      </c>
      <c r="FW6" s="72">
        <v>0</v>
      </c>
      <c r="FX6" s="72">
        <v>0</v>
      </c>
      <c r="FY6" s="72">
        <v>0</v>
      </c>
      <c r="FZ6" s="72">
        <v>0</v>
      </c>
      <c r="GA6" s="72">
        <v>0</v>
      </c>
      <c r="GB6" s="72">
        <v>0</v>
      </c>
      <c r="GC6" s="72">
        <v>0</v>
      </c>
      <c r="GD6" s="72">
        <v>0</v>
      </c>
      <c r="GE6" s="72">
        <v>0</v>
      </c>
      <c r="GF6" s="72">
        <v>0</v>
      </c>
      <c r="GG6" s="72">
        <v>0</v>
      </c>
      <c r="GH6" s="72">
        <v>0</v>
      </c>
      <c r="GI6" s="72">
        <v>0</v>
      </c>
      <c r="GJ6" s="72">
        <v>0</v>
      </c>
      <c r="GK6" s="72">
        <v>0</v>
      </c>
      <c r="GL6" s="72">
        <v>0</v>
      </c>
      <c r="GM6" s="72">
        <v>0</v>
      </c>
      <c r="GN6" s="72">
        <v>0</v>
      </c>
      <c r="GO6" s="72">
        <v>0</v>
      </c>
      <c r="GP6" s="72">
        <v>0</v>
      </c>
      <c r="GQ6" s="72">
        <v>0</v>
      </c>
      <c r="GR6" s="72">
        <f t="shared" si="0"/>
        <v>15004.489103571585</v>
      </c>
      <c r="GS6" s="72">
        <f>SUM(C$5:C$202)</f>
        <v>15004.489103571588</v>
      </c>
      <c r="GT6" s="73">
        <v>0</v>
      </c>
    </row>
    <row r="7" spans="1:202" x14ac:dyDescent="0.2">
      <c r="A7" s="66" t="s">
        <v>151</v>
      </c>
      <c r="B7" s="72">
        <v>0</v>
      </c>
      <c r="C7" s="72">
        <v>0</v>
      </c>
      <c r="D7" s="72">
        <v>0</v>
      </c>
      <c r="E7" s="72">
        <v>0</v>
      </c>
      <c r="F7" s="72">
        <v>0</v>
      </c>
      <c r="G7" s="72">
        <v>0</v>
      </c>
      <c r="H7" s="72">
        <v>0</v>
      </c>
      <c r="I7" s="72">
        <v>0</v>
      </c>
      <c r="J7" s="72">
        <v>0</v>
      </c>
      <c r="K7" s="72">
        <v>0</v>
      </c>
      <c r="L7" s="72">
        <v>0</v>
      </c>
      <c r="M7" s="72">
        <v>0</v>
      </c>
      <c r="N7" s="72">
        <v>0</v>
      </c>
      <c r="O7" s="72">
        <v>0</v>
      </c>
      <c r="P7" s="72">
        <v>0</v>
      </c>
      <c r="Q7" s="72">
        <v>0</v>
      </c>
      <c r="R7" s="72">
        <v>0</v>
      </c>
      <c r="S7" s="72">
        <v>0</v>
      </c>
      <c r="T7" s="72">
        <v>0</v>
      </c>
      <c r="U7" s="72">
        <v>0</v>
      </c>
      <c r="V7" s="72">
        <v>0</v>
      </c>
      <c r="W7" s="72">
        <v>0</v>
      </c>
      <c r="X7" s="72">
        <v>0</v>
      </c>
      <c r="Y7" s="72">
        <v>0</v>
      </c>
      <c r="Z7" s="72">
        <v>0</v>
      </c>
      <c r="AA7" s="72">
        <v>0</v>
      </c>
      <c r="AB7" s="72">
        <v>0</v>
      </c>
      <c r="AC7" s="72">
        <v>0</v>
      </c>
      <c r="AD7" s="72">
        <v>0</v>
      </c>
      <c r="AE7" s="72">
        <v>0</v>
      </c>
      <c r="AF7" s="72">
        <v>0</v>
      </c>
      <c r="AG7" s="72">
        <v>0</v>
      </c>
      <c r="AH7" s="72">
        <v>0</v>
      </c>
      <c r="AI7" s="72">
        <v>0</v>
      </c>
      <c r="AJ7" s="72">
        <v>0</v>
      </c>
      <c r="AK7" s="72">
        <v>0</v>
      </c>
      <c r="AL7" s="72">
        <v>0</v>
      </c>
      <c r="AM7" s="72">
        <v>0</v>
      </c>
      <c r="AN7" s="72">
        <v>0</v>
      </c>
      <c r="AO7" s="72">
        <v>0</v>
      </c>
      <c r="AP7" s="72">
        <v>0</v>
      </c>
      <c r="AQ7" s="72">
        <v>0</v>
      </c>
      <c r="AR7" s="72">
        <v>0</v>
      </c>
      <c r="AS7" s="72">
        <v>0</v>
      </c>
      <c r="AT7" s="72">
        <v>0</v>
      </c>
      <c r="AU7" s="72">
        <v>0</v>
      </c>
      <c r="AV7" s="72">
        <v>0</v>
      </c>
      <c r="AW7" s="72">
        <v>0</v>
      </c>
      <c r="AX7" s="72">
        <v>0</v>
      </c>
      <c r="AY7" s="72">
        <v>0</v>
      </c>
      <c r="AZ7" s="72">
        <v>0</v>
      </c>
      <c r="BA7" s="72">
        <v>0</v>
      </c>
      <c r="BB7" s="72">
        <v>0</v>
      </c>
      <c r="BC7" s="72">
        <v>0</v>
      </c>
      <c r="BD7" s="72">
        <v>0</v>
      </c>
      <c r="BE7" s="72">
        <v>0</v>
      </c>
      <c r="BF7" s="72">
        <v>0</v>
      </c>
      <c r="BG7" s="72">
        <v>0</v>
      </c>
      <c r="BH7" s="72">
        <v>0</v>
      </c>
      <c r="BI7" s="72">
        <v>0</v>
      </c>
      <c r="BJ7" s="72">
        <v>0</v>
      </c>
      <c r="BK7" s="72">
        <v>0</v>
      </c>
      <c r="BL7" s="72">
        <v>0</v>
      </c>
      <c r="BM7" s="72">
        <v>0</v>
      </c>
      <c r="BN7" s="72">
        <v>0</v>
      </c>
      <c r="BO7" s="72">
        <v>7722.7186014422368</v>
      </c>
      <c r="BP7" s="72">
        <v>0</v>
      </c>
      <c r="BQ7" s="72">
        <v>0</v>
      </c>
      <c r="BR7" s="72">
        <v>0</v>
      </c>
      <c r="BS7" s="72">
        <v>0</v>
      </c>
      <c r="BT7" s="72">
        <v>0</v>
      </c>
      <c r="BU7" s="72">
        <v>0</v>
      </c>
      <c r="BV7" s="72">
        <v>0</v>
      </c>
      <c r="BW7" s="72">
        <v>0</v>
      </c>
      <c r="BX7" s="72">
        <v>12393.081466089836</v>
      </c>
      <c r="BY7" s="72">
        <v>0</v>
      </c>
      <c r="BZ7" s="72">
        <v>0</v>
      </c>
      <c r="CA7" s="72">
        <v>0</v>
      </c>
      <c r="CB7" s="72">
        <v>0</v>
      </c>
      <c r="CC7" s="72">
        <v>0</v>
      </c>
      <c r="CD7" s="72">
        <v>0</v>
      </c>
      <c r="CE7" s="72">
        <v>0</v>
      </c>
      <c r="CF7" s="72">
        <v>0</v>
      </c>
      <c r="CG7" s="72">
        <v>0</v>
      </c>
      <c r="CH7" s="72">
        <v>0</v>
      </c>
      <c r="CI7" s="72">
        <v>0</v>
      </c>
      <c r="CJ7" s="72">
        <v>0</v>
      </c>
      <c r="CK7" s="72">
        <v>0</v>
      </c>
      <c r="CL7" s="72">
        <v>0</v>
      </c>
      <c r="CM7" s="72">
        <v>0</v>
      </c>
      <c r="CN7" s="72">
        <v>0</v>
      </c>
      <c r="CO7" s="72">
        <v>0</v>
      </c>
      <c r="CP7" s="72">
        <v>0</v>
      </c>
      <c r="CQ7" s="72">
        <v>0</v>
      </c>
      <c r="CR7" s="72">
        <v>0</v>
      </c>
      <c r="CS7" s="72">
        <v>0</v>
      </c>
      <c r="CT7" s="72">
        <v>0</v>
      </c>
      <c r="CU7" s="72">
        <v>0</v>
      </c>
      <c r="CV7" s="72">
        <v>0</v>
      </c>
      <c r="CW7" s="72">
        <v>0</v>
      </c>
      <c r="CX7" s="72">
        <v>0</v>
      </c>
      <c r="CY7" s="72">
        <v>0</v>
      </c>
      <c r="CZ7" s="72">
        <v>0</v>
      </c>
      <c r="DA7" s="72">
        <v>0</v>
      </c>
      <c r="DB7" s="72">
        <v>0</v>
      </c>
      <c r="DC7" s="72">
        <v>0</v>
      </c>
      <c r="DD7" s="72">
        <v>0</v>
      </c>
      <c r="DE7" s="72">
        <v>0</v>
      </c>
      <c r="DF7" s="72">
        <v>0</v>
      </c>
      <c r="DG7" s="72">
        <v>0</v>
      </c>
      <c r="DH7" s="72">
        <v>0</v>
      </c>
      <c r="DI7" s="72">
        <v>0</v>
      </c>
      <c r="DJ7" s="72">
        <v>0</v>
      </c>
      <c r="DK7" s="72">
        <v>0</v>
      </c>
      <c r="DL7" s="72">
        <v>0</v>
      </c>
      <c r="DM7" s="72">
        <v>0</v>
      </c>
      <c r="DN7" s="72">
        <v>0</v>
      </c>
      <c r="DO7" s="72">
        <v>0</v>
      </c>
      <c r="DP7" s="72">
        <v>0</v>
      </c>
      <c r="DQ7" s="72">
        <v>0</v>
      </c>
      <c r="DR7" s="72">
        <v>0</v>
      </c>
      <c r="DS7" s="72">
        <v>0</v>
      </c>
      <c r="DT7" s="72">
        <v>0</v>
      </c>
      <c r="DU7" s="72">
        <v>0</v>
      </c>
      <c r="DV7" s="72">
        <v>0</v>
      </c>
      <c r="DW7" s="72">
        <v>0</v>
      </c>
      <c r="DX7" s="72">
        <v>0</v>
      </c>
      <c r="DY7" s="72">
        <v>0</v>
      </c>
      <c r="DZ7" s="72">
        <v>0</v>
      </c>
      <c r="EA7" s="72">
        <v>0</v>
      </c>
      <c r="EB7" s="72">
        <v>0</v>
      </c>
      <c r="EC7" s="72">
        <v>0</v>
      </c>
      <c r="ED7" s="72">
        <v>0</v>
      </c>
      <c r="EE7" s="72">
        <v>0</v>
      </c>
      <c r="EF7" s="72">
        <v>0</v>
      </c>
      <c r="EG7" s="72">
        <v>0</v>
      </c>
      <c r="EH7" s="72">
        <v>0</v>
      </c>
      <c r="EI7" s="72">
        <v>0</v>
      </c>
      <c r="EJ7" s="72">
        <v>0</v>
      </c>
      <c r="EK7" s="72">
        <v>0</v>
      </c>
      <c r="EL7" s="72">
        <v>0</v>
      </c>
      <c r="EM7" s="72">
        <v>0</v>
      </c>
      <c r="EN7" s="72">
        <v>0</v>
      </c>
      <c r="EO7" s="72">
        <v>0</v>
      </c>
      <c r="EP7" s="72">
        <v>0</v>
      </c>
      <c r="EQ7" s="72">
        <v>0</v>
      </c>
      <c r="ER7" s="72">
        <v>0</v>
      </c>
      <c r="ES7" s="72">
        <v>0</v>
      </c>
      <c r="ET7" s="72">
        <v>0</v>
      </c>
      <c r="EU7" s="72">
        <v>0</v>
      </c>
      <c r="EV7" s="72">
        <v>0</v>
      </c>
      <c r="EW7" s="72">
        <v>0</v>
      </c>
      <c r="EX7" s="72">
        <v>0</v>
      </c>
      <c r="EY7" s="72">
        <v>0</v>
      </c>
      <c r="EZ7" s="72">
        <v>0</v>
      </c>
      <c r="FA7" s="72">
        <v>0</v>
      </c>
      <c r="FB7" s="72">
        <v>0</v>
      </c>
      <c r="FC7" s="72">
        <v>0</v>
      </c>
      <c r="FD7" s="72">
        <v>0</v>
      </c>
      <c r="FE7" s="72">
        <v>0</v>
      </c>
      <c r="FF7" s="72">
        <v>0</v>
      </c>
      <c r="FG7" s="72">
        <v>0</v>
      </c>
      <c r="FH7" s="72">
        <v>0</v>
      </c>
      <c r="FI7" s="72">
        <v>0</v>
      </c>
      <c r="FJ7" s="72">
        <v>0</v>
      </c>
      <c r="FK7" s="72">
        <v>0</v>
      </c>
      <c r="FL7" s="72">
        <v>0</v>
      </c>
      <c r="FM7" s="72">
        <v>0</v>
      </c>
      <c r="FN7" s="72">
        <v>0</v>
      </c>
      <c r="FO7" s="72">
        <v>0</v>
      </c>
      <c r="FP7" s="72">
        <v>0</v>
      </c>
      <c r="FQ7" s="72">
        <v>0</v>
      </c>
      <c r="FR7" s="72">
        <v>0</v>
      </c>
      <c r="FS7" s="72">
        <v>0</v>
      </c>
      <c r="FT7" s="72">
        <v>0</v>
      </c>
      <c r="FU7" s="72">
        <v>0</v>
      </c>
      <c r="FV7" s="72">
        <v>0</v>
      </c>
      <c r="FW7" s="72">
        <v>0</v>
      </c>
      <c r="FX7" s="72">
        <v>0</v>
      </c>
      <c r="FY7" s="72">
        <v>0</v>
      </c>
      <c r="FZ7" s="72">
        <v>0</v>
      </c>
      <c r="GA7" s="72">
        <v>0</v>
      </c>
      <c r="GB7" s="72">
        <v>0</v>
      </c>
      <c r="GC7" s="72">
        <v>0</v>
      </c>
      <c r="GD7" s="72">
        <v>0</v>
      </c>
      <c r="GE7" s="72">
        <v>0</v>
      </c>
      <c r="GF7" s="72">
        <v>0</v>
      </c>
      <c r="GG7" s="72">
        <v>0</v>
      </c>
      <c r="GH7" s="72">
        <v>0</v>
      </c>
      <c r="GI7" s="72">
        <v>0</v>
      </c>
      <c r="GJ7" s="72">
        <v>0</v>
      </c>
      <c r="GK7" s="72">
        <v>0</v>
      </c>
      <c r="GL7" s="72">
        <v>0</v>
      </c>
      <c r="GM7" s="72">
        <v>0</v>
      </c>
      <c r="GN7" s="72">
        <v>0</v>
      </c>
      <c r="GO7" s="72">
        <v>0</v>
      </c>
      <c r="GP7" s="72">
        <v>0</v>
      </c>
      <c r="GQ7" s="72">
        <v>0</v>
      </c>
      <c r="GR7" s="72">
        <f t="shared" si="0"/>
        <v>20115.800067532073</v>
      </c>
      <c r="GS7" s="72">
        <f>SUM(D$5:D$202)</f>
        <v>20115.800067532073</v>
      </c>
      <c r="GT7" s="73">
        <v>0</v>
      </c>
    </row>
    <row r="8" spans="1:202" x14ac:dyDescent="0.2">
      <c r="A8" s="66" t="s">
        <v>154</v>
      </c>
      <c r="B8" s="72">
        <v>0</v>
      </c>
      <c r="C8" s="72">
        <v>0</v>
      </c>
      <c r="D8" s="72">
        <v>0</v>
      </c>
      <c r="E8" s="72">
        <v>0</v>
      </c>
      <c r="F8" s="72">
        <v>0</v>
      </c>
      <c r="G8" s="72">
        <v>0</v>
      </c>
      <c r="H8" s="72">
        <v>0</v>
      </c>
      <c r="I8" s="72">
        <v>0</v>
      </c>
      <c r="J8" s="72">
        <v>0</v>
      </c>
      <c r="K8" s="72">
        <v>0</v>
      </c>
      <c r="L8" s="72">
        <v>0</v>
      </c>
      <c r="M8" s="72">
        <v>0</v>
      </c>
      <c r="N8" s="72">
        <v>0</v>
      </c>
      <c r="O8" s="72">
        <v>0</v>
      </c>
      <c r="P8" s="72">
        <v>0</v>
      </c>
      <c r="Q8" s="72">
        <v>0</v>
      </c>
      <c r="R8" s="72">
        <v>0</v>
      </c>
      <c r="S8" s="72">
        <v>0</v>
      </c>
      <c r="T8" s="72">
        <v>0</v>
      </c>
      <c r="U8" s="72">
        <v>0</v>
      </c>
      <c r="V8" s="72">
        <v>0</v>
      </c>
      <c r="W8" s="72">
        <v>0</v>
      </c>
      <c r="X8" s="72">
        <v>0</v>
      </c>
      <c r="Y8" s="72">
        <v>0</v>
      </c>
      <c r="Z8" s="72">
        <v>0</v>
      </c>
      <c r="AA8" s="72">
        <v>0</v>
      </c>
      <c r="AB8" s="72">
        <v>0</v>
      </c>
      <c r="AC8" s="72">
        <v>0</v>
      </c>
      <c r="AD8" s="72">
        <v>0</v>
      </c>
      <c r="AE8" s="72">
        <v>0</v>
      </c>
      <c r="AF8" s="72">
        <v>0</v>
      </c>
      <c r="AG8" s="72">
        <v>0</v>
      </c>
      <c r="AH8" s="72">
        <v>0</v>
      </c>
      <c r="AI8" s="72">
        <v>0</v>
      </c>
      <c r="AJ8" s="72">
        <v>0</v>
      </c>
      <c r="AK8" s="72">
        <v>0</v>
      </c>
      <c r="AL8" s="72">
        <v>0</v>
      </c>
      <c r="AM8" s="72">
        <v>0</v>
      </c>
      <c r="AN8" s="72">
        <v>0</v>
      </c>
      <c r="AO8" s="72">
        <v>0</v>
      </c>
      <c r="AP8" s="72">
        <v>0</v>
      </c>
      <c r="AQ8" s="72">
        <v>0</v>
      </c>
      <c r="AR8" s="72">
        <v>0</v>
      </c>
      <c r="AS8" s="72">
        <v>0</v>
      </c>
      <c r="AT8" s="72">
        <v>0</v>
      </c>
      <c r="AU8" s="72">
        <v>0</v>
      </c>
      <c r="AV8" s="72">
        <v>0</v>
      </c>
      <c r="AW8" s="72">
        <v>0</v>
      </c>
      <c r="AX8" s="72">
        <v>0</v>
      </c>
      <c r="AY8" s="72">
        <v>0</v>
      </c>
      <c r="AZ8" s="72">
        <v>0</v>
      </c>
      <c r="BA8" s="72">
        <v>0</v>
      </c>
      <c r="BB8" s="72">
        <v>0</v>
      </c>
      <c r="BC8" s="72">
        <v>0</v>
      </c>
      <c r="BD8" s="72">
        <v>0</v>
      </c>
      <c r="BE8" s="72">
        <v>0</v>
      </c>
      <c r="BF8" s="72">
        <v>0</v>
      </c>
      <c r="BG8" s="72">
        <v>0</v>
      </c>
      <c r="BH8" s="72">
        <v>0</v>
      </c>
      <c r="BI8" s="72">
        <v>0</v>
      </c>
      <c r="BJ8" s="72">
        <v>0</v>
      </c>
      <c r="BK8" s="72">
        <v>0</v>
      </c>
      <c r="BL8" s="72">
        <v>0</v>
      </c>
      <c r="BM8" s="72">
        <v>0</v>
      </c>
      <c r="BN8" s="72">
        <v>0</v>
      </c>
      <c r="BO8" s="72">
        <v>0</v>
      </c>
      <c r="BP8" s="72">
        <v>134732.53846337632</v>
      </c>
      <c r="BQ8" s="72">
        <v>0</v>
      </c>
      <c r="BR8" s="72">
        <v>0</v>
      </c>
      <c r="BS8" s="72">
        <v>0</v>
      </c>
      <c r="BT8" s="72">
        <v>433.60751650993313</v>
      </c>
      <c r="BU8" s="72">
        <v>0</v>
      </c>
      <c r="BV8" s="72">
        <v>0</v>
      </c>
      <c r="BW8" s="72">
        <v>0</v>
      </c>
      <c r="BX8" s="72">
        <v>0</v>
      </c>
      <c r="BY8" s="72">
        <v>0</v>
      </c>
      <c r="BZ8" s="72">
        <v>0</v>
      </c>
      <c r="CA8" s="72">
        <v>0</v>
      </c>
      <c r="CB8" s="72">
        <v>0</v>
      </c>
      <c r="CC8" s="72">
        <v>0</v>
      </c>
      <c r="CD8" s="72">
        <v>0</v>
      </c>
      <c r="CE8" s="72">
        <v>0</v>
      </c>
      <c r="CF8" s="72">
        <v>0</v>
      </c>
      <c r="CG8" s="72">
        <v>0</v>
      </c>
      <c r="CH8" s="72">
        <v>0</v>
      </c>
      <c r="CI8" s="72">
        <v>0</v>
      </c>
      <c r="CJ8" s="72">
        <v>0</v>
      </c>
      <c r="CK8" s="72">
        <v>0</v>
      </c>
      <c r="CL8" s="72">
        <v>0</v>
      </c>
      <c r="CM8" s="72">
        <v>0</v>
      </c>
      <c r="CN8" s="72">
        <v>0</v>
      </c>
      <c r="CO8" s="72">
        <v>0</v>
      </c>
      <c r="CP8" s="72">
        <v>0</v>
      </c>
      <c r="CQ8" s="72">
        <v>0</v>
      </c>
      <c r="CR8" s="72">
        <v>0</v>
      </c>
      <c r="CS8" s="72">
        <v>0</v>
      </c>
      <c r="CT8" s="72">
        <v>0</v>
      </c>
      <c r="CU8" s="72">
        <v>0</v>
      </c>
      <c r="CV8" s="72">
        <v>0</v>
      </c>
      <c r="CW8" s="72">
        <v>0</v>
      </c>
      <c r="CX8" s="72">
        <v>0</v>
      </c>
      <c r="CY8" s="72">
        <v>0</v>
      </c>
      <c r="CZ8" s="72">
        <v>0</v>
      </c>
      <c r="DA8" s="72">
        <v>0</v>
      </c>
      <c r="DB8" s="72">
        <v>0</v>
      </c>
      <c r="DC8" s="72">
        <v>0</v>
      </c>
      <c r="DD8" s="72">
        <v>0</v>
      </c>
      <c r="DE8" s="72">
        <v>0</v>
      </c>
      <c r="DF8" s="72">
        <v>0</v>
      </c>
      <c r="DG8" s="72">
        <v>0</v>
      </c>
      <c r="DH8" s="72">
        <v>0</v>
      </c>
      <c r="DI8" s="72">
        <v>0</v>
      </c>
      <c r="DJ8" s="72">
        <v>0</v>
      </c>
      <c r="DK8" s="72">
        <v>0</v>
      </c>
      <c r="DL8" s="72">
        <v>0</v>
      </c>
      <c r="DM8" s="72">
        <v>0</v>
      </c>
      <c r="DN8" s="72">
        <v>0</v>
      </c>
      <c r="DO8" s="72">
        <v>0</v>
      </c>
      <c r="DP8" s="72">
        <v>0</v>
      </c>
      <c r="DQ8" s="72">
        <v>0</v>
      </c>
      <c r="DR8" s="72">
        <v>0</v>
      </c>
      <c r="DS8" s="72">
        <v>0</v>
      </c>
      <c r="DT8" s="72">
        <v>0</v>
      </c>
      <c r="DU8" s="72">
        <v>0</v>
      </c>
      <c r="DV8" s="72">
        <v>0</v>
      </c>
      <c r="DW8" s="72">
        <v>0</v>
      </c>
      <c r="DX8" s="72">
        <v>0</v>
      </c>
      <c r="DY8" s="72">
        <v>0</v>
      </c>
      <c r="DZ8" s="72">
        <v>0</v>
      </c>
      <c r="EA8" s="72">
        <v>0</v>
      </c>
      <c r="EB8" s="72">
        <v>0</v>
      </c>
      <c r="EC8" s="72">
        <v>0</v>
      </c>
      <c r="ED8" s="72">
        <v>0</v>
      </c>
      <c r="EE8" s="72">
        <v>0</v>
      </c>
      <c r="EF8" s="72">
        <v>0</v>
      </c>
      <c r="EG8" s="72">
        <v>0</v>
      </c>
      <c r="EH8" s="72">
        <v>0</v>
      </c>
      <c r="EI8" s="72">
        <v>0</v>
      </c>
      <c r="EJ8" s="72">
        <v>0</v>
      </c>
      <c r="EK8" s="72">
        <v>0</v>
      </c>
      <c r="EL8" s="72">
        <v>0</v>
      </c>
      <c r="EM8" s="72">
        <v>0</v>
      </c>
      <c r="EN8" s="72">
        <v>0</v>
      </c>
      <c r="EO8" s="72">
        <v>0</v>
      </c>
      <c r="EP8" s="72">
        <v>0</v>
      </c>
      <c r="EQ8" s="72">
        <v>0</v>
      </c>
      <c r="ER8" s="72">
        <v>0</v>
      </c>
      <c r="ES8" s="72">
        <v>0</v>
      </c>
      <c r="ET8" s="72">
        <v>0</v>
      </c>
      <c r="EU8" s="72">
        <v>0</v>
      </c>
      <c r="EV8" s="72">
        <v>0</v>
      </c>
      <c r="EW8" s="72">
        <v>0</v>
      </c>
      <c r="EX8" s="72">
        <v>0</v>
      </c>
      <c r="EY8" s="72">
        <v>0</v>
      </c>
      <c r="EZ8" s="72">
        <v>0</v>
      </c>
      <c r="FA8" s="72">
        <v>0</v>
      </c>
      <c r="FB8" s="72">
        <v>0</v>
      </c>
      <c r="FC8" s="72">
        <v>0</v>
      </c>
      <c r="FD8" s="72">
        <v>0</v>
      </c>
      <c r="FE8" s="72">
        <v>0</v>
      </c>
      <c r="FF8" s="72">
        <v>13485.822180149513</v>
      </c>
      <c r="FG8" s="72">
        <v>0</v>
      </c>
      <c r="FH8" s="72">
        <v>0</v>
      </c>
      <c r="FI8" s="72">
        <v>0</v>
      </c>
      <c r="FJ8" s="72">
        <v>0</v>
      </c>
      <c r="FK8" s="72">
        <v>0</v>
      </c>
      <c r="FL8" s="72">
        <v>0</v>
      </c>
      <c r="FM8" s="72">
        <v>0</v>
      </c>
      <c r="FN8" s="72">
        <v>0</v>
      </c>
      <c r="FO8" s="72">
        <v>0</v>
      </c>
      <c r="FP8" s="72">
        <v>0</v>
      </c>
      <c r="FQ8" s="72">
        <v>0</v>
      </c>
      <c r="FR8" s="72">
        <v>0</v>
      </c>
      <c r="FS8" s="72">
        <v>0</v>
      </c>
      <c r="FT8" s="72">
        <v>0</v>
      </c>
      <c r="FU8" s="72">
        <v>0</v>
      </c>
      <c r="FV8" s="72">
        <v>0</v>
      </c>
      <c r="FW8" s="72">
        <v>0</v>
      </c>
      <c r="FX8" s="72">
        <v>0</v>
      </c>
      <c r="FY8" s="72">
        <v>0</v>
      </c>
      <c r="FZ8" s="72">
        <v>0</v>
      </c>
      <c r="GA8" s="72">
        <v>0</v>
      </c>
      <c r="GB8" s="72">
        <v>0</v>
      </c>
      <c r="GC8" s="72">
        <v>0</v>
      </c>
      <c r="GD8" s="72">
        <v>0</v>
      </c>
      <c r="GE8" s="72">
        <v>0</v>
      </c>
      <c r="GF8" s="72">
        <v>0</v>
      </c>
      <c r="GG8" s="72">
        <v>0</v>
      </c>
      <c r="GH8" s="72">
        <v>0</v>
      </c>
      <c r="GI8" s="72">
        <v>0</v>
      </c>
      <c r="GJ8" s="72">
        <v>0</v>
      </c>
      <c r="GK8" s="72">
        <v>0</v>
      </c>
      <c r="GL8" s="72">
        <v>0</v>
      </c>
      <c r="GM8" s="72">
        <v>0</v>
      </c>
      <c r="GN8" s="72">
        <v>0</v>
      </c>
      <c r="GO8" s="72">
        <v>0</v>
      </c>
      <c r="GP8" s="72">
        <v>0</v>
      </c>
      <c r="GQ8" s="72">
        <v>0</v>
      </c>
      <c r="GR8" s="72">
        <f t="shared" si="0"/>
        <v>148651.96816003579</v>
      </c>
      <c r="GS8" s="72">
        <f>SUM(E$5:E$202)</f>
        <v>148651.96816003579</v>
      </c>
      <c r="GT8" s="73">
        <v>0</v>
      </c>
    </row>
    <row r="9" spans="1:202" outlineLevel="1" x14ac:dyDescent="0.2">
      <c r="A9" s="66" t="s">
        <v>158</v>
      </c>
      <c r="B9" s="72">
        <v>0</v>
      </c>
      <c r="C9" s="72">
        <v>0</v>
      </c>
      <c r="D9" s="72">
        <v>0</v>
      </c>
      <c r="E9" s="72">
        <v>0</v>
      </c>
      <c r="F9" s="72">
        <v>0</v>
      </c>
      <c r="G9" s="72">
        <v>0</v>
      </c>
      <c r="H9" s="72">
        <v>0</v>
      </c>
      <c r="I9" s="72">
        <v>0</v>
      </c>
      <c r="J9" s="72">
        <v>0</v>
      </c>
      <c r="K9" s="72">
        <v>0</v>
      </c>
      <c r="L9" s="72">
        <v>0</v>
      </c>
      <c r="M9" s="72">
        <v>0</v>
      </c>
      <c r="N9" s="72">
        <v>0</v>
      </c>
      <c r="O9" s="72">
        <v>0</v>
      </c>
      <c r="P9" s="72">
        <v>0</v>
      </c>
      <c r="Q9" s="72">
        <v>0</v>
      </c>
      <c r="R9" s="72">
        <v>0</v>
      </c>
      <c r="S9" s="72">
        <v>0</v>
      </c>
      <c r="T9" s="72">
        <v>0</v>
      </c>
      <c r="U9" s="72">
        <v>0</v>
      </c>
      <c r="V9" s="72">
        <v>0</v>
      </c>
      <c r="W9" s="72">
        <v>0</v>
      </c>
      <c r="X9" s="72">
        <v>0</v>
      </c>
      <c r="Y9" s="72">
        <v>0</v>
      </c>
      <c r="Z9" s="72">
        <v>0</v>
      </c>
      <c r="AA9" s="72">
        <v>0</v>
      </c>
      <c r="AB9" s="72">
        <v>0</v>
      </c>
      <c r="AC9" s="72">
        <v>0</v>
      </c>
      <c r="AD9" s="72">
        <v>0</v>
      </c>
      <c r="AE9" s="72">
        <v>0</v>
      </c>
      <c r="AF9" s="72">
        <v>0</v>
      </c>
      <c r="AG9" s="72">
        <v>0</v>
      </c>
      <c r="AH9" s="72">
        <v>0</v>
      </c>
      <c r="AI9" s="72">
        <v>0</v>
      </c>
      <c r="AJ9" s="72">
        <v>0</v>
      </c>
      <c r="AK9" s="72">
        <v>0</v>
      </c>
      <c r="AL9" s="72">
        <v>0</v>
      </c>
      <c r="AM9" s="72">
        <v>0</v>
      </c>
      <c r="AN9" s="72">
        <v>0</v>
      </c>
      <c r="AO9" s="72">
        <v>0</v>
      </c>
      <c r="AP9" s="72">
        <v>0</v>
      </c>
      <c r="AQ9" s="72">
        <v>0</v>
      </c>
      <c r="AR9" s="72">
        <v>0</v>
      </c>
      <c r="AS9" s="72">
        <v>0</v>
      </c>
      <c r="AT9" s="72">
        <v>0</v>
      </c>
      <c r="AU9" s="72">
        <v>0</v>
      </c>
      <c r="AV9" s="72">
        <v>0</v>
      </c>
      <c r="AW9" s="72">
        <v>0</v>
      </c>
      <c r="AX9" s="72">
        <v>0</v>
      </c>
      <c r="AY9" s="72">
        <v>0</v>
      </c>
      <c r="AZ9" s="72">
        <v>0</v>
      </c>
      <c r="BA9" s="72">
        <v>0</v>
      </c>
      <c r="BB9" s="72">
        <v>0</v>
      </c>
      <c r="BC9" s="72">
        <v>0</v>
      </c>
      <c r="BD9" s="72">
        <v>0</v>
      </c>
      <c r="BE9" s="72">
        <v>0</v>
      </c>
      <c r="BF9" s="72">
        <v>0</v>
      </c>
      <c r="BG9" s="72">
        <v>0</v>
      </c>
      <c r="BH9" s="72">
        <v>0</v>
      </c>
      <c r="BI9" s="72">
        <v>0</v>
      </c>
      <c r="BJ9" s="72">
        <v>0</v>
      </c>
      <c r="BK9" s="72">
        <v>0</v>
      </c>
      <c r="BL9" s="72">
        <v>0</v>
      </c>
      <c r="BM9" s="72">
        <v>0</v>
      </c>
      <c r="BN9" s="72">
        <v>0</v>
      </c>
      <c r="BO9" s="72">
        <v>0</v>
      </c>
      <c r="BP9" s="72">
        <v>0</v>
      </c>
      <c r="BQ9" s="72">
        <v>0</v>
      </c>
      <c r="BR9" s="72">
        <v>0</v>
      </c>
      <c r="BS9" s="72">
        <v>0</v>
      </c>
      <c r="BT9" s="72">
        <v>942.89504892179605</v>
      </c>
      <c r="BU9" s="72">
        <v>0</v>
      </c>
      <c r="BV9" s="72">
        <v>0</v>
      </c>
      <c r="BW9" s="72">
        <v>0</v>
      </c>
      <c r="BX9" s="72">
        <v>0</v>
      </c>
      <c r="BY9" s="72">
        <v>0</v>
      </c>
      <c r="BZ9" s="72">
        <v>0</v>
      </c>
      <c r="CA9" s="72">
        <v>0</v>
      </c>
      <c r="CB9" s="72">
        <v>0</v>
      </c>
      <c r="CC9" s="72">
        <v>0</v>
      </c>
      <c r="CD9" s="72">
        <v>0</v>
      </c>
      <c r="CE9" s="72">
        <v>0</v>
      </c>
      <c r="CF9" s="72">
        <v>0</v>
      </c>
      <c r="CG9" s="72">
        <v>0</v>
      </c>
      <c r="CH9" s="72">
        <v>0</v>
      </c>
      <c r="CI9" s="72">
        <v>0</v>
      </c>
      <c r="CJ9" s="72">
        <v>0</v>
      </c>
      <c r="CK9" s="72">
        <v>0</v>
      </c>
      <c r="CL9" s="72">
        <v>0</v>
      </c>
      <c r="CM9" s="72">
        <v>0</v>
      </c>
      <c r="CN9" s="72">
        <v>0</v>
      </c>
      <c r="CO9" s="72">
        <v>0</v>
      </c>
      <c r="CP9" s="72">
        <v>0</v>
      </c>
      <c r="CQ9" s="72">
        <v>0</v>
      </c>
      <c r="CR9" s="72">
        <v>0</v>
      </c>
      <c r="CS9" s="72">
        <v>0</v>
      </c>
      <c r="CT9" s="72">
        <v>0</v>
      </c>
      <c r="CU9" s="72">
        <v>0</v>
      </c>
      <c r="CV9" s="72">
        <v>0</v>
      </c>
      <c r="CW9" s="72">
        <v>0</v>
      </c>
      <c r="CX9" s="72">
        <v>0</v>
      </c>
      <c r="CY9" s="72">
        <v>0</v>
      </c>
      <c r="CZ9" s="72">
        <v>0</v>
      </c>
      <c r="DA9" s="72">
        <v>0</v>
      </c>
      <c r="DB9" s="72">
        <v>0</v>
      </c>
      <c r="DC9" s="72">
        <v>0</v>
      </c>
      <c r="DD9" s="72">
        <v>0</v>
      </c>
      <c r="DE9" s="72">
        <v>0</v>
      </c>
      <c r="DF9" s="72">
        <v>0</v>
      </c>
      <c r="DG9" s="72">
        <v>0</v>
      </c>
      <c r="DH9" s="72">
        <v>0</v>
      </c>
      <c r="DI9" s="72">
        <v>0</v>
      </c>
      <c r="DJ9" s="72">
        <v>0</v>
      </c>
      <c r="DK9" s="72">
        <v>0</v>
      </c>
      <c r="DL9" s="72">
        <v>0</v>
      </c>
      <c r="DM9" s="72">
        <v>0</v>
      </c>
      <c r="DN9" s="72">
        <v>0</v>
      </c>
      <c r="DO9" s="72">
        <v>0</v>
      </c>
      <c r="DP9" s="72">
        <v>0</v>
      </c>
      <c r="DQ9" s="72">
        <v>0</v>
      </c>
      <c r="DR9" s="72">
        <v>84095.306247314977</v>
      </c>
      <c r="DS9" s="72">
        <v>0</v>
      </c>
      <c r="DT9" s="72">
        <v>0</v>
      </c>
      <c r="DU9" s="72">
        <v>0</v>
      </c>
      <c r="DV9" s="72">
        <v>0</v>
      </c>
      <c r="DW9" s="72">
        <v>0</v>
      </c>
      <c r="DX9" s="72">
        <v>0</v>
      </c>
      <c r="DY9" s="72">
        <v>0</v>
      </c>
      <c r="DZ9" s="72">
        <v>0</v>
      </c>
      <c r="EA9" s="72">
        <v>0</v>
      </c>
      <c r="EB9" s="72">
        <v>0</v>
      </c>
      <c r="EC9" s="72">
        <v>0</v>
      </c>
      <c r="ED9" s="72">
        <v>0</v>
      </c>
      <c r="EE9" s="72">
        <v>0</v>
      </c>
      <c r="EF9" s="72">
        <v>0</v>
      </c>
      <c r="EG9" s="72">
        <v>0</v>
      </c>
      <c r="EH9" s="72">
        <v>0</v>
      </c>
      <c r="EI9" s="72">
        <v>0</v>
      </c>
      <c r="EJ9" s="72">
        <v>0</v>
      </c>
      <c r="EK9" s="72">
        <v>0</v>
      </c>
      <c r="EL9" s="72">
        <v>0</v>
      </c>
      <c r="EM9" s="72">
        <v>0</v>
      </c>
      <c r="EN9" s="72">
        <v>0</v>
      </c>
      <c r="EO9" s="72">
        <v>0</v>
      </c>
      <c r="EP9" s="72">
        <v>0</v>
      </c>
      <c r="EQ9" s="72">
        <v>0</v>
      </c>
      <c r="ER9" s="72">
        <v>0</v>
      </c>
      <c r="ES9" s="72">
        <v>0</v>
      </c>
      <c r="ET9" s="72">
        <v>0</v>
      </c>
      <c r="EU9" s="72">
        <v>0</v>
      </c>
      <c r="EV9" s="72">
        <v>0</v>
      </c>
      <c r="EW9" s="72">
        <v>0</v>
      </c>
      <c r="EX9" s="72">
        <v>0</v>
      </c>
      <c r="EY9" s="72">
        <v>0</v>
      </c>
      <c r="EZ9" s="72">
        <v>0</v>
      </c>
      <c r="FA9" s="72">
        <v>0</v>
      </c>
      <c r="FB9" s="72">
        <v>0</v>
      </c>
      <c r="FC9" s="72">
        <v>0</v>
      </c>
      <c r="FD9" s="72">
        <v>0</v>
      </c>
      <c r="FE9" s="72">
        <v>0</v>
      </c>
      <c r="FF9" s="72">
        <v>1657.5821657132442</v>
      </c>
      <c r="FG9" s="72">
        <v>0</v>
      </c>
      <c r="FH9" s="72">
        <v>0</v>
      </c>
      <c r="FI9" s="72">
        <v>0</v>
      </c>
      <c r="FJ9" s="72">
        <v>0</v>
      </c>
      <c r="FK9" s="72">
        <v>0</v>
      </c>
      <c r="FL9" s="72">
        <v>0</v>
      </c>
      <c r="FM9" s="72">
        <v>0</v>
      </c>
      <c r="FN9" s="72">
        <v>0</v>
      </c>
      <c r="FO9" s="72">
        <v>0</v>
      </c>
      <c r="FP9" s="72">
        <v>0</v>
      </c>
      <c r="FQ9" s="72">
        <v>0</v>
      </c>
      <c r="FR9" s="72">
        <v>0</v>
      </c>
      <c r="FS9" s="72">
        <v>0</v>
      </c>
      <c r="FT9" s="72">
        <v>0</v>
      </c>
      <c r="FU9" s="72">
        <v>0</v>
      </c>
      <c r="FV9" s="72">
        <v>0</v>
      </c>
      <c r="FW9" s="72">
        <v>0</v>
      </c>
      <c r="FX9" s="72">
        <v>0</v>
      </c>
      <c r="FY9" s="72">
        <v>0</v>
      </c>
      <c r="FZ9" s="72">
        <v>0</v>
      </c>
      <c r="GA9" s="72">
        <v>0</v>
      </c>
      <c r="GB9" s="72">
        <v>0</v>
      </c>
      <c r="GC9" s="72">
        <v>0</v>
      </c>
      <c r="GD9" s="72">
        <v>0</v>
      </c>
      <c r="GE9" s="72">
        <v>0</v>
      </c>
      <c r="GF9" s="72">
        <v>0</v>
      </c>
      <c r="GG9" s="72">
        <v>0</v>
      </c>
      <c r="GH9" s="72">
        <v>0</v>
      </c>
      <c r="GI9" s="72">
        <v>0</v>
      </c>
      <c r="GJ9" s="72">
        <v>0</v>
      </c>
      <c r="GK9" s="72">
        <v>0</v>
      </c>
      <c r="GL9" s="72">
        <v>0</v>
      </c>
      <c r="GM9" s="72">
        <v>0</v>
      </c>
      <c r="GN9" s="72">
        <v>0</v>
      </c>
      <c r="GO9" s="72">
        <v>0</v>
      </c>
      <c r="GP9" s="72">
        <v>0</v>
      </c>
      <c r="GQ9" s="72">
        <v>0</v>
      </c>
      <c r="GR9" s="72">
        <f t="shared" si="0"/>
        <v>86695.783461950021</v>
      </c>
      <c r="GS9" s="72">
        <f>SUM(F$5:F$202)</f>
        <v>86695.783461950021</v>
      </c>
      <c r="GT9" s="73">
        <v>0</v>
      </c>
    </row>
    <row r="10" spans="1:202" outlineLevel="1" x14ac:dyDescent="0.2">
      <c r="A10" s="66" t="s">
        <v>161</v>
      </c>
      <c r="B10" s="72">
        <v>0</v>
      </c>
      <c r="C10" s="72">
        <v>0</v>
      </c>
      <c r="D10" s="72">
        <v>0</v>
      </c>
      <c r="E10" s="72">
        <v>0</v>
      </c>
      <c r="F10" s="72">
        <v>0</v>
      </c>
      <c r="G10" s="72">
        <v>0</v>
      </c>
      <c r="H10" s="72">
        <v>0</v>
      </c>
      <c r="I10" s="72">
        <v>0</v>
      </c>
      <c r="J10" s="72">
        <v>0</v>
      </c>
      <c r="K10" s="72">
        <v>0</v>
      </c>
      <c r="L10" s="72">
        <v>0</v>
      </c>
      <c r="M10" s="72">
        <v>0</v>
      </c>
      <c r="N10" s="72">
        <v>0</v>
      </c>
      <c r="O10" s="72">
        <v>0</v>
      </c>
      <c r="P10" s="72">
        <v>0</v>
      </c>
      <c r="Q10" s="72">
        <v>0</v>
      </c>
      <c r="R10" s="72">
        <v>0</v>
      </c>
      <c r="S10" s="72">
        <v>0</v>
      </c>
      <c r="T10" s="72">
        <v>0</v>
      </c>
      <c r="U10" s="72">
        <v>0</v>
      </c>
      <c r="V10" s="72">
        <v>0</v>
      </c>
      <c r="W10" s="72">
        <v>0</v>
      </c>
      <c r="X10" s="72">
        <v>0</v>
      </c>
      <c r="Y10" s="72">
        <v>0</v>
      </c>
      <c r="Z10" s="72">
        <v>0</v>
      </c>
      <c r="AA10" s="72">
        <v>0</v>
      </c>
      <c r="AB10" s="72">
        <v>0</v>
      </c>
      <c r="AC10" s="72">
        <v>0</v>
      </c>
      <c r="AD10" s="72">
        <v>0</v>
      </c>
      <c r="AE10" s="72">
        <v>0</v>
      </c>
      <c r="AF10" s="72">
        <v>0</v>
      </c>
      <c r="AG10" s="72">
        <v>0</v>
      </c>
      <c r="AH10" s="72">
        <v>0</v>
      </c>
      <c r="AI10" s="72">
        <v>0</v>
      </c>
      <c r="AJ10" s="72">
        <v>0</v>
      </c>
      <c r="AK10" s="72">
        <v>0</v>
      </c>
      <c r="AL10" s="72">
        <v>0</v>
      </c>
      <c r="AM10" s="72">
        <v>0</v>
      </c>
      <c r="AN10" s="72">
        <v>0</v>
      </c>
      <c r="AO10" s="72">
        <v>0</v>
      </c>
      <c r="AP10" s="72">
        <v>0</v>
      </c>
      <c r="AQ10" s="72">
        <v>0</v>
      </c>
      <c r="AR10" s="72">
        <v>0</v>
      </c>
      <c r="AS10" s="72">
        <v>0</v>
      </c>
      <c r="AT10" s="72">
        <v>0</v>
      </c>
      <c r="AU10" s="72">
        <v>0</v>
      </c>
      <c r="AV10" s="72">
        <v>0</v>
      </c>
      <c r="AW10" s="72">
        <v>0</v>
      </c>
      <c r="AX10" s="72">
        <v>0</v>
      </c>
      <c r="AY10" s="72">
        <v>0</v>
      </c>
      <c r="AZ10" s="72">
        <v>0</v>
      </c>
      <c r="BA10" s="72">
        <v>0</v>
      </c>
      <c r="BB10" s="72">
        <v>0</v>
      </c>
      <c r="BC10" s="72">
        <v>0</v>
      </c>
      <c r="BD10" s="72">
        <v>0</v>
      </c>
      <c r="BE10" s="72">
        <v>0</v>
      </c>
      <c r="BF10" s="72">
        <v>0</v>
      </c>
      <c r="BG10" s="72">
        <v>0</v>
      </c>
      <c r="BH10" s="72">
        <v>0</v>
      </c>
      <c r="BI10" s="72">
        <v>0</v>
      </c>
      <c r="BJ10" s="72">
        <v>0</v>
      </c>
      <c r="BK10" s="72">
        <v>0</v>
      </c>
      <c r="BL10" s="72">
        <v>0</v>
      </c>
      <c r="BM10" s="72">
        <v>0</v>
      </c>
      <c r="BN10" s="72">
        <v>0</v>
      </c>
      <c r="BO10" s="72">
        <v>0</v>
      </c>
      <c r="BP10" s="72">
        <v>0</v>
      </c>
      <c r="BQ10" s="72">
        <v>0</v>
      </c>
      <c r="BR10" s="72">
        <v>289096.19472094922</v>
      </c>
      <c r="BS10" s="72">
        <v>0</v>
      </c>
      <c r="BT10" s="72">
        <v>11035.011959322452</v>
      </c>
      <c r="BU10" s="72">
        <v>0</v>
      </c>
      <c r="BV10" s="72">
        <v>0</v>
      </c>
      <c r="BW10" s="72">
        <v>0</v>
      </c>
      <c r="BX10" s="72">
        <v>0</v>
      </c>
      <c r="BY10" s="72">
        <v>0</v>
      </c>
      <c r="BZ10" s="72">
        <v>0</v>
      </c>
      <c r="CA10" s="72">
        <v>0</v>
      </c>
      <c r="CB10" s="72">
        <v>0</v>
      </c>
      <c r="CC10" s="72">
        <v>0</v>
      </c>
      <c r="CD10" s="72">
        <v>0</v>
      </c>
      <c r="CE10" s="72">
        <v>0</v>
      </c>
      <c r="CF10" s="72">
        <v>0</v>
      </c>
      <c r="CG10" s="72">
        <v>0</v>
      </c>
      <c r="CH10" s="72">
        <v>0</v>
      </c>
      <c r="CI10" s="72">
        <v>0</v>
      </c>
      <c r="CJ10" s="72">
        <v>0</v>
      </c>
      <c r="CK10" s="72">
        <v>0</v>
      </c>
      <c r="CL10" s="72">
        <v>0</v>
      </c>
      <c r="CM10" s="72">
        <v>0</v>
      </c>
      <c r="CN10" s="72">
        <v>0</v>
      </c>
      <c r="CO10" s="72">
        <v>0</v>
      </c>
      <c r="CP10" s="72">
        <v>0</v>
      </c>
      <c r="CQ10" s="72">
        <v>0</v>
      </c>
      <c r="CR10" s="72">
        <v>0</v>
      </c>
      <c r="CS10" s="72">
        <v>0</v>
      </c>
      <c r="CT10" s="72">
        <v>0</v>
      </c>
      <c r="CU10" s="72">
        <v>0</v>
      </c>
      <c r="CV10" s="72">
        <v>0</v>
      </c>
      <c r="CW10" s="72">
        <v>0</v>
      </c>
      <c r="CX10" s="72">
        <v>0</v>
      </c>
      <c r="CY10" s="72">
        <v>0</v>
      </c>
      <c r="CZ10" s="72">
        <v>0</v>
      </c>
      <c r="DA10" s="72">
        <v>0</v>
      </c>
      <c r="DB10" s="72">
        <v>0</v>
      </c>
      <c r="DC10" s="72">
        <v>0</v>
      </c>
      <c r="DD10" s="72">
        <v>0</v>
      </c>
      <c r="DE10" s="72">
        <v>0</v>
      </c>
      <c r="DF10" s="72">
        <v>0</v>
      </c>
      <c r="DG10" s="72">
        <v>0</v>
      </c>
      <c r="DH10" s="72">
        <v>0</v>
      </c>
      <c r="DI10" s="72">
        <v>0</v>
      </c>
      <c r="DJ10" s="72">
        <v>0</v>
      </c>
      <c r="DK10" s="72">
        <v>0</v>
      </c>
      <c r="DL10" s="72">
        <v>0</v>
      </c>
      <c r="DM10" s="72">
        <v>0</v>
      </c>
      <c r="DN10" s="72">
        <v>0</v>
      </c>
      <c r="DO10" s="72">
        <v>0</v>
      </c>
      <c r="DP10" s="72">
        <v>90362.339401652353</v>
      </c>
      <c r="DQ10" s="72">
        <v>0</v>
      </c>
      <c r="DR10" s="72">
        <v>58039.112088892973</v>
      </c>
      <c r="DS10" s="72">
        <v>0</v>
      </c>
      <c r="DT10" s="72">
        <v>0</v>
      </c>
      <c r="DU10" s="72">
        <v>0</v>
      </c>
      <c r="DV10" s="72">
        <v>0</v>
      </c>
      <c r="DW10" s="72">
        <v>0</v>
      </c>
      <c r="DX10" s="72">
        <v>0</v>
      </c>
      <c r="DY10" s="72">
        <v>0</v>
      </c>
      <c r="DZ10" s="72">
        <v>0</v>
      </c>
      <c r="EA10" s="72">
        <v>0</v>
      </c>
      <c r="EB10" s="72">
        <v>0</v>
      </c>
      <c r="EC10" s="72">
        <v>0</v>
      </c>
      <c r="ED10" s="72">
        <v>0</v>
      </c>
      <c r="EE10" s="72">
        <v>0</v>
      </c>
      <c r="EF10" s="72">
        <v>0</v>
      </c>
      <c r="EG10" s="72">
        <v>0</v>
      </c>
      <c r="EH10" s="72">
        <v>0</v>
      </c>
      <c r="EI10" s="72">
        <v>0</v>
      </c>
      <c r="EJ10" s="72">
        <v>0</v>
      </c>
      <c r="EK10" s="72">
        <v>0</v>
      </c>
      <c r="EL10" s="72">
        <v>0</v>
      </c>
      <c r="EM10" s="72">
        <v>0</v>
      </c>
      <c r="EN10" s="72">
        <v>0</v>
      </c>
      <c r="EO10" s="72">
        <v>0</v>
      </c>
      <c r="EP10" s="72">
        <v>0</v>
      </c>
      <c r="EQ10" s="72">
        <v>0</v>
      </c>
      <c r="ER10" s="72">
        <v>0</v>
      </c>
      <c r="ES10" s="72">
        <v>0</v>
      </c>
      <c r="ET10" s="72">
        <v>0</v>
      </c>
      <c r="EU10" s="72">
        <v>0</v>
      </c>
      <c r="EV10" s="72">
        <v>0</v>
      </c>
      <c r="EW10" s="72">
        <v>0</v>
      </c>
      <c r="EX10" s="72">
        <v>0</v>
      </c>
      <c r="EY10" s="72">
        <v>0</v>
      </c>
      <c r="EZ10" s="72">
        <v>0</v>
      </c>
      <c r="FA10" s="72">
        <v>0</v>
      </c>
      <c r="FB10" s="72">
        <v>0</v>
      </c>
      <c r="FC10" s="72">
        <v>0</v>
      </c>
      <c r="FD10" s="72">
        <v>0</v>
      </c>
      <c r="FE10" s="72">
        <v>0</v>
      </c>
      <c r="FF10" s="72">
        <v>14143.626765915717</v>
      </c>
      <c r="FG10" s="72">
        <v>0</v>
      </c>
      <c r="FH10" s="72">
        <v>0</v>
      </c>
      <c r="FI10" s="72">
        <v>0</v>
      </c>
      <c r="FJ10" s="72">
        <v>0</v>
      </c>
      <c r="FK10" s="72">
        <v>0</v>
      </c>
      <c r="FL10" s="72">
        <v>0</v>
      </c>
      <c r="FM10" s="72">
        <v>0</v>
      </c>
      <c r="FN10" s="72">
        <v>0</v>
      </c>
      <c r="FO10" s="72">
        <v>0</v>
      </c>
      <c r="FP10" s="72">
        <v>0</v>
      </c>
      <c r="FQ10" s="72">
        <v>0</v>
      </c>
      <c r="FR10" s="72">
        <v>0</v>
      </c>
      <c r="FS10" s="72">
        <v>0</v>
      </c>
      <c r="FT10" s="72">
        <v>0</v>
      </c>
      <c r="FU10" s="72">
        <v>0</v>
      </c>
      <c r="FV10" s="72">
        <v>0</v>
      </c>
      <c r="FW10" s="72">
        <v>0</v>
      </c>
      <c r="FX10" s="72">
        <v>0</v>
      </c>
      <c r="FY10" s="72">
        <v>0</v>
      </c>
      <c r="FZ10" s="72">
        <v>0</v>
      </c>
      <c r="GA10" s="72">
        <v>0</v>
      </c>
      <c r="GB10" s="72">
        <v>0</v>
      </c>
      <c r="GC10" s="72">
        <v>0</v>
      </c>
      <c r="GD10" s="72">
        <v>0</v>
      </c>
      <c r="GE10" s="72">
        <v>0</v>
      </c>
      <c r="GF10" s="72">
        <v>0</v>
      </c>
      <c r="GG10" s="72">
        <v>0</v>
      </c>
      <c r="GH10" s="72">
        <v>0</v>
      </c>
      <c r="GI10" s="72">
        <v>0</v>
      </c>
      <c r="GJ10" s="72">
        <v>0</v>
      </c>
      <c r="GK10" s="72">
        <v>0</v>
      </c>
      <c r="GL10" s="72">
        <v>0</v>
      </c>
      <c r="GM10" s="72">
        <v>0</v>
      </c>
      <c r="GN10" s="72">
        <v>0</v>
      </c>
      <c r="GO10" s="72">
        <v>0</v>
      </c>
      <c r="GP10" s="72">
        <v>0</v>
      </c>
      <c r="GQ10" s="72">
        <v>0</v>
      </c>
      <c r="GR10" s="72">
        <f t="shared" si="0"/>
        <v>462676.28493673267</v>
      </c>
      <c r="GS10" s="72">
        <f>SUM(G$5:G$202)</f>
        <v>462676.28493673267</v>
      </c>
      <c r="GT10" s="73">
        <v>0</v>
      </c>
    </row>
    <row r="11" spans="1:202" outlineLevel="1" x14ac:dyDescent="0.2">
      <c r="A11" s="66" t="s">
        <v>166</v>
      </c>
      <c r="B11" s="72">
        <v>0</v>
      </c>
      <c r="C11" s="72">
        <v>0</v>
      </c>
      <c r="D11" s="72">
        <v>0</v>
      </c>
      <c r="E11" s="72">
        <v>0</v>
      </c>
      <c r="F11" s="72">
        <v>0</v>
      </c>
      <c r="G11" s="72">
        <v>0</v>
      </c>
      <c r="H11" s="72">
        <v>0</v>
      </c>
      <c r="I11" s="72">
        <v>0</v>
      </c>
      <c r="J11" s="72">
        <v>0</v>
      </c>
      <c r="K11" s="72">
        <v>0</v>
      </c>
      <c r="L11" s="72">
        <v>0</v>
      </c>
      <c r="M11" s="72">
        <v>0</v>
      </c>
      <c r="N11" s="72">
        <v>0</v>
      </c>
      <c r="O11" s="72">
        <v>0</v>
      </c>
      <c r="P11" s="72">
        <v>0</v>
      </c>
      <c r="Q11" s="72">
        <v>0</v>
      </c>
      <c r="R11" s="72">
        <v>0</v>
      </c>
      <c r="S11" s="72">
        <v>0</v>
      </c>
      <c r="T11" s="72">
        <v>0</v>
      </c>
      <c r="U11" s="72">
        <v>0</v>
      </c>
      <c r="V11" s="72">
        <v>0</v>
      </c>
      <c r="W11" s="72">
        <v>0</v>
      </c>
      <c r="X11" s="72">
        <v>0</v>
      </c>
      <c r="Y11" s="72">
        <v>0</v>
      </c>
      <c r="Z11" s="72">
        <v>0</v>
      </c>
      <c r="AA11" s="72">
        <v>0</v>
      </c>
      <c r="AB11" s="72">
        <v>0</v>
      </c>
      <c r="AC11" s="72">
        <v>0</v>
      </c>
      <c r="AD11" s="72">
        <v>0</v>
      </c>
      <c r="AE11" s="72">
        <v>0</v>
      </c>
      <c r="AF11" s="72">
        <v>0</v>
      </c>
      <c r="AG11" s="72">
        <v>0</v>
      </c>
      <c r="AH11" s="72">
        <v>0</v>
      </c>
      <c r="AI11" s="72">
        <v>0</v>
      </c>
      <c r="AJ11" s="72">
        <v>0</v>
      </c>
      <c r="AK11" s="72">
        <v>0</v>
      </c>
      <c r="AL11" s="72">
        <v>0</v>
      </c>
      <c r="AM11" s="72">
        <v>0</v>
      </c>
      <c r="AN11" s="72">
        <v>0</v>
      </c>
      <c r="AO11" s="72">
        <v>0</v>
      </c>
      <c r="AP11" s="72">
        <v>0</v>
      </c>
      <c r="AQ11" s="72">
        <v>0</v>
      </c>
      <c r="AR11" s="72">
        <v>0</v>
      </c>
      <c r="AS11" s="72">
        <v>0</v>
      </c>
      <c r="AT11" s="72">
        <v>0</v>
      </c>
      <c r="AU11" s="72">
        <v>0</v>
      </c>
      <c r="AV11" s="72">
        <v>0</v>
      </c>
      <c r="AW11" s="72">
        <v>0</v>
      </c>
      <c r="AX11" s="72">
        <v>0</v>
      </c>
      <c r="AY11" s="72">
        <v>0</v>
      </c>
      <c r="AZ11" s="72">
        <v>0</v>
      </c>
      <c r="BA11" s="72">
        <v>0</v>
      </c>
      <c r="BB11" s="72">
        <v>0</v>
      </c>
      <c r="BC11" s="72">
        <v>0</v>
      </c>
      <c r="BD11" s="72">
        <v>0</v>
      </c>
      <c r="BE11" s="72">
        <v>0</v>
      </c>
      <c r="BF11" s="72">
        <v>0</v>
      </c>
      <c r="BG11" s="72">
        <v>0</v>
      </c>
      <c r="BH11" s="72">
        <v>0</v>
      </c>
      <c r="BI11" s="72">
        <v>0</v>
      </c>
      <c r="BJ11" s="72">
        <v>0</v>
      </c>
      <c r="BK11" s="72">
        <v>0</v>
      </c>
      <c r="BL11" s="72">
        <v>0</v>
      </c>
      <c r="BM11" s="72">
        <v>0</v>
      </c>
      <c r="BN11" s="72">
        <v>0</v>
      </c>
      <c r="BO11" s="72">
        <v>0</v>
      </c>
      <c r="BP11" s="72">
        <v>0</v>
      </c>
      <c r="BQ11" s="72">
        <v>16169.798337036576</v>
      </c>
      <c r="BR11" s="72">
        <v>0</v>
      </c>
      <c r="BS11" s="72">
        <v>29533.760122289368</v>
      </c>
      <c r="BT11" s="72">
        <v>22316.53927227213</v>
      </c>
      <c r="BU11" s="72">
        <v>0</v>
      </c>
      <c r="BV11" s="72">
        <v>0</v>
      </c>
      <c r="BW11" s="72">
        <v>0</v>
      </c>
      <c r="BX11" s="72">
        <v>0</v>
      </c>
      <c r="BY11" s="72">
        <v>0</v>
      </c>
      <c r="BZ11" s="72">
        <v>0</v>
      </c>
      <c r="CA11" s="72">
        <v>0</v>
      </c>
      <c r="CB11" s="72">
        <v>0</v>
      </c>
      <c r="CC11" s="72">
        <v>0</v>
      </c>
      <c r="CD11" s="72">
        <v>0</v>
      </c>
      <c r="CE11" s="72">
        <v>0</v>
      </c>
      <c r="CF11" s="72">
        <v>0</v>
      </c>
      <c r="CG11" s="72">
        <v>0</v>
      </c>
      <c r="CH11" s="72">
        <v>0</v>
      </c>
      <c r="CI11" s="72">
        <v>0</v>
      </c>
      <c r="CJ11" s="72">
        <v>0</v>
      </c>
      <c r="CK11" s="72">
        <v>0</v>
      </c>
      <c r="CL11" s="72">
        <v>0</v>
      </c>
      <c r="CM11" s="72">
        <v>0</v>
      </c>
      <c r="CN11" s="72">
        <v>0</v>
      </c>
      <c r="CO11" s="72">
        <v>0</v>
      </c>
      <c r="CP11" s="72">
        <v>0</v>
      </c>
      <c r="CQ11" s="72">
        <v>0</v>
      </c>
      <c r="CR11" s="72">
        <v>0</v>
      </c>
      <c r="CS11" s="72">
        <v>0</v>
      </c>
      <c r="CT11" s="72">
        <v>0</v>
      </c>
      <c r="CU11" s="72">
        <v>0</v>
      </c>
      <c r="CV11" s="72">
        <v>0</v>
      </c>
      <c r="CW11" s="72">
        <v>0</v>
      </c>
      <c r="CX11" s="72">
        <v>0</v>
      </c>
      <c r="CY11" s="72">
        <v>0</v>
      </c>
      <c r="CZ11" s="72">
        <v>0</v>
      </c>
      <c r="DA11" s="72">
        <v>0</v>
      </c>
      <c r="DB11" s="72">
        <v>0</v>
      </c>
      <c r="DC11" s="72">
        <v>0</v>
      </c>
      <c r="DD11" s="72">
        <v>0</v>
      </c>
      <c r="DE11" s="72">
        <v>0</v>
      </c>
      <c r="DF11" s="72">
        <v>0</v>
      </c>
      <c r="DG11" s="72">
        <v>0</v>
      </c>
      <c r="DH11" s="72">
        <v>0</v>
      </c>
      <c r="DI11" s="72">
        <v>0</v>
      </c>
      <c r="DJ11" s="72">
        <v>0</v>
      </c>
      <c r="DK11" s="72">
        <v>0</v>
      </c>
      <c r="DL11" s="72">
        <v>0</v>
      </c>
      <c r="DM11" s="72">
        <v>0</v>
      </c>
      <c r="DN11" s="72">
        <v>0</v>
      </c>
      <c r="DO11" s="72">
        <v>0</v>
      </c>
      <c r="DP11" s="72">
        <v>0</v>
      </c>
      <c r="DQ11" s="72">
        <v>0</v>
      </c>
      <c r="DR11" s="72">
        <v>0</v>
      </c>
      <c r="DS11" s="72">
        <v>0</v>
      </c>
      <c r="DT11" s="72">
        <v>0</v>
      </c>
      <c r="DU11" s="72">
        <v>0</v>
      </c>
      <c r="DV11" s="72">
        <v>0</v>
      </c>
      <c r="DW11" s="72">
        <v>0</v>
      </c>
      <c r="DX11" s="72">
        <v>0</v>
      </c>
      <c r="DY11" s="72">
        <v>0</v>
      </c>
      <c r="DZ11" s="72">
        <v>0</v>
      </c>
      <c r="EA11" s="72">
        <v>0</v>
      </c>
      <c r="EB11" s="72">
        <v>0</v>
      </c>
      <c r="EC11" s="72">
        <v>0</v>
      </c>
      <c r="ED11" s="72">
        <v>0</v>
      </c>
      <c r="EE11" s="72">
        <v>0</v>
      </c>
      <c r="EF11" s="72">
        <v>0</v>
      </c>
      <c r="EG11" s="72">
        <v>0</v>
      </c>
      <c r="EH11" s="72">
        <v>0</v>
      </c>
      <c r="EI11" s="72">
        <v>0</v>
      </c>
      <c r="EJ11" s="72">
        <v>0</v>
      </c>
      <c r="EK11" s="72">
        <v>0</v>
      </c>
      <c r="EL11" s="72">
        <v>0</v>
      </c>
      <c r="EM11" s="72">
        <v>0</v>
      </c>
      <c r="EN11" s="72">
        <v>0</v>
      </c>
      <c r="EO11" s="72">
        <v>0</v>
      </c>
      <c r="EP11" s="72">
        <v>0</v>
      </c>
      <c r="EQ11" s="72">
        <v>0</v>
      </c>
      <c r="ER11" s="72">
        <v>0</v>
      </c>
      <c r="ES11" s="72">
        <v>0</v>
      </c>
      <c r="ET11" s="72">
        <v>0</v>
      </c>
      <c r="EU11" s="72">
        <v>0</v>
      </c>
      <c r="EV11" s="72">
        <v>0</v>
      </c>
      <c r="EW11" s="72">
        <v>0</v>
      </c>
      <c r="EX11" s="72">
        <v>0</v>
      </c>
      <c r="EY11" s="72">
        <v>0</v>
      </c>
      <c r="EZ11" s="72">
        <v>0</v>
      </c>
      <c r="FA11" s="72">
        <v>0</v>
      </c>
      <c r="FB11" s="72">
        <v>0</v>
      </c>
      <c r="FC11" s="72">
        <v>0</v>
      </c>
      <c r="FD11" s="72">
        <v>0</v>
      </c>
      <c r="FE11" s="72">
        <v>0</v>
      </c>
      <c r="FF11" s="72">
        <v>16957.667239966242</v>
      </c>
      <c r="FG11" s="72">
        <v>0</v>
      </c>
      <c r="FH11" s="72">
        <v>0</v>
      </c>
      <c r="FI11" s="72">
        <v>0</v>
      </c>
      <c r="FJ11" s="72">
        <v>0</v>
      </c>
      <c r="FK11" s="72">
        <v>0</v>
      </c>
      <c r="FL11" s="72">
        <v>0</v>
      </c>
      <c r="FM11" s="72">
        <v>0</v>
      </c>
      <c r="FN11" s="72">
        <v>0</v>
      </c>
      <c r="FO11" s="72">
        <v>0</v>
      </c>
      <c r="FP11" s="72">
        <v>0</v>
      </c>
      <c r="FQ11" s="72">
        <v>0</v>
      </c>
      <c r="FR11" s="72">
        <v>0</v>
      </c>
      <c r="FS11" s="72">
        <v>0</v>
      </c>
      <c r="FT11" s="72">
        <v>0</v>
      </c>
      <c r="FU11" s="72">
        <v>0</v>
      </c>
      <c r="FV11" s="72">
        <v>0</v>
      </c>
      <c r="FW11" s="72">
        <v>0</v>
      </c>
      <c r="FX11" s="72">
        <v>0</v>
      </c>
      <c r="FY11" s="72">
        <v>0</v>
      </c>
      <c r="FZ11" s="72">
        <v>0</v>
      </c>
      <c r="GA11" s="72">
        <v>0</v>
      </c>
      <c r="GB11" s="72">
        <v>0</v>
      </c>
      <c r="GC11" s="72">
        <v>0</v>
      </c>
      <c r="GD11" s="72">
        <v>0</v>
      </c>
      <c r="GE11" s="72">
        <v>0</v>
      </c>
      <c r="GF11" s="72">
        <v>0</v>
      </c>
      <c r="GG11" s="72">
        <v>0</v>
      </c>
      <c r="GH11" s="72">
        <v>0</v>
      </c>
      <c r="GI11" s="72">
        <v>0</v>
      </c>
      <c r="GJ11" s="72">
        <v>0</v>
      </c>
      <c r="GK11" s="72">
        <v>0</v>
      </c>
      <c r="GL11" s="72">
        <v>0</v>
      </c>
      <c r="GM11" s="72">
        <v>0</v>
      </c>
      <c r="GN11" s="72">
        <v>0</v>
      </c>
      <c r="GO11" s="72">
        <v>0</v>
      </c>
      <c r="GP11" s="72">
        <v>0</v>
      </c>
      <c r="GQ11" s="72">
        <v>0</v>
      </c>
      <c r="GR11" s="72">
        <f t="shared" si="0"/>
        <v>84977.76497156432</v>
      </c>
      <c r="GS11" s="72">
        <f>SUM(H$5:H$202)</f>
        <v>84977.76497156432</v>
      </c>
      <c r="GT11" s="73">
        <v>0</v>
      </c>
    </row>
    <row r="12" spans="1:202" outlineLevel="1" x14ac:dyDescent="0.2">
      <c r="A12" s="66" t="s">
        <v>171</v>
      </c>
      <c r="B12" s="72">
        <v>0</v>
      </c>
      <c r="C12" s="72">
        <v>0</v>
      </c>
      <c r="D12" s="72">
        <v>0</v>
      </c>
      <c r="E12" s="72">
        <v>0</v>
      </c>
      <c r="F12" s="72">
        <v>0</v>
      </c>
      <c r="G12" s="72">
        <v>0</v>
      </c>
      <c r="H12" s="72">
        <v>0</v>
      </c>
      <c r="I12" s="72">
        <v>0</v>
      </c>
      <c r="J12" s="72">
        <v>0</v>
      </c>
      <c r="K12" s="72">
        <v>0</v>
      </c>
      <c r="L12" s="72">
        <v>0</v>
      </c>
      <c r="M12" s="72">
        <v>0</v>
      </c>
      <c r="N12" s="72">
        <v>0</v>
      </c>
      <c r="O12" s="72">
        <v>0</v>
      </c>
      <c r="P12" s="72">
        <v>0</v>
      </c>
      <c r="Q12" s="72">
        <v>0</v>
      </c>
      <c r="R12" s="72">
        <v>0</v>
      </c>
      <c r="S12" s="72">
        <v>0</v>
      </c>
      <c r="T12" s="72">
        <v>0</v>
      </c>
      <c r="U12" s="72">
        <v>0</v>
      </c>
      <c r="V12" s="72">
        <v>0</v>
      </c>
      <c r="W12" s="72">
        <v>0</v>
      </c>
      <c r="X12" s="72">
        <v>0</v>
      </c>
      <c r="Y12" s="72">
        <v>0</v>
      </c>
      <c r="Z12" s="72">
        <v>0</v>
      </c>
      <c r="AA12" s="72">
        <v>0</v>
      </c>
      <c r="AB12" s="72">
        <v>0</v>
      </c>
      <c r="AC12" s="72">
        <v>0</v>
      </c>
      <c r="AD12" s="72">
        <v>0</v>
      </c>
      <c r="AE12" s="72">
        <v>0</v>
      </c>
      <c r="AF12" s="72">
        <v>0</v>
      </c>
      <c r="AG12" s="72">
        <v>0</v>
      </c>
      <c r="AH12" s="72">
        <v>0</v>
      </c>
      <c r="AI12" s="72">
        <v>0</v>
      </c>
      <c r="AJ12" s="72">
        <v>0</v>
      </c>
      <c r="AK12" s="72">
        <v>0</v>
      </c>
      <c r="AL12" s="72">
        <v>0</v>
      </c>
      <c r="AM12" s="72">
        <v>0</v>
      </c>
      <c r="AN12" s="72">
        <v>0</v>
      </c>
      <c r="AO12" s="72">
        <v>0</v>
      </c>
      <c r="AP12" s="72">
        <v>0</v>
      </c>
      <c r="AQ12" s="72">
        <v>0</v>
      </c>
      <c r="AR12" s="72">
        <v>0</v>
      </c>
      <c r="AS12" s="72">
        <v>0</v>
      </c>
      <c r="AT12" s="72">
        <v>0</v>
      </c>
      <c r="AU12" s="72">
        <v>0</v>
      </c>
      <c r="AV12" s="72">
        <v>0</v>
      </c>
      <c r="AW12" s="72">
        <v>0</v>
      </c>
      <c r="AX12" s="72">
        <v>0</v>
      </c>
      <c r="AY12" s="72">
        <v>0</v>
      </c>
      <c r="AZ12" s="72">
        <v>0</v>
      </c>
      <c r="BA12" s="72">
        <v>0</v>
      </c>
      <c r="BB12" s="72">
        <v>0</v>
      </c>
      <c r="BC12" s="72">
        <v>0</v>
      </c>
      <c r="BD12" s="72">
        <v>0</v>
      </c>
      <c r="BE12" s="72">
        <v>0</v>
      </c>
      <c r="BF12" s="72">
        <v>0</v>
      </c>
      <c r="BG12" s="72">
        <v>0</v>
      </c>
      <c r="BH12" s="72">
        <v>0</v>
      </c>
      <c r="BI12" s="72">
        <v>0</v>
      </c>
      <c r="BJ12" s="72">
        <v>0</v>
      </c>
      <c r="BK12" s="72">
        <v>0</v>
      </c>
      <c r="BL12" s="72">
        <v>0</v>
      </c>
      <c r="BM12" s="72">
        <v>0</v>
      </c>
      <c r="BN12" s="72">
        <v>0</v>
      </c>
      <c r="BO12" s="72">
        <v>0</v>
      </c>
      <c r="BP12" s="72">
        <v>0</v>
      </c>
      <c r="BQ12" s="72">
        <v>0</v>
      </c>
      <c r="BR12" s="72">
        <v>0</v>
      </c>
      <c r="BS12" s="72">
        <v>0</v>
      </c>
      <c r="BT12" s="72">
        <v>0</v>
      </c>
      <c r="BU12" s="72">
        <v>0</v>
      </c>
      <c r="BV12" s="72">
        <v>0</v>
      </c>
      <c r="BW12" s="72">
        <v>56397.630365942765</v>
      </c>
      <c r="BX12" s="72">
        <v>5149.6007312323663</v>
      </c>
      <c r="BY12" s="72">
        <v>10823.400050620034</v>
      </c>
      <c r="BZ12" s="72">
        <v>28035.912263752231</v>
      </c>
      <c r="CA12" s="72">
        <v>42751.204528741699</v>
      </c>
      <c r="CB12" s="72">
        <v>35415.068815561448</v>
      </c>
      <c r="CC12" s="72">
        <v>39147.782906858047</v>
      </c>
      <c r="CD12" s="72">
        <v>32685.534410831398</v>
      </c>
      <c r="CE12" s="72">
        <v>34887.41372114564</v>
      </c>
      <c r="CF12" s="72">
        <v>19881.676484223783</v>
      </c>
      <c r="CG12" s="72">
        <v>13804.86612791175</v>
      </c>
      <c r="CH12" s="72">
        <v>51413.641700498338</v>
      </c>
      <c r="CI12" s="72">
        <v>19.276145569935711</v>
      </c>
      <c r="CJ12" s="72">
        <v>323.06339826699309</v>
      </c>
      <c r="CK12" s="72">
        <v>0</v>
      </c>
      <c r="CL12" s="72">
        <v>0</v>
      </c>
      <c r="CM12" s="72">
        <v>0</v>
      </c>
      <c r="CN12" s="72">
        <v>0</v>
      </c>
      <c r="CO12" s="72">
        <v>0</v>
      </c>
      <c r="CP12" s="72">
        <v>0</v>
      </c>
      <c r="CQ12" s="72">
        <v>0</v>
      </c>
      <c r="CR12" s="72">
        <v>2.1798197627481413</v>
      </c>
      <c r="CS12" s="72">
        <v>0</v>
      </c>
      <c r="CT12" s="72">
        <v>0</v>
      </c>
      <c r="CU12" s="72">
        <v>0.18703117283210807</v>
      </c>
      <c r="CV12" s="72">
        <v>0</v>
      </c>
      <c r="CW12" s="72">
        <v>0</v>
      </c>
      <c r="CX12" s="72">
        <v>0</v>
      </c>
      <c r="CY12" s="72">
        <v>2286.1551112610459</v>
      </c>
      <c r="CZ12" s="72">
        <v>0</v>
      </c>
      <c r="DA12" s="72">
        <v>632.95373906301086</v>
      </c>
      <c r="DB12" s="72">
        <v>1045.0218313198275</v>
      </c>
      <c r="DC12" s="72">
        <v>483.60594781840751</v>
      </c>
      <c r="DD12" s="72">
        <v>0</v>
      </c>
      <c r="DE12" s="72">
        <v>0</v>
      </c>
      <c r="DF12" s="72">
        <v>0</v>
      </c>
      <c r="DG12" s="72">
        <v>0</v>
      </c>
      <c r="DH12" s="72">
        <v>0</v>
      </c>
      <c r="DI12" s="72">
        <v>0</v>
      </c>
      <c r="DJ12" s="72">
        <v>0</v>
      </c>
      <c r="DK12" s="72">
        <v>0</v>
      </c>
      <c r="DL12" s="72">
        <v>0</v>
      </c>
      <c r="DM12" s="72">
        <v>0</v>
      </c>
      <c r="DN12" s="72">
        <v>504.90938689628541</v>
      </c>
      <c r="DO12" s="72">
        <v>2945.0502252333163</v>
      </c>
      <c r="DP12" s="72">
        <v>0</v>
      </c>
      <c r="DQ12" s="72">
        <v>0</v>
      </c>
      <c r="DR12" s="72">
        <v>60.632702961067658</v>
      </c>
      <c r="DS12" s="72">
        <v>13.996909265229629</v>
      </c>
      <c r="DT12" s="72">
        <v>0</v>
      </c>
      <c r="DU12" s="72">
        <v>0</v>
      </c>
      <c r="DV12" s="72">
        <v>0</v>
      </c>
      <c r="DW12" s="72">
        <v>0</v>
      </c>
      <c r="DX12" s="72">
        <v>0</v>
      </c>
      <c r="DY12" s="72">
        <v>0</v>
      </c>
      <c r="DZ12" s="72">
        <v>0</v>
      </c>
      <c r="EA12" s="72">
        <v>0</v>
      </c>
      <c r="EB12" s="72">
        <v>0</v>
      </c>
      <c r="EC12" s="72">
        <v>0</v>
      </c>
      <c r="ED12" s="72">
        <v>0</v>
      </c>
      <c r="EE12" s="72">
        <v>0</v>
      </c>
      <c r="EF12" s="72">
        <v>0</v>
      </c>
      <c r="EG12" s="72">
        <v>0</v>
      </c>
      <c r="EH12" s="72">
        <v>0</v>
      </c>
      <c r="EI12" s="72">
        <v>0</v>
      </c>
      <c r="EJ12" s="72">
        <v>0</v>
      </c>
      <c r="EK12" s="72">
        <v>0</v>
      </c>
      <c r="EL12" s="72">
        <v>0</v>
      </c>
      <c r="EM12" s="72">
        <v>0</v>
      </c>
      <c r="EN12" s="72">
        <v>0</v>
      </c>
      <c r="EO12" s="72">
        <v>0</v>
      </c>
      <c r="EP12" s="72">
        <v>0</v>
      </c>
      <c r="EQ12" s="72">
        <v>0</v>
      </c>
      <c r="ER12" s="72">
        <v>0</v>
      </c>
      <c r="ES12" s="72">
        <v>0</v>
      </c>
      <c r="ET12" s="72">
        <v>0</v>
      </c>
      <c r="EU12" s="72">
        <v>0</v>
      </c>
      <c r="EV12" s="72">
        <v>0</v>
      </c>
      <c r="EW12" s="72">
        <v>0</v>
      </c>
      <c r="EX12" s="72">
        <v>0</v>
      </c>
      <c r="EY12" s="72">
        <v>0</v>
      </c>
      <c r="EZ12" s="72">
        <v>0</v>
      </c>
      <c r="FA12" s="72">
        <v>0</v>
      </c>
      <c r="FB12" s="72">
        <v>0</v>
      </c>
      <c r="FC12" s="72">
        <v>0</v>
      </c>
      <c r="FD12" s="72">
        <v>0</v>
      </c>
      <c r="FE12" s="72">
        <v>0</v>
      </c>
      <c r="FF12" s="72">
        <v>4831.5755270369236</v>
      </c>
      <c r="FG12" s="72">
        <v>0</v>
      </c>
      <c r="FH12" s="72">
        <v>0</v>
      </c>
      <c r="FI12" s="72">
        <v>0</v>
      </c>
      <c r="FJ12" s="72">
        <v>0</v>
      </c>
      <c r="FK12" s="72">
        <v>0</v>
      </c>
      <c r="FL12" s="72">
        <v>0</v>
      </c>
      <c r="FM12" s="72">
        <v>0</v>
      </c>
      <c r="FN12" s="72">
        <v>0</v>
      </c>
      <c r="FO12" s="72">
        <v>0</v>
      </c>
      <c r="FP12" s="72">
        <v>0</v>
      </c>
      <c r="FQ12" s="72">
        <v>0</v>
      </c>
      <c r="FR12" s="72">
        <v>0</v>
      </c>
      <c r="FS12" s="72">
        <v>0</v>
      </c>
      <c r="FT12" s="72">
        <v>0</v>
      </c>
      <c r="FU12" s="72">
        <v>0</v>
      </c>
      <c r="FV12" s="72">
        <v>0</v>
      </c>
      <c r="FW12" s="72">
        <v>0</v>
      </c>
      <c r="FX12" s="72">
        <v>0</v>
      </c>
      <c r="FY12" s="72">
        <v>0</v>
      </c>
      <c r="FZ12" s="72">
        <v>0</v>
      </c>
      <c r="GA12" s="72">
        <v>0</v>
      </c>
      <c r="GB12" s="72">
        <v>0</v>
      </c>
      <c r="GC12" s="72">
        <v>0</v>
      </c>
      <c r="GD12" s="72">
        <v>0</v>
      </c>
      <c r="GE12" s="72">
        <v>0</v>
      </c>
      <c r="GF12" s="72">
        <v>0</v>
      </c>
      <c r="GG12" s="72">
        <v>0</v>
      </c>
      <c r="GH12" s="72">
        <v>0</v>
      </c>
      <c r="GI12" s="72">
        <v>0</v>
      </c>
      <c r="GJ12" s="72">
        <v>0</v>
      </c>
      <c r="GK12" s="72">
        <v>0</v>
      </c>
      <c r="GL12" s="72">
        <v>0</v>
      </c>
      <c r="GM12" s="72">
        <v>0</v>
      </c>
      <c r="GN12" s="72">
        <v>0</v>
      </c>
      <c r="GO12" s="72">
        <v>0</v>
      </c>
      <c r="GP12" s="72">
        <v>0</v>
      </c>
      <c r="GQ12" s="72">
        <v>0</v>
      </c>
      <c r="GR12" s="72">
        <f t="shared" si="0"/>
        <v>383542.33988294716</v>
      </c>
      <c r="GS12" s="72">
        <f>SUM(I$5:I$202)</f>
        <v>383542.33988294721</v>
      </c>
      <c r="GT12" s="73">
        <v>0</v>
      </c>
    </row>
    <row r="13" spans="1:202" outlineLevel="1" x14ac:dyDescent="0.2">
      <c r="A13" s="66" t="s">
        <v>175</v>
      </c>
      <c r="B13" s="72">
        <v>0</v>
      </c>
      <c r="C13" s="72">
        <v>0</v>
      </c>
      <c r="D13" s="72">
        <v>0</v>
      </c>
      <c r="E13" s="72">
        <v>0</v>
      </c>
      <c r="F13" s="72">
        <v>0</v>
      </c>
      <c r="G13" s="72">
        <v>0</v>
      </c>
      <c r="H13" s="72">
        <v>0</v>
      </c>
      <c r="I13" s="72">
        <v>0</v>
      </c>
      <c r="J13" s="72">
        <v>0</v>
      </c>
      <c r="K13" s="72">
        <v>0</v>
      </c>
      <c r="L13" s="72">
        <v>0</v>
      </c>
      <c r="M13" s="72">
        <v>0</v>
      </c>
      <c r="N13" s="72">
        <v>0</v>
      </c>
      <c r="O13" s="72">
        <v>0</v>
      </c>
      <c r="P13" s="72">
        <v>0</v>
      </c>
      <c r="Q13" s="72">
        <v>0</v>
      </c>
      <c r="R13" s="72">
        <v>0</v>
      </c>
      <c r="S13" s="72">
        <v>0</v>
      </c>
      <c r="T13" s="72">
        <v>0</v>
      </c>
      <c r="U13" s="72">
        <v>0</v>
      </c>
      <c r="V13" s="72">
        <v>0</v>
      </c>
      <c r="W13" s="72">
        <v>0</v>
      </c>
      <c r="X13" s="72">
        <v>0</v>
      </c>
      <c r="Y13" s="72">
        <v>0</v>
      </c>
      <c r="Z13" s="72">
        <v>0</v>
      </c>
      <c r="AA13" s="72">
        <v>0</v>
      </c>
      <c r="AB13" s="72">
        <v>0</v>
      </c>
      <c r="AC13" s="72">
        <v>0</v>
      </c>
      <c r="AD13" s="72">
        <v>0</v>
      </c>
      <c r="AE13" s="72">
        <v>0</v>
      </c>
      <c r="AF13" s="72">
        <v>0</v>
      </c>
      <c r="AG13" s="72">
        <v>0</v>
      </c>
      <c r="AH13" s="72">
        <v>0</v>
      </c>
      <c r="AI13" s="72">
        <v>0</v>
      </c>
      <c r="AJ13" s="72">
        <v>0</v>
      </c>
      <c r="AK13" s="72">
        <v>0</v>
      </c>
      <c r="AL13" s="72">
        <v>0</v>
      </c>
      <c r="AM13" s="72">
        <v>0</v>
      </c>
      <c r="AN13" s="72">
        <v>0</v>
      </c>
      <c r="AO13" s="72">
        <v>0</v>
      </c>
      <c r="AP13" s="72">
        <v>0</v>
      </c>
      <c r="AQ13" s="72">
        <v>0</v>
      </c>
      <c r="AR13" s="72">
        <v>0</v>
      </c>
      <c r="AS13" s="72">
        <v>0</v>
      </c>
      <c r="AT13" s="72">
        <v>0</v>
      </c>
      <c r="AU13" s="72">
        <v>0</v>
      </c>
      <c r="AV13" s="72">
        <v>0</v>
      </c>
      <c r="AW13" s="72">
        <v>0</v>
      </c>
      <c r="AX13" s="72">
        <v>0</v>
      </c>
      <c r="AY13" s="72">
        <v>0</v>
      </c>
      <c r="AZ13" s="72">
        <v>0</v>
      </c>
      <c r="BA13" s="72">
        <v>0</v>
      </c>
      <c r="BB13" s="72">
        <v>0</v>
      </c>
      <c r="BC13" s="72">
        <v>0</v>
      </c>
      <c r="BD13" s="72">
        <v>0</v>
      </c>
      <c r="BE13" s="72">
        <v>0</v>
      </c>
      <c r="BF13" s="72">
        <v>0</v>
      </c>
      <c r="BG13" s="72">
        <v>0</v>
      </c>
      <c r="BH13" s="72">
        <v>0</v>
      </c>
      <c r="BI13" s="72">
        <v>0</v>
      </c>
      <c r="BJ13" s="72">
        <v>0</v>
      </c>
      <c r="BK13" s="72">
        <v>0</v>
      </c>
      <c r="BL13" s="72">
        <v>0</v>
      </c>
      <c r="BM13" s="72">
        <v>0</v>
      </c>
      <c r="BN13" s="72">
        <v>0</v>
      </c>
      <c r="BO13" s="72">
        <v>0</v>
      </c>
      <c r="BP13" s="72">
        <v>0</v>
      </c>
      <c r="BQ13" s="72">
        <v>0</v>
      </c>
      <c r="BR13" s="72">
        <v>0</v>
      </c>
      <c r="BS13" s="72">
        <v>0</v>
      </c>
      <c r="BT13" s="72">
        <v>0</v>
      </c>
      <c r="BU13" s="72">
        <v>0</v>
      </c>
      <c r="BV13" s="72">
        <v>0</v>
      </c>
      <c r="BW13" s="72">
        <v>0</v>
      </c>
      <c r="BX13" s="72">
        <v>0</v>
      </c>
      <c r="BY13" s="72">
        <v>0</v>
      </c>
      <c r="BZ13" s="72">
        <v>1562.8626215568768</v>
      </c>
      <c r="CA13" s="72">
        <v>0</v>
      </c>
      <c r="CB13" s="72">
        <v>0</v>
      </c>
      <c r="CC13" s="72">
        <v>22.352097268870626</v>
      </c>
      <c r="CD13" s="72">
        <v>0</v>
      </c>
      <c r="CE13" s="72">
        <v>0</v>
      </c>
      <c r="CF13" s="72">
        <v>0</v>
      </c>
      <c r="CG13" s="72">
        <v>0</v>
      </c>
      <c r="CH13" s="72">
        <v>25.204768871595611</v>
      </c>
      <c r="CI13" s="72">
        <v>76087.372350834165</v>
      </c>
      <c r="CJ13" s="72">
        <v>40937.955262866635</v>
      </c>
      <c r="CK13" s="72">
        <v>16149.415437932326</v>
      </c>
      <c r="CL13" s="72">
        <v>0</v>
      </c>
      <c r="CM13" s="72">
        <v>0</v>
      </c>
      <c r="CN13" s="72">
        <v>0</v>
      </c>
      <c r="CO13" s="72">
        <v>0</v>
      </c>
      <c r="CP13" s="72">
        <v>0</v>
      </c>
      <c r="CQ13" s="72">
        <v>0</v>
      </c>
      <c r="CR13" s="72">
        <v>0</v>
      </c>
      <c r="CS13" s="72">
        <v>0</v>
      </c>
      <c r="CT13" s="72">
        <v>0</v>
      </c>
      <c r="CU13" s="72">
        <v>0</v>
      </c>
      <c r="CV13" s="72">
        <v>0</v>
      </c>
      <c r="CW13" s="72">
        <v>0</v>
      </c>
      <c r="CX13" s="72">
        <v>0</v>
      </c>
      <c r="CY13" s="72">
        <v>0</v>
      </c>
      <c r="CZ13" s="72">
        <v>0</v>
      </c>
      <c r="DA13" s="72">
        <v>0</v>
      </c>
      <c r="DB13" s="72">
        <v>0</v>
      </c>
      <c r="DC13" s="72">
        <v>0</v>
      </c>
      <c r="DD13" s="72">
        <v>0</v>
      </c>
      <c r="DE13" s="72">
        <v>0</v>
      </c>
      <c r="DF13" s="72">
        <v>0</v>
      </c>
      <c r="DG13" s="72">
        <v>0</v>
      </c>
      <c r="DH13" s="72">
        <v>0</v>
      </c>
      <c r="DI13" s="72">
        <v>0</v>
      </c>
      <c r="DJ13" s="72">
        <v>0</v>
      </c>
      <c r="DK13" s="72">
        <v>0</v>
      </c>
      <c r="DL13" s="72">
        <v>0</v>
      </c>
      <c r="DM13" s="72">
        <v>0</v>
      </c>
      <c r="DN13" s="72">
        <v>0</v>
      </c>
      <c r="DO13" s="72">
        <v>2.9322376536659034</v>
      </c>
      <c r="DP13" s="72">
        <v>0</v>
      </c>
      <c r="DQ13" s="72">
        <v>0</v>
      </c>
      <c r="DR13" s="72">
        <v>0</v>
      </c>
      <c r="DS13" s="72">
        <v>0</v>
      </c>
      <c r="DT13" s="72">
        <v>0</v>
      </c>
      <c r="DU13" s="72">
        <v>0</v>
      </c>
      <c r="DV13" s="72">
        <v>0</v>
      </c>
      <c r="DW13" s="72">
        <v>0</v>
      </c>
      <c r="DX13" s="72">
        <v>0</v>
      </c>
      <c r="DY13" s="72">
        <v>0</v>
      </c>
      <c r="DZ13" s="72">
        <v>0</v>
      </c>
      <c r="EA13" s="72">
        <v>0</v>
      </c>
      <c r="EB13" s="72">
        <v>0</v>
      </c>
      <c r="EC13" s="72">
        <v>0</v>
      </c>
      <c r="ED13" s="72">
        <v>0</v>
      </c>
      <c r="EE13" s="72">
        <v>0</v>
      </c>
      <c r="EF13" s="72">
        <v>0</v>
      </c>
      <c r="EG13" s="72">
        <v>0</v>
      </c>
      <c r="EH13" s="72">
        <v>0</v>
      </c>
      <c r="EI13" s="72">
        <v>0</v>
      </c>
      <c r="EJ13" s="72">
        <v>0</v>
      </c>
      <c r="EK13" s="72">
        <v>0</v>
      </c>
      <c r="EL13" s="72">
        <v>0</v>
      </c>
      <c r="EM13" s="72">
        <v>0</v>
      </c>
      <c r="EN13" s="72">
        <v>0</v>
      </c>
      <c r="EO13" s="72">
        <v>0</v>
      </c>
      <c r="EP13" s="72">
        <v>0</v>
      </c>
      <c r="EQ13" s="72">
        <v>0</v>
      </c>
      <c r="ER13" s="72">
        <v>0</v>
      </c>
      <c r="ES13" s="72">
        <v>0</v>
      </c>
      <c r="ET13" s="72">
        <v>0</v>
      </c>
      <c r="EU13" s="72">
        <v>0</v>
      </c>
      <c r="EV13" s="72">
        <v>0</v>
      </c>
      <c r="EW13" s="72">
        <v>0</v>
      </c>
      <c r="EX13" s="72">
        <v>0</v>
      </c>
      <c r="EY13" s="72">
        <v>0</v>
      </c>
      <c r="EZ13" s="72">
        <v>0</v>
      </c>
      <c r="FA13" s="72">
        <v>0</v>
      </c>
      <c r="FB13" s="72">
        <v>0</v>
      </c>
      <c r="FC13" s="72">
        <v>0</v>
      </c>
      <c r="FD13" s="72">
        <v>0</v>
      </c>
      <c r="FE13" s="72">
        <v>0</v>
      </c>
      <c r="FF13" s="72">
        <v>285.68573837161028</v>
      </c>
      <c r="FG13" s="72">
        <v>0</v>
      </c>
      <c r="FH13" s="72">
        <v>0</v>
      </c>
      <c r="FI13" s="72">
        <v>0</v>
      </c>
      <c r="FJ13" s="72">
        <v>0</v>
      </c>
      <c r="FK13" s="72">
        <v>0</v>
      </c>
      <c r="FL13" s="72">
        <v>0</v>
      </c>
      <c r="FM13" s="72">
        <v>0</v>
      </c>
      <c r="FN13" s="72">
        <v>0</v>
      </c>
      <c r="FO13" s="72">
        <v>0</v>
      </c>
      <c r="FP13" s="72">
        <v>0</v>
      </c>
      <c r="FQ13" s="72">
        <v>0</v>
      </c>
      <c r="FR13" s="72">
        <v>0</v>
      </c>
      <c r="FS13" s="72">
        <v>0</v>
      </c>
      <c r="FT13" s="72">
        <v>0</v>
      </c>
      <c r="FU13" s="72">
        <v>0</v>
      </c>
      <c r="FV13" s="72">
        <v>0</v>
      </c>
      <c r="FW13" s="72">
        <v>0</v>
      </c>
      <c r="FX13" s="72">
        <v>0</v>
      </c>
      <c r="FY13" s="72">
        <v>0</v>
      </c>
      <c r="FZ13" s="72">
        <v>0</v>
      </c>
      <c r="GA13" s="72">
        <v>0</v>
      </c>
      <c r="GB13" s="72">
        <v>0</v>
      </c>
      <c r="GC13" s="72">
        <v>0</v>
      </c>
      <c r="GD13" s="72">
        <v>0</v>
      </c>
      <c r="GE13" s="72">
        <v>0</v>
      </c>
      <c r="GF13" s="72">
        <v>0</v>
      </c>
      <c r="GG13" s="72">
        <v>0</v>
      </c>
      <c r="GH13" s="72">
        <v>0</v>
      </c>
      <c r="GI13" s="72">
        <v>0</v>
      </c>
      <c r="GJ13" s="72">
        <v>0</v>
      </c>
      <c r="GK13" s="72">
        <v>0</v>
      </c>
      <c r="GL13" s="72">
        <v>0</v>
      </c>
      <c r="GM13" s="72">
        <v>0</v>
      </c>
      <c r="GN13" s="72">
        <v>0</v>
      </c>
      <c r="GO13" s="72">
        <v>0</v>
      </c>
      <c r="GP13" s="72">
        <v>0</v>
      </c>
      <c r="GQ13" s="72">
        <v>0</v>
      </c>
      <c r="GR13" s="72">
        <f t="shared" si="0"/>
        <v>135073.78051535576</v>
      </c>
      <c r="GS13" s="72">
        <f>SUM(J$5:J$202)</f>
        <v>135073.78051535576</v>
      </c>
      <c r="GT13" s="73">
        <v>0</v>
      </c>
    </row>
    <row r="14" spans="1:202" outlineLevel="1" x14ac:dyDescent="0.2">
      <c r="A14" s="66" t="s">
        <v>180</v>
      </c>
      <c r="B14" s="72">
        <v>0</v>
      </c>
      <c r="C14" s="72">
        <v>0</v>
      </c>
      <c r="D14" s="72">
        <v>0</v>
      </c>
      <c r="E14" s="72">
        <v>0</v>
      </c>
      <c r="F14" s="72">
        <v>0</v>
      </c>
      <c r="G14" s="72">
        <v>0</v>
      </c>
      <c r="H14" s="72">
        <v>0</v>
      </c>
      <c r="I14" s="72">
        <v>0</v>
      </c>
      <c r="J14" s="72">
        <v>0</v>
      </c>
      <c r="K14" s="72">
        <v>0</v>
      </c>
      <c r="L14" s="72">
        <v>0</v>
      </c>
      <c r="M14" s="72">
        <v>0</v>
      </c>
      <c r="N14" s="72">
        <v>0</v>
      </c>
      <c r="O14" s="72">
        <v>0</v>
      </c>
      <c r="P14" s="72">
        <v>0</v>
      </c>
      <c r="Q14" s="72">
        <v>0</v>
      </c>
      <c r="R14" s="72">
        <v>0</v>
      </c>
      <c r="S14" s="72">
        <v>0</v>
      </c>
      <c r="T14" s="72">
        <v>0</v>
      </c>
      <c r="U14" s="72">
        <v>0</v>
      </c>
      <c r="V14" s="72">
        <v>0</v>
      </c>
      <c r="W14" s="72">
        <v>0</v>
      </c>
      <c r="X14" s="72">
        <v>0</v>
      </c>
      <c r="Y14" s="72">
        <v>0</v>
      </c>
      <c r="Z14" s="72">
        <v>0</v>
      </c>
      <c r="AA14" s="72">
        <v>0</v>
      </c>
      <c r="AB14" s="72">
        <v>0</v>
      </c>
      <c r="AC14" s="72">
        <v>0</v>
      </c>
      <c r="AD14" s="72">
        <v>0</v>
      </c>
      <c r="AE14" s="72">
        <v>0</v>
      </c>
      <c r="AF14" s="72">
        <v>0</v>
      </c>
      <c r="AG14" s="72">
        <v>0</v>
      </c>
      <c r="AH14" s="72">
        <v>0</v>
      </c>
      <c r="AI14" s="72">
        <v>0</v>
      </c>
      <c r="AJ14" s="72">
        <v>0</v>
      </c>
      <c r="AK14" s="72">
        <v>0</v>
      </c>
      <c r="AL14" s="72">
        <v>0</v>
      </c>
      <c r="AM14" s="72">
        <v>0</v>
      </c>
      <c r="AN14" s="72">
        <v>0</v>
      </c>
      <c r="AO14" s="72">
        <v>0</v>
      </c>
      <c r="AP14" s="72">
        <v>0</v>
      </c>
      <c r="AQ14" s="72">
        <v>0</v>
      </c>
      <c r="AR14" s="72">
        <v>0</v>
      </c>
      <c r="AS14" s="72">
        <v>0</v>
      </c>
      <c r="AT14" s="72">
        <v>0</v>
      </c>
      <c r="AU14" s="72">
        <v>0</v>
      </c>
      <c r="AV14" s="72">
        <v>0</v>
      </c>
      <c r="AW14" s="72">
        <v>0</v>
      </c>
      <c r="AX14" s="72">
        <v>0</v>
      </c>
      <c r="AY14" s="72">
        <v>0</v>
      </c>
      <c r="AZ14" s="72">
        <v>0</v>
      </c>
      <c r="BA14" s="72">
        <v>0</v>
      </c>
      <c r="BB14" s="72">
        <v>0</v>
      </c>
      <c r="BC14" s="72">
        <v>0</v>
      </c>
      <c r="BD14" s="72">
        <v>0</v>
      </c>
      <c r="BE14" s="72">
        <v>0</v>
      </c>
      <c r="BF14" s="72">
        <v>0</v>
      </c>
      <c r="BG14" s="72">
        <v>0</v>
      </c>
      <c r="BH14" s="72">
        <v>0</v>
      </c>
      <c r="BI14" s="72">
        <v>0</v>
      </c>
      <c r="BJ14" s="72">
        <v>0</v>
      </c>
      <c r="BK14" s="72">
        <v>0</v>
      </c>
      <c r="BL14" s="72">
        <v>0</v>
      </c>
      <c r="BM14" s="72">
        <v>0</v>
      </c>
      <c r="BN14" s="72">
        <v>0</v>
      </c>
      <c r="BO14" s="72">
        <v>0</v>
      </c>
      <c r="BP14" s="72">
        <v>0</v>
      </c>
      <c r="BQ14" s="72">
        <v>0</v>
      </c>
      <c r="BR14" s="72">
        <v>0</v>
      </c>
      <c r="BS14" s="72">
        <v>0</v>
      </c>
      <c r="BT14" s="72">
        <v>0</v>
      </c>
      <c r="BU14" s="72">
        <v>0</v>
      </c>
      <c r="BV14" s="72">
        <v>0</v>
      </c>
      <c r="BW14" s="72">
        <v>0</v>
      </c>
      <c r="BX14" s="72">
        <v>0</v>
      </c>
      <c r="BY14" s="72">
        <v>0</v>
      </c>
      <c r="BZ14" s="72">
        <v>0</v>
      </c>
      <c r="CA14" s="72">
        <v>45.854257148901191</v>
      </c>
      <c r="CB14" s="72">
        <v>0</v>
      </c>
      <c r="CC14" s="72">
        <v>0</v>
      </c>
      <c r="CD14" s="72">
        <v>0</v>
      </c>
      <c r="CE14" s="72">
        <v>0</v>
      </c>
      <c r="CF14" s="72">
        <v>0</v>
      </c>
      <c r="CG14" s="72">
        <v>0</v>
      </c>
      <c r="CH14" s="72">
        <v>0</v>
      </c>
      <c r="CI14" s="72">
        <v>0</v>
      </c>
      <c r="CJ14" s="72">
        <v>0</v>
      </c>
      <c r="CK14" s="72">
        <v>0</v>
      </c>
      <c r="CL14" s="72">
        <v>11710.063614230929</v>
      </c>
      <c r="CM14" s="72">
        <v>6068.7007206861717</v>
      </c>
      <c r="CN14" s="72">
        <v>2570.6383348256441</v>
      </c>
      <c r="CO14" s="72">
        <v>5339.2265527047784</v>
      </c>
      <c r="CP14" s="72">
        <v>355.61084080044304</v>
      </c>
      <c r="CQ14" s="72">
        <v>263.00320661827215</v>
      </c>
      <c r="CR14" s="72">
        <v>0</v>
      </c>
      <c r="CS14" s="72">
        <v>120.03688653611253</v>
      </c>
      <c r="CT14" s="72">
        <v>0</v>
      </c>
      <c r="CU14" s="72">
        <v>0</v>
      </c>
      <c r="CV14" s="72">
        <v>0</v>
      </c>
      <c r="CW14" s="72">
        <v>0</v>
      </c>
      <c r="CX14" s="72">
        <v>0</v>
      </c>
      <c r="CY14" s="72">
        <v>153.16023233976074</v>
      </c>
      <c r="CZ14" s="72">
        <v>0</v>
      </c>
      <c r="DA14" s="72">
        <v>0</v>
      </c>
      <c r="DB14" s="72">
        <v>0</v>
      </c>
      <c r="DC14" s="72">
        <v>162.53549323013027</v>
      </c>
      <c r="DD14" s="72">
        <v>0</v>
      </c>
      <c r="DE14" s="72">
        <v>28.163762588748398</v>
      </c>
      <c r="DF14" s="72">
        <v>30.09277572731455</v>
      </c>
      <c r="DG14" s="72">
        <v>0</v>
      </c>
      <c r="DH14" s="72">
        <v>0</v>
      </c>
      <c r="DI14" s="72">
        <v>0</v>
      </c>
      <c r="DJ14" s="72">
        <v>0</v>
      </c>
      <c r="DK14" s="72">
        <v>0</v>
      </c>
      <c r="DL14" s="72">
        <v>20.074598373072639</v>
      </c>
      <c r="DM14" s="72">
        <v>0</v>
      </c>
      <c r="DN14" s="72">
        <v>0</v>
      </c>
      <c r="DO14" s="72">
        <v>177.65230747459941</v>
      </c>
      <c r="DP14" s="72">
        <v>0</v>
      </c>
      <c r="DQ14" s="72">
        <v>0</v>
      </c>
      <c r="DR14" s="72">
        <v>0</v>
      </c>
      <c r="DS14" s="72">
        <v>0</v>
      </c>
      <c r="DT14" s="72">
        <v>75.812245359220896</v>
      </c>
      <c r="DU14" s="72">
        <v>0</v>
      </c>
      <c r="DV14" s="72">
        <v>0</v>
      </c>
      <c r="DW14" s="72">
        <v>0</v>
      </c>
      <c r="DX14" s="72">
        <v>0</v>
      </c>
      <c r="DY14" s="72">
        <v>0</v>
      </c>
      <c r="DZ14" s="72">
        <v>0</v>
      </c>
      <c r="EA14" s="72">
        <v>0</v>
      </c>
      <c r="EB14" s="72">
        <v>0</v>
      </c>
      <c r="EC14" s="72">
        <v>0</v>
      </c>
      <c r="ED14" s="72">
        <v>140.84144007242372</v>
      </c>
      <c r="EE14" s="72">
        <v>392.72773726169675</v>
      </c>
      <c r="EF14" s="72">
        <v>0</v>
      </c>
      <c r="EG14" s="72">
        <v>0</v>
      </c>
      <c r="EH14" s="72">
        <v>0</v>
      </c>
      <c r="EI14" s="72">
        <v>0</v>
      </c>
      <c r="EJ14" s="72">
        <v>0</v>
      </c>
      <c r="EK14" s="72">
        <v>0</v>
      </c>
      <c r="EL14" s="72">
        <v>0</v>
      </c>
      <c r="EM14" s="72">
        <v>0</v>
      </c>
      <c r="EN14" s="72">
        <v>0</v>
      </c>
      <c r="EO14" s="72">
        <v>0</v>
      </c>
      <c r="EP14" s="72">
        <v>0</v>
      </c>
      <c r="EQ14" s="72">
        <v>0</v>
      </c>
      <c r="ER14" s="72">
        <v>0</v>
      </c>
      <c r="ES14" s="72">
        <v>0</v>
      </c>
      <c r="ET14" s="72">
        <v>0</v>
      </c>
      <c r="EU14" s="72">
        <v>0</v>
      </c>
      <c r="EV14" s="72">
        <v>0</v>
      </c>
      <c r="EW14" s="72">
        <v>0</v>
      </c>
      <c r="EX14" s="72">
        <v>0</v>
      </c>
      <c r="EY14" s="72">
        <v>0</v>
      </c>
      <c r="EZ14" s="72">
        <v>0</v>
      </c>
      <c r="FA14" s="72">
        <v>0</v>
      </c>
      <c r="FB14" s="72">
        <v>0</v>
      </c>
      <c r="FC14" s="72">
        <v>0</v>
      </c>
      <c r="FD14" s="72">
        <v>0</v>
      </c>
      <c r="FE14" s="72">
        <v>0</v>
      </c>
      <c r="FF14" s="72">
        <v>317.24557112705679</v>
      </c>
      <c r="FG14" s="72">
        <v>0</v>
      </c>
      <c r="FH14" s="72">
        <v>0</v>
      </c>
      <c r="FI14" s="72">
        <v>0</v>
      </c>
      <c r="FJ14" s="72">
        <v>0</v>
      </c>
      <c r="FK14" s="72">
        <v>0</v>
      </c>
      <c r="FL14" s="72">
        <v>0</v>
      </c>
      <c r="FM14" s="72">
        <v>0</v>
      </c>
      <c r="FN14" s="72">
        <v>0</v>
      </c>
      <c r="FO14" s="72">
        <v>0</v>
      </c>
      <c r="FP14" s="72">
        <v>0</v>
      </c>
      <c r="FQ14" s="72">
        <v>0</v>
      </c>
      <c r="FR14" s="72">
        <v>0</v>
      </c>
      <c r="FS14" s="72">
        <v>0</v>
      </c>
      <c r="FT14" s="72">
        <v>0</v>
      </c>
      <c r="FU14" s="72">
        <v>0</v>
      </c>
      <c r="FV14" s="72">
        <v>0</v>
      </c>
      <c r="FW14" s="72">
        <v>0</v>
      </c>
      <c r="FX14" s="72">
        <v>0</v>
      </c>
      <c r="FY14" s="72">
        <v>0</v>
      </c>
      <c r="FZ14" s="72">
        <v>0</v>
      </c>
      <c r="GA14" s="72">
        <v>0</v>
      </c>
      <c r="GB14" s="72">
        <v>0</v>
      </c>
      <c r="GC14" s="72">
        <v>0</v>
      </c>
      <c r="GD14" s="72">
        <v>0</v>
      </c>
      <c r="GE14" s="72">
        <v>0</v>
      </c>
      <c r="GF14" s="72">
        <v>0</v>
      </c>
      <c r="GG14" s="72">
        <v>0</v>
      </c>
      <c r="GH14" s="72">
        <v>0</v>
      </c>
      <c r="GI14" s="72">
        <v>0</v>
      </c>
      <c r="GJ14" s="72">
        <v>0</v>
      </c>
      <c r="GK14" s="72">
        <v>0</v>
      </c>
      <c r="GL14" s="72">
        <v>0</v>
      </c>
      <c r="GM14" s="72">
        <v>0</v>
      </c>
      <c r="GN14" s="72">
        <v>0</v>
      </c>
      <c r="GO14" s="72">
        <v>0</v>
      </c>
      <c r="GP14" s="72">
        <v>0</v>
      </c>
      <c r="GQ14" s="72">
        <v>0</v>
      </c>
      <c r="GR14" s="72">
        <f t="shared" si="0"/>
        <v>27971.440577105281</v>
      </c>
      <c r="GS14" s="72">
        <f>SUM(K$5:K$202)</f>
        <v>27971.440577105288</v>
      </c>
      <c r="GT14" s="73">
        <v>0</v>
      </c>
    </row>
    <row r="15" spans="1:202" outlineLevel="1" x14ac:dyDescent="0.2">
      <c r="A15" s="66" t="s">
        <v>185</v>
      </c>
      <c r="B15" s="72">
        <v>0</v>
      </c>
      <c r="C15" s="72">
        <v>0</v>
      </c>
      <c r="D15" s="72">
        <v>0</v>
      </c>
      <c r="E15" s="72">
        <v>0</v>
      </c>
      <c r="F15" s="72">
        <v>0</v>
      </c>
      <c r="G15" s="72">
        <v>0</v>
      </c>
      <c r="H15" s="72">
        <v>0</v>
      </c>
      <c r="I15" s="72">
        <v>0</v>
      </c>
      <c r="J15" s="72">
        <v>0</v>
      </c>
      <c r="K15" s="72">
        <v>0</v>
      </c>
      <c r="L15" s="72">
        <v>0</v>
      </c>
      <c r="M15" s="72">
        <v>0</v>
      </c>
      <c r="N15" s="72">
        <v>0</v>
      </c>
      <c r="O15" s="72">
        <v>0</v>
      </c>
      <c r="P15" s="72">
        <v>0</v>
      </c>
      <c r="Q15" s="72">
        <v>0</v>
      </c>
      <c r="R15" s="72">
        <v>0</v>
      </c>
      <c r="S15" s="72">
        <v>0</v>
      </c>
      <c r="T15" s="72">
        <v>0</v>
      </c>
      <c r="U15" s="72">
        <v>0</v>
      </c>
      <c r="V15" s="72">
        <v>0</v>
      </c>
      <c r="W15" s="72">
        <v>0</v>
      </c>
      <c r="X15" s="72">
        <v>0</v>
      </c>
      <c r="Y15" s="72">
        <v>0</v>
      </c>
      <c r="Z15" s="72">
        <v>0</v>
      </c>
      <c r="AA15" s="72">
        <v>0</v>
      </c>
      <c r="AB15" s="72">
        <v>0</v>
      </c>
      <c r="AC15" s="72">
        <v>0</v>
      </c>
      <c r="AD15" s="72">
        <v>0</v>
      </c>
      <c r="AE15" s="72">
        <v>0</v>
      </c>
      <c r="AF15" s="72">
        <v>0</v>
      </c>
      <c r="AG15" s="72">
        <v>0</v>
      </c>
      <c r="AH15" s="72">
        <v>0</v>
      </c>
      <c r="AI15" s="72">
        <v>0</v>
      </c>
      <c r="AJ15" s="72">
        <v>0</v>
      </c>
      <c r="AK15" s="72">
        <v>0</v>
      </c>
      <c r="AL15" s="72">
        <v>0</v>
      </c>
      <c r="AM15" s="72">
        <v>0</v>
      </c>
      <c r="AN15" s="72">
        <v>0</v>
      </c>
      <c r="AO15" s="72">
        <v>0</v>
      </c>
      <c r="AP15" s="72">
        <v>0</v>
      </c>
      <c r="AQ15" s="72">
        <v>0</v>
      </c>
      <c r="AR15" s="72">
        <v>0</v>
      </c>
      <c r="AS15" s="72">
        <v>0</v>
      </c>
      <c r="AT15" s="72">
        <v>0</v>
      </c>
      <c r="AU15" s="72">
        <v>0</v>
      </c>
      <c r="AV15" s="72">
        <v>0</v>
      </c>
      <c r="AW15" s="72">
        <v>0</v>
      </c>
      <c r="AX15" s="72">
        <v>0</v>
      </c>
      <c r="AY15" s="72">
        <v>0</v>
      </c>
      <c r="AZ15" s="72">
        <v>0</v>
      </c>
      <c r="BA15" s="72">
        <v>0</v>
      </c>
      <c r="BB15" s="72">
        <v>0</v>
      </c>
      <c r="BC15" s="72">
        <v>0</v>
      </c>
      <c r="BD15" s="72">
        <v>0</v>
      </c>
      <c r="BE15" s="72">
        <v>0</v>
      </c>
      <c r="BF15" s="72">
        <v>0</v>
      </c>
      <c r="BG15" s="72">
        <v>0</v>
      </c>
      <c r="BH15" s="72">
        <v>0</v>
      </c>
      <c r="BI15" s="72">
        <v>0</v>
      </c>
      <c r="BJ15" s="72">
        <v>0</v>
      </c>
      <c r="BK15" s="72">
        <v>0</v>
      </c>
      <c r="BL15" s="72">
        <v>0</v>
      </c>
      <c r="BM15" s="72">
        <v>0</v>
      </c>
      <c r="BN15" s="72">
        <v>0</v>
      </c>
      <c r="BO15" s="72">
        <v>0</v>
      </c>
      <c r="BP15" s="72">
        <v>0</v>
      </c>
      <c r="BQ15" s="72">
        <v>0</v>
      </c>
      <c r="BR15" s="72">
        <v>0</v>
      </c>
      <c r="BS15" s="72">
        <v>0</v>
      </c>
      <c r="BT15" s="72">
        <v>0</v>
      </c>
      <c r="BU15" s="72">
        <v>0</v>
      </c>
      <c r="BV15" s="72">
        <v>0</v>
      </c>
      <c r="BW15" s="72">
        <v>0</v>
      </c>
      <c r="BX15" s="72">
        <v>0</v>
      </c>
      <c r="BY15" s="72">
        <v>0</v>
      </c>
      <c r="BZ15" s="72">
        <v>0</v>
      </c>
      <c r="CA15" s="72">
        <v>0</v>
      </c>
      <c r="CB15" s="72">
        <v>0</v>
      </c>
      <c r="CC15" s="72">
        <v>0</v>
      </c>
      <c r="CD15" s="72">
        <v>0</v>
      </c>
      <c r="CE15" s="72">
        <v>0</v>
      </c>
      <c r="CF15" s="72">
        <v>0</v>
      </c>
      <c r="CG15" s="72">
        <v>0</v>
      </c>
      <c r="CH15" s="72">
        <v>0</v>
      </c>
      <c r="CI15" s="72">
        <v>0</v>
      </c>
      <c r="CJ15" s="72">
        <v>0</v>
      </c>
      <c r="CK15" s="72">
        <v>0</v>
      </c>
      <c r="CL15" s="72">
        <v>683.90211503851901</v>
      </c>
      <c r="CM15" s="72">
        <v>3503.0554177765157</v>
      </c>
      <c r="CN15" s="72">
        <v>0</v>
      </c>
      <c r="CO15" s="72">
        <v>2172.0758172306332</v>
      </c>
      <c r="CP15" s="72">
        <v>1502.9271631129993</v>
      </c>
      <c r="CQ15" s="72">
        <v>30934.07315140275</v>
      </c>
      <c r="CR15" s="72">
        <v>0</v>
      </c>
      <c r="CS15" s="72">
        <v>11.30554834167603</v>
      </c>
      <c r="CT15" s="72">
        <v>0</v>
      </c>
      <c r="CU15" s="72">
        <v>0</v>
      </c>
      <c r="CV15" s="72">
        <v>0</v>
      </c>
      <c r="CW15" s="72">
        <v>0</v>
      </c>
      <c r="CX15" s="72">
        <v>0</v>
      </c>
      <c r="CY15" s="72">
        <v>0</v>
      </c>
      <c r="CZ15" s="72">
        <v>0</v>
      </c>
      <c r="DA15" s="72">
        <v>0</v>
      </c>
      <c r="DB15" s="72">
        <v>0</v>
      </c>
      <c r="DC15" s="72">
        <v>0</v>
      </c>
      <c r="DD15" s="72">
        <v>0</v>
      </c>
      <c r="DE15" s="72">
        <v>44.186905656036821</v>
      </c>
      <c r="DF15" s="72">
        <v>0</v>
      </c>
      <c r="DG15" s="72">
        <v>0</v>
      </c>
      <c r="DH15" s="72">
        <v>0</v>
      </c>
      <c r="DI15" s="72">
        <v>0</v>
      </c>
      <c r="DJ15" s="72">
        <v>0</v>
      </c>
      <c r="DK15" s="72">
        <v>0</v>
      </c>
      <c r="DL15" s="72">
        <v>0</v>
      </c>
      <c r="DM15" s="72">
        <v>0</v>
      </c>
      <c r="DN15" s="72">
        <v>0</v>
      </c>
      <c r="DO15" s="72">
        <v>1.817562464612908</v>
      </c>
      <c r="DP15" s="72">
        <v>0</v>
      </c>
      <c r="DQ15" s="72">
        <v>0</v>
      </c>
      <c r="DR15" s="72">
        <v>0</v>
      </c>
      <c r="DS15" s="72">
        <v>0</v>
      </c>
      <c r="DT15" s="72">
        <v>0</v>
      </c>
      <c r="DU15" s="72">
        <v>0</v>
      </c>
      <c r="DV15" s="72">
        <v>0</v>
      </c>
      <c r="DW15" s="72">
        <v>0</v>
      </c>
      <c r="DX15" s="72">
        <v>0</v>
      </c>
      <c r="DY15" s="72">
        <v>0</v>
      </c>
      <c r="DZ15" s="72">
        <v>0</v>
      </c>
      <c r="EA15" s="72">
        <v>0</v>
      </c>
      <c r="EB15" s="72">
        <v>0</v>
      </c>
      <c r="EC15" s="72">
        <v>0</v>
      </c>
      <c r="ED15" s="72">
        <v>0</v>
      </c>
      <c r="EE15" s="72">
        <v>0</v>
      </c>
      <c r="EF15" s="72">
        <v>0</v>
      </c>
      <c r="EG15" s="72">
        <v>0</v>
      </c>
      <c r="EH15" s="72">
        <v>0</v>
      </c>
      <c r="EI15" s="72">
        <v>0</v>
      </c>
      <c r="EJ15" s="72">
        <v>0</v>
      </c>
      <c r="EK15" s="72">
        <v>0</v>
      </c>
      <c r="EL15" s="72">
        <v>0</v>
      </c>
      <c r="EM15" s="72">
        <v>0</v>
      </c>
      <c r="EN15" s="72">
        <v>0</v>
      </c>
      <c r="EO15" s="72">
        <v>0</v>
      </c>
      <c r="EP15" s="72">
        <v>0</v>
      </c>
      <c r="EQ15" s="72">
        <v>0</v>
      </c>
      <c r="ER15" s="72">
        <v>0</v>
      </c>
      <c r="ES15" s="72">
        <v>0</v>
      </c>
      <c r="ET15" s="72">
        <v>0</v>
      </c>
      <c r="EU15" s="72">
        <v>0</v>
      </c>
      <c r="EV15" s="72">
        <v>0</v>
      </c>
      <c r="EW15" s="72">
        <v>0</v>
      </c>
      <c r="EX15" s="72">
        <v>0</v>
      </c>
      <c r="EY15" s="72">
        <v>0</v>
      </c>
      <c r="EZ15" s="72">
        <v>0</v>
      </c>
      <c r="FA15" s="72">
        <v>0</v>
      </c>
      <c r="FB15" s="72">
        <v>0</v>
      </c>
      <c r="FC15" s="72">
        <v>0</v>
      </c>
      <c r="FD15" s="72">
        <v>0</v>
      </c>
      <c r="FE15" s="72">
        <v>0</v>
      </c>
      <c r="FF15" s="72">
        <v>1264.0833091261702</v>
      </c>
      <c r="FG15" s="72">
        <v>0</v>
      </c>
      <c r="FH15" s="72">
        <v>0</v>
      </c>
      <c r="FI15" s="72">
        <v>0</v>
      </c>
      <c r="FJ15" s="72">
        <v>0</v>
      </c>
      <c r="FK15" s="72">
        <v>0</v>
      </c>
      <c r="FL15" s="72">
        <v>0</v>
      </c>
      <c r="FM15" s="72">
        <v>0</v>
      </c>
      <c r="FN15" s="72">
        <v>0</v>
      </c>
      <c r="FO15" s="72">
        <v>0</v>
      </c>
      <c r="FP15" s="72">
        <v>0</v>
      </c>
      <c r="FQ15" s="72">
        <v>0</v>
      </c>
      <c r="FR15" s="72">
        <v>0</v>
      </c>
      <c r="FS15" s="72">
        <v>0</v>
      </c>
      <c r="FT15" s="72">
        <v>0</v>
      </c>
      <c r="FU15" s="72">
        <v>0</v>
      </c>
      <c r="FV15" s="72">
        <v>0</v>
      </c>
      <c r="FW15" s="72">
        <v>0</v>
      </c>
      <c r="FX15" s="72">
        <v>0</v>
      </c>
      <c r="FY15" s="72">
        <v>0</v>
      </c>
      <c r="FZ15" s="72">
        <v>0</v>
      </c>
      <c r="GA15" s="72">
        <v>0</v>
      </c>
      <c r="GB15" s="72">
        <v>0</v>
      </c>
      <c r="GC15" s="72">
        <v>0</v>
      </c>
      <c r="GD15" s="72">
        <v>0</v>
      </c>
      <c r="GE15" s="72">
        <v>0</v>
      </c>
      <c r="GF15" s="72">
        <v>0</v>
      </c>
      <c r="GG15" s="72">
        <v>0</v>
      </c>
      <c r="GH15" s="72">
        <v>0</v>
      </c>
      <c r="GI15" s="72">
        <v>0</v>
      </c>
      <c r="GJ15" s="72">
        <v>0</v>
      </c>
      <c r="GK15" s="72">
        <v>0</v>
      </c>
      <c r="GL15" s="72">
        <v>0</v>
      </c>
      <c r="GM15" s="72">
        <v>0</v>
      </c>
      <c r="GN15" s="72">
        <v>0</v>
      </c>
      <c r="GO15" s="72">
        <v>0</v>
      </c>
      <c r="GP15" s="72">
        <v>0</v>
      </c>
      <c r="GQ15" s="72">
        <v>0</v>
      </c>
      <c r="GR15" s="72">
        <f t="shared" si="0"/>
        <v>40117.426990149906</v>
      </c>
      <c r="GS15" s="72">
        <f>SUM(L$5:L$202)</f>
        <v>40117.426990149921</v>
      </c>
      <c r="GT15" s="73">
        <v>0</v>
      </c>
    </row>
    <row r="16" spans="1:202" outlineLevel="1" x14ac:dyDescent="0.2">
      <c r="A16" s="66" t="s">
        <v>190</v>
      </c>
      <c r="B16" s="72">
        <v>0</v>
      </c>
      <c r="C16" s="72">
        <v>0</v>
      </c>
      <c r="D16" s="72">
        <v>0</v>
      </c>
      <c r="E16" s="72">
        <v>0</v>
      </c>
      <c r="F16" s="72">
        <v>0</v>
      </c>
      <c r="G16" s="72">
        <v>0</v>
      </c>
      <c r="H16" s="72">
        <v>0</v>
      </c>
      <c r="I16" s="72">
        <v>0</v>
      </c>
      <c r="J16" s="72">
        <v>0</v>
      </c>
      <c r="K16" s="72">
        <v>0</v>
      </c>
      <c r="L16" s="72">
        <v>0</v>
      </c>
      <c r="M16" s="72">
        <v>0</v>
      </c>
      <c r="N16" s="72">
        <v>0</v>
      </c>
      <c r="O16" s="72">
        <v>0</v>
      </c>
      <c r="P16" s="72">
        <v>0</v>
      </c>
      <c r="Q16" s="72">
        <v>0</v>
      </c>
      <c r="R16" s="72">
        <v>0</v>
      </c>
      <c r="S16" s="72">
        <v>0</v>
      </c>
      <c r="T16" s="72">
        <v>0</v>
      </c>
      <c r="U16" s="72">
        <v>0</v>
      </c>
      <c r="V16" s="72">
        <v>0</v>
      </c>
      <c r="W16" s="72">
        <v>0</v>
      </c>
      <c r="X16" s="72">
        <v>0</v>
      </c>
      <c r="Y16" s="72">
        <v>0</v>
      </c>
      <c r="Z16" s="72">
        <v>0</v>
      </c>
      <c r="AA16" s="72">
        <v>0</v>
      </c>
      <c r="AB16" s="72">
        <v>0</v>
      </c>
      <c r="AC16" s="72">
        <v>0</v>
      </c>
      <c r="AD16" s="72">
        <v>0</v>
      </c>
      <c r="AE16" s="72">
        <v>0</v>
      </c>
      <c r="AF16" s="72">
        <v>0</v>
      </c>
      <c r="AG16" s="72">
        <v>0</v>
      </c>
      <c r="AH16" s="72">
        <v>0</v>
      </c>
      <c r="AI16" s="72">
        <v>0</v>
      </c>
      <c r="AJ16" s="72">
        <v>0</v>
      </c>
      <c r="AK16" s="72">
        <v>0</v>
      </c>
      <c r="AL16" s="72">
        <v>0</v>
      </c>
      <c r="AM16" s="72">
        <v>0</v>
      </c>
      <c r="AN16" s="72">
        <v>0</v>
      </c>
      <c r="AO16" s="72">
        <v>0</v>
      </c>
      <c r="AP16" s="72">
        <v>0</v>
      </c>
      <c r="AQ16" s="72">
        <v>0</v>
      </c>
      <c r="AR16" s="72">
        <v>0</v>
      </c>
      <c r="AS16" s="72">
        <v>0</v>
      </c>
      <c r="AT16" s="72">
        <v>0</v>
      </c>
      <c r="AU16" s="72">
        <v>0</v>
      </c>
      <c r="AV16" s="72">
        <v>0</v>
      </c>
      <c r="AW16" s="72">
        <v>0</v>
      </c>
      <c r="AX16" s="72">
        <v>0</v>
      </c>
      <c r="AY16" s="72">
        <v>0</v>
      </c>
      <c r="AZ16" s="72">
        <v>0</v>
      </c>
      <c r="BA16" s="72">
        <v>0</v>
      </c>
      <c r="BB16" s="72">
        <v>0</v>
      </c>
      <c r="BC16" s="72">
        <v>0</v>
      </c>
      <c r="BD16" s="72">
        <v>0</v>
      </c>
      <c r="BE16" s="72">
        <v>0</v>
      </c>
      <c r="BF16" s="72">
        <v>0</v>
      </c>
      <c r="BG16" s="72">
        <v>0</v>
      </c>
      <c r="BH16" s="72">
        <v>0</v>
      </c>
      <c r="BI16" s="72">
        <v>0</v>
      </c>
      <c r="BJ16" s="72">
        <v>0</v>
      </c>
      <c r="BK16" s="72">
        <v>0</v>
      </c>
      <c r="BL16" s="72">
        <v>0</v>
      </c>
      <c r="BM16" s="72">
        <v>0</v>
      </c>
      <c r="BN16" s="72">
        <v>0</v>
      </c>
      <c r="BO16" s="72">
        <v>0</v>
      </c>
      <c r="BP16" s="72">
        <v>0</v>
      </c>
      <c r="BQ16" s="72">
        <v>0</v>
      </c>
      <c r="BR16" s="72">
        <v>0</v>
      </c>
      <c r="BS16" s="72">
        <v>0</v>
      </c>
      <c r="BT16" s="72">
        <v>0</v>
      </c>
      <c r="BU16" s="72">
        <v>0</v>
      </c>
      <c r="BV16" s="72">
        <v>0</v>
      </c>
      <c r="BW16" s="72">
        <v>376.83527604538347</v>
      </c>
      <c r="BX16" s="72">
        <v>0</v>
      </c>
      <c r="BY16" s="72">
        <v>0</v>
      </c>
      <c r="BZ16" s="72">
        <v>0</v>
      </c>
      <c r="CA16" s="72">
        <v>6.1137302779425946</v>
      </c>
      <c r="CB16" s="72">
        <v>0</v>
      </c>
      <c r="CC16" s="72">
        <v>0</v>
      </c>
      <c r="CD16" s="72">
        <v>14.282357799076436</v>
      </c>
      <c r="CE16" s="72">
        <v>0</v>
      </c>
      <c r="CF16" s="72">
        <v>0</v>
      </c>
      <c r="CG16" s="72">
        <v>0</v>
      </c>
      <c r="CH16" s="72">
        <v>0</v>
      </c>
      <c r="CI16" s="72">
        <v>0</v>
      </c>
      <c r="CJ16" s="72">
        <v>0</v>
      </c>
      <c r="CK16" s="72">
        <v>0</v>
      </c>
      <c r="CL16" s="72">
        <v>0</v>
      </c>
      <c r="CM16" s="72">
        <v>879.76397868636536</v>
      </c>
      <c r="CN16" s="72">
        <v>0</v>
      </c>
      <c r="CO16" s="72">
        <v>0</v>
      </c>
      <c r="CP16" s="72">
        <v>0</v>
      </c>
      <c r="CQ16" s="72">
        <v>97.282123328262685</v>
      </c>
      <c r="CR16" s="72">
        <v>6552.2979550090331</v>
      </c>
      <c r="CS16" s="72">
        <v>0</v>
      </c>
      <c r="CT16" s="72">
        <v>0</v>
      </c>
      <c r="CU16" s="72">
        <v>0</v>
      </c>
      <c r="CV16" s="72">
        <v>0</v>
      </c>
      <c r="CW16" s="72">
        <v>0</v>
      </c>
      <c r="CX16" s="72">
        <v>0</v>
      </c>
      <c r="CY16" s="72">
        <v>0</v>
      </c>
      <c r="CZ16" s="72">
        <v>0</v>
      </c>
      <c r="DA16" s="72">
        <v>0</v>
      </c>
      <c r="DB16" s="72">
        <v>0</v>
      </c>
      <c r="DC16" s="72">
        <v>0</v>
      </c>
      <c r="DD16" s="72">
        <v>0</v>
      </c>
      <c r="DE16" s="72">
        <v>0</v>
      </c>
      <c r="DF16" s="72">
        <v>0</v>
      </c>
      <c r="DG16" s="72">
        <v>0</v>
      </c>
      <c r="DH16" s="72">
        <v>0</v>
      </c>
      <c r="DI16" s="72">
        <v>0</v>
      </c>
      <c r="DJ16" s="72">
        <v>0</v>
      </c>
      <c r="DK16" s="72">
        <v>0</v>
      </c>
      <c r="DL16" s="72">
        <v>0</v>
      </c>
      <c r="DM16" s="72">
        <v>0</v>
      </c>
      <c r="DN16" s="72">
        <v>9.5560941397365706</v>
      </c>
      <c r="DO16" s="72">
        <v>17.639237935553655</v>
      </c>
      <c r="DP16" s="72">
        <v>0</v>
      </c>
      <c r="DQ16" s="72">
        <v>0</v>
      </c>
      <c r="DR16" s="72">
        <v>0</v>
      </c>
      <c r="DS16" s="72">
        <v>0</v>
      </c>
      <c r="DT16" s="72">
        <v>0</v>
      </c>
      <c r="DU16" s="72">
        <v>0</v>
      </c>
      <c r="DV16" s="72">
        <v>0</v>
      </c>
      <c r="DW16" s="72">
        <v>0</v>
      </c>
      <c r="DX16" s="72">
        <v>0</v>
      </c>
      <c r="DY16" s="72">
        <v>0</v>
      </c>
      <c r="DZ16" s="72">
        <v>0</v>
      </c>
      <c r="EA16" s="72">
        <v>0</v>
      </c>
      <c r="EB16" s="72">
        <v>0</v>
      </c>
      <c r="EC16" s="72">
        <v>0</v>
      </c>
      <c r="ED16" s="72">
        <v>0</v>
      </c>
      <c r="EE16" s="72">
        <v>0</v>
      </c>
      <c r="EF16" s="72">
        <v>0</v>
      </c>
      <c r="EG16" s="72">
        <v>0</v>
      </c>
      <c r="EH16" s="72">
        <v>0</v>
      </c>
      <c r="EI16" s="72">
        <v>0</v>
      </c>
      <c r="EJ16" s="72">
        <v>0</v>
      </c>
      <c r="EK16" s="72">
        <v>0</v>
      </c>
      <c r="EL16" s="72">
        <v>0</v>
      </c>
      <c r="EM16" s="72">
        <v>0</v>
      </c>
      <c r="EN16" s="72">
        <v>0</v>
      </c>
      <c r="EO16" s="72">
        <v>0</v>
      </c>
      <c r="EP16" s="72">
        <v>0</v>
      </c>
      <c r="EQ16" s="72">
        <v>0</v>
      </c>
      <c r="ER16" s="72">
        <v>0</v>
      </c>
      <c r="ES16" s="72">
        <v>0</v>
      </c>
      <c r="ET16" s="72">
        <v>0</v>
      </c>
      <c r="EU16" s="72">
        <v>0</v>
      </c>
      <c r="EV16" s="72">
        <v>0</v>
      </c>
      <c r="EW16" s="72">
        <v>0</v>
      </c>
      <c r="EX16" s="72">
        <v>0</v>
      </c>
      <c r="EY16" s="72">
        <v>0</v>
      </c>
      <c r="EZ16" s="72">
        <v>0</v>
      </c>
      <c r="FA16" s="72">
        <v>0</v>
      </c>
      <c r="FB16" s="72">
        <v>0</v>
      </c>
      <c r="FC16" s="72">
        <v>0</v>
      </c>
      <c r="FD16" s="72">
        <v>0</v>
      </c>
      <c r="FE16" s="72">
        <v>0</v>
      </c>
      <c r="FF16" s="72">
        <v>57.014388488928262</v>
      </c>
      <c r="FG16" s="72">
        <v>0</v>
      </c>
      <c r="FH16" s="72">
        <v>0</v>
      </c>
      <c r="FI16" s="72">
        <v>0</v>
      </c>
      <c r="FJ16" s="72">
        <v>0</v>
      </c>
      <c r="FK16" s="72">
        <v>0</v>
      </c>
      <c r="FL16" s="72">
        <v>0</v>
      </c>
      <c r="FM16" s="72">
        <v>0</v>
      </c>
      <c r="FN16" s="72">
        <v>0</v>
      </c>
      <c r="FO16" s="72">
        <v>0</v>
      </c>
      <c r="FP16" s="72">
        <v>0</v>
      </c>
      <c r="FQ16" s="72">
        <v>0</v>
      </c>
      <c r="FR16" s="72">
        <v>0</v>
      </c>
      <c r="FS16" s="72">
        <v>0</v>
      </c>
      <c r="FT16" s="72">
        <v>0</v>
      </c>
      <c r="FU16" s="72">
        <v>0</v>
      </c>
      <c r="FV16" s="72">
        <v>0</v>
      </c>
      <c r="FW16" s="72">
        <v>0</v>
      </c>
      <c r="FX16" s="72">
        <v>0</v>
      </c>
      <c r="FY16" s="72">
        <v>0</v>
      </c>
      <c r="FZ16" s="72">
        <v>0</v>
      </c>
      <c r="GA16" s="72">
        <v>0</v>
      </c>
      <c r="GB16" s="72">
        <v>0</v>
      </c>
      <c r="GC16" s="72">
        <v>0</v>
      </c>
      <c r="GD16" s="72">
        <v>0</v>
      </c>
      <c r="GE16" s="72">
        <v>0</v>
      </c>
      <c r="GF16" s="72">
        <v>0</v>
      </c>
      <c r="GG16" s="72">
        <v>0</v>
      </c>
      <c r="GH16" s="72">
        <v>0</v>
      </c>
      <c r="GI16" s="72">
        <v>0</v>
      </c>
      <c r="GJ16" s="72">
        <v>0</v>
      </c>
      <c r="GK16" s="72">
        <v>0</v>
      </c>
      <c r="GL16" s="72">
        <v>0</v>
      </c>
      <c r="GM16" s="72">
        <v>0</v>
      </c>
      <c r="GN16" s="72">
        <v>0</v>
      </c>
      <c r="GO16" s="72">
        <v>0</v>
      </c>
      <c r="GP16" s="72">
        <v>0</v>
      </c>
      <c r="GQ16" s="72">
        <v>0</v>
      </c>
      <c r="GR16" s="72">
        <f t="shared" si="0"/>
        <v>8010.785141710282</v>
      </c>
      <c r="GS16" s="72">
        <f>SUM(M$5:M$202)</f>
        <v>8010.785141710282</v>
      </c>
      <c r="GT16" s="73">
        <v>0</v>
      </c>
    </row>
    <row r="17" spans="1:202" outlineLevel="1" x14ac:dyDescent="0.2">
      <c r="A17" s="66" t="s">
        <v>196</v>
      </c>
      <c r="B17" s="72">
        <v>0</v>
      </c>
      <c r="C17" s="72">
        <v>0</v>
      </c>
      <c r="D17" s="72">
        <v>0</v>
      </c>
      <c r="E17" s="72">
        <v>0</v>
      </c>
      <c r="F17" s="72">
        <v>0</v>
      </c>
      <c r="G17" s="72">
        <v>0</v>
      </c>
      <c r="H17" s="72">
        <v>0</v>
      </c>
      <c r="I17" s="72">
        <v>0</v>
      </c>
      <c r="J17" s="72">
        <v>0</v>
      </c>
      <c r="K17" s="72">
        <v>0</v>
      </c>
      <c r="L17" s="72">
        <v>0</v>
      </c>
      <c r="M17" s="72">
        <v>0</v>
      </c>
      <c r="N17" s="72">
        <v>0</v>
      </c>
      <c r="O17" s="72">
        <v>0</v>
      </c>
      <c r="P17" s="72">
        <v>0</v>
      </c>
      <c r="Q17" s="72">
        <v>0</v>
      </c>
      <c r="R17" s="72">
        <v>0</v>
      </c>
      <c r="S17" s="72">
        <v>0</v>
      </c>
      <c r="T17" s="72">
        <v>0</v>
      </c>
      <c r="U17" s="72">
        <v>0</v>
      </c>
      <c r="V17" s="72">
        <v>0</v>
      </c>
      <c r="W17" s="72">
        <v>0</v>
      </c>
      <c r="X17" s="72">
        <v>0</v>
      </c>
      <c r="Y17" s="72">
        <v>0</v>
      </c>
      <c r="Z17" s="72">
        <v>0</v>
      </c>
      <c r="AA17" s="72">
        <v>0</v>
      </c>
      <c r="AB17" s="72">
        <v>0</v>
      </c>
      <c r="AC17" s="72">
        <v>0</v>
      </c>
      <c r="AD17" s="72">
        <v>0</v>
      </c>
      <c r="AE17" s="72">
        <v>0</v>
      </c>
      <c r="AF17" s="72">
        <v>0</v>
      </c>
      <c r="AG17" s="72">
        <v>0</v>
      </c>
      <c r="AH17" s="72">
        <v>0</v>
      </c>
      <c r="AI17" s="72">
        <v>0</v>
      </c>
      <c r="AJ17" s="72">
        <v>0</v>
      </c>
      <c r="AK17" s="72">
        <v>0</v>
      </c>
      <c r="AL17" s="72">
        <v>0</v>
      </c>
      <c r="AM17" s="72">
        <v>0</v>
      </c>
      <c r="AN17" s="72">
        <v>0</v>
      </c>
      <c r="AO17" s="72">
        <v>0</v>
      </c>
      <c r="AP17" s="72">
        <v>0</v>
      </c>
      <c r="AQ17" s="72">
        <v>0</v>
      </c>
      <c r="AR17" s="72">
        <v>0</v>
      </c>
      <c r="AS17" s="72">
        <v>0</v>
      </c>
      <c r="AT17" s="72">
        <v>0</v>
      </c>
      <c r="AU17" s="72">
        <v>0</v>
      </c>
      <c r="AV17" s="72">
        <v>0</v>
      </c>
      <c r="AW17" s="72">
        <v>0</v>
      </c>
      <c r="AX17" s="72">
        <v>0</v>
      </c>
      <c r="AY17" s="72">
        <v>0</v>
      </c>
      <c r="AZ17" s="72">
        <v>0</v>
      </c>
      <c r="BA17" s="72">
        <v>0</v>
      </c>
      <c r="BB17" s="72">
        <v>0</v>
      </c>
      <c r="BC17" s="72">
        <v>0</v>
      </c>
      <c r="BD17" s="72">
        <v>0</v>
      </c>
      <c r="BE17" s="72">
        <v>0</v>
      </c>
      <c r="BF17" s="72">
        <v>0</v>
      </c>
      <c r="BG17" s="72">
        <v>0</v>
      </c>
      <c r="BH17" s="72">
        <v>0</v>
      </c>
      <c r="BI17" s="72">
        <v>0</v>
      </c>
      <c r="BJ17" s="72">
        <v>0</v>
      </c>
      <c r="BK17" s="72">
        <v>0</v>
      </c>
      <c r="BL17" s="72">
        <v>0</v>
      </c>
      <c r="BM17" s="72">
        <v>0</v>
      </c>
      <c r="BN17" s="72">
        <v>0</v>
      </c>
      <c r="BO17" s="72">
        <v>0</v>
      </c>
      <c r="BP17" s="72">
        <v>0</v>
      </c>
      <c r="BQ17" s="72">
        <v>0</v>
      </c>
      <c r="BR17" s="72">
        <v>0</v>
      </c>
      <c r="BS17" s="72">
        <v>0</v>
      </c>
      <c r="BT17" s="72">
        <v>0</v>
      </c>
      <c r="BU17" s="72">
        <v>0</v>
      </c>
      <c r="BV17" s="72">
        <v>0</v>
      </c>
      <c r="BW17" s="72">
        <v>0</v>
      </c>
      <c r="BX17" s="72">
        <v>0</v>
      </c>
      <c r="BY17" s="72">
        <v>0</v>
      </c>
      <c r="BZ17" s="72">
        <v>0</v>
      </c>
      <c r="CA17" s="72">
        <v>0</v>
      </c>
      <c r="CB17" s="72">
        <v>0</v>
      </c>
      <c r="CC17" s="72">
        <v>0</v>
      </c>
      <c r="CD17" s="72">
        <v>0</v>
      </c>
      <c r="CE17" s="72">
        <v>0</v>
      </c>
      <c r="CF17" s="72">
        <v>0</v>
      </c>
      <c r="CG17" s="72">
        <v>0</v>
      </c>
      <c r="CH17" s="72">
        <v>0</v>
      </c>
      <c r="CI17" s="72">
        <v>0</v>
      </c>
      <c r="CJ17" s="72">
        <v>0</v>
      </c>
      <c r="CK17" s="72">
        <v>0</v>
      </c>
      <c r="CL17" s="72">
        <v>0</v>
      </c>
      <c r="CM17" s="72">
        <v>0</v>
      </c>
      <c r="CN17" s="72">
        <v>0</v>
      </c>
      <c r="CO17" s="72">
        <v>0</v>
      </c>
      <c r="CP17" s="72">
        <v>0</v>
      </c>
      <c r="CQ17" s="72">
        <v>0</v>
      </c>
      <c r="CR17" s="72">
        <v>14.862671177661285</v>
      </c>
      <c r="CS17" s="72">
        <v>6323.3735693909139</v>
      </c>
      <c r="CT17" s="72">
        <v>10.73793585036533</v>
      </c>
      <c r="CU17" s="72">
        <v>0</v>
      </c>
      <c r="CV17" s="72">
        <v>0</v>
      </c>
      <c r="CW17" s="72">
        <v>0</v>
      </c>
      <c r="CX17" s="72">
        <v>0</v>
      </c>
      <c r="CY17" s="72">
        <v>0</v>
      </c>
      <c r="CZ17" s="72">
        <v>0</v>
      </c>
      <c r="DA17" s="72">
        <v>0</v>
      </c>
      <c r="DB17" s="72">
        <v>0</v>
      </c>
      <c r="DC17" s="72">
        <v>0</v>
      </c>
      <c r="DD17" s="72">
        <v>0</v>
      </c>
      <c r="DE17" s="72">
        <v>0</v>
      </c>
      <c r="DF17" s="72">
        <v>0</v>
      </c>
      <c r="DG17" s="72">
        <v>0</v>
      </c>
      <c r="DH17" s="72">
        <v>0</v>
      </c>
      <c r="DI17" s="72">
        <v>0</v>
      </c>
      <c r="DJ17" s="72">
        <v>0</v>
      </c>
      <c r="DK17" s="72">
        <v>0</v>
      </c>
      <c r="DL17" s="72">
        <v>0</v>
      </c>
      <c r="DM17" s="72">
        <v>0</v>
      </c>
      <c r="DN17" s="72">
        <v>0</v>
      </c>
      <c r="DO17" s="72">
        <v>0</v>
      </c>
      <c r="DP17" s="72">
        <v>0</v>
      </c>
      <c r="DQ17" s="72">
        <v>0</v>
      </c>
      <c r="DR17" s="72">
        <v>0</v>
      </c>
      <c r="DS17" s="72">
        <v>0</v>
      </c>
      <c r="DT17" s="72">
        <v>0</v>
      </c>
      <c r="DU17" s="72">
        <v>0</v>
      </c>
      <c r="DV17" s="72">
        <v>0</v>
      </c>
      <c r="DW17" s="72">
        <v>0</v>
      </c>
      <c r="DX17" s="72">
        <v>0</v>
      </c>
      <c r="DY17" s="72">
        <v>0</v>
      </c>
      <c r="DZ17" s="72">
        <v>0</v>
      </c>
      <c r="EA17" s="72">
        <v>0</v>
      </c>
      <c r="EB17" s="72">
        <v>0</v>
      </c>
      <c r="EC17" s="72">
        <v>54.281906164340327</v>
      </c>
      <c r="ED17" s="72">
        <v>0</v>
      </c>
      <c r="EE17" s="72">
        <v>0</v>
      </c>
      <c r="EF17" s="72">
        <v>0</v>
      </c>
      <c r="EG17" s="72">
        <v>0</v>
      </c>
      <c r="EH17" s="72">
        <v>0</v>
      </c>
      <c r="EI17" s="72">
        <v>0</v>
      </c>
      <c r="EJ17" s="72">
        <v>0</v>
      </c>
      <c r="EK17" s="72">
        <v>0</v>
      </c>
      <c r="EL17" s="72">
        <v>0</v>
      </c>
      <c r="EM17" s="72">
        <v>0</v>
      </c>
      <c r="EN17" s="72">
        <v>0</v>
      </c>
      <c r="EO17" s="72">
        <v>0</v>
      </c>
      <c r="EP17" s="72">
        <v>0</v>
      </c>
      <c r="EQ17" s="72">
        <v>0</v>
      </c>
      <c r="ER17" s="72">
        <v>0</v>
      </c>
      <c r="ES17" s="72">
        <v>0</v>
      </c>
      <c r="ET17" s="72">
        <v>0</v>
      </c>
      <c r="EU17" s="72">
        <v>0</v>
      </c>
      <c r="EV17" s="72">
        <v>0</v>
      </c>
      <c r="EW17" s="72">
        <v>0</v>
      </c>
      <c r="EX17" s="72">
        <v>0</v>
      </c>
      <c r="EY17" s="72">
        <v>0</v>
      </c>
      <c r="EZ17" s="72">
        <v>0</v>
      </c>
      <c r="FA17" s="72">
        <v>0</v>
      </c>
      <c r="FB17" s="72">
        <v>0</v>
      </c>
      <c r="FC17" s="72">
        <v>0</v>
      </c>
      <c r="FD17" s="72">
        <v>0</v>
      </c>
      <c r="FE17" s="72">
        <v>0</v>
      </c>
      <c r="FF17" s="72">
        <v>0</v>
      </c>
      <c r="FG17" s="72">
        <v>0</v>
      </c>
      <c r="FH17" s="72">
        <v>0</v>
      </c>
      <c r="FI17" s="72">
        <v>0</v>
      </c>
      <c r="FJ17" s="72">
        <v>0</v>
      </c>
      <c r="FK17" s="72">
        <v>0</v>
      </c>
      <c r="FL17" s="72">
        <v>0</v>
      </c>
      <c r="FM17" s="72">
        <v>0</v>
      </c>
      <c r="FN17" s="72">
        <v>0</v>
      </c>
      <c r="FO17" s="72">
        <v>0</v>
      </c>
      <c r="FP17" s="72">
        <v>0</v>
      </c>
      <c r="FQ17" s="72">
        <v>0</v>
      </c>
      <c r="FR17" s="72">
        <v>0</v>
      </c>
      <c r="FS17" s="72">
        <v>0</v>
      </c>
      <c r="FT17" s="72">
        <v>0</v>
      </c>
      <c r="FU17" s="72">
        <v>0</v>
      </c>
      <c r="FV17" s="72">
        <v>0</v>
      </c>
      <c r="FW17" s="72">
        <v>0</v>
      </c>
      <c r="FX17" s="72">
        <v>0</v>
      </c>
      <c r="FY17" s="72">
        <v>0</v>
      </c>
      <c r="FZ17" s="72">
        <v>0</v>
      </c>
      <c r="GA17" s="72">
        <v>0</v>
      </c>
      <c r="GB17" s="72">
        <v>0</v>
      </c>
      <c r="GC17" s="72">
        <v>0</v>
      </c>
      <c r="GD17" s="72">
        <v>0</v>
      </c>
      <c r="GE17" s="72">
        <v>0</v>
      </c>
      <c r="GF17" s="72">
        <v>0</v>
      </c>
      <c r="GG17" s="72">
        <v>0</v>
      </c>
      <c r="GH17" s="72">
        <v>0</v>
      </c>
      <c r="GI17" s="72">
        <v>0</v>
      </c>
      <c r="GJ17" s="72">
        <v>0</v>
      </c>
      <c r="GK17" s="72">
        <v>0</v>
      </c>
      <c r="GL17" s="72">
        <v>0</v>
      </c>
      <c r="GM17" s="72">
        <v>0</v>
      </c>
      <c r="GN17" s="72">
        <v>0</v>
      </c>
      <c r="GO17" s="72">
        <v>0</v>
      </c>
      <c r="GP17" s="72">
        <v>0</v>
      </c>
      <c r="GQ17" s="72">
        <v>0</v>
      </c>
      <c r="GR17" s="72">
        <f t="shared" si="0"/>
        <v>6403.2560825832807</v>
      </c>
      <c r="GS17" s="72">
        <f>SUM(N$5:N$202)</f>
        <v>6403.2560825832797</v>
      </c>
      <c r="GT17" s="73">
        <v>0</v>
      </c>
    </row>
    <row r="18" spans="1:202" outlineLevel="1" x14ac:dyDescent="0.2">
      <c r="A18" s="66" t="s">
        <v>202</v>
      </c>
      <c r="B18" s="72">
        <v>0</v>
      </c>
      <c r="C18" s="72">
        <v>0</v>
      </c>
      <c r="D18" s="72">
        <v>0</v>
      </c>
      <c r="E18" s="72">
        <v>0</v>
      </c>
      <c r="F18" s="72">
        <v>0</v>
      </c>
      <c r="G18" s="72">
        <v>0</v>
      </c>
      <c r="H18" s="72">
        <v>0</v>
      </c>
      <c r="I18" s="72">
        <v>0</v>
      </c>
      <c r="J18" s="72">
        <v>0</v>
      </c>
      <c r="K18" s="72">
        <v>0</v>
      </c>
      <c r="L18" s="72">
        <v>0</v>
      </c>
      <c r="M18" s="72">
        <v>0</v>
      </c>
      <c r="N18" s="72">
        <v>0</v>
      </c>
      <c r="O18" s="72">
        <v>0</v>
      </c>
      <c r="P18" s="72">
        <v>0</v>
      </c>
      <c r="Q18" s="72">
        <v>0</v>
      </c>
      <c r="R18" s="72">
        <v>0</v>
      </c>
      <c r="S18" s="72">
        <v>0</v>
      </c>
      <c r="T18" s="72">
        <v>0</v>
      </c>
      <c r="U18" s="72">
        <v>0</v>
      </c>
      <c r="V18" s="72">
        <v>0</v>
      </c>
      <c r="W18" s="72">
        <v>0</v>
      </c>
      <c r="X18" s="72">
        <v>0</v>
      </c>
      <c r="Y18" s="72">
        <v>0</v>
      </c>
      <c r="Z18" s="72">
        <v>0</v>
      </c>
      <c r="AA18" s="72">
        <v>0</v>
      </c>
      <c r="AB18" s="72">
        <v>0</v>
      </c>
      <c r="AC18" s="72">
        <v>0</v>
      </c>
      <c r="AD18" s="72">
        <v>0</v>
      </c>
      <c r="AE18" s="72">
        <v>0</v>
      </c>
      <c r="AF18" s="72">
        <v>0</v>
      </c>
      <c r="AG18" s="72">
        <v>0</v>
      </c>
      <c r="AH18" s="72">
        <v>0</v>
      </c>
      <c r="AI18" s="72">
        <v>0</v>
      </c>
      <c r="AJ18" s="72">
        <v>0</v>
      </c>
      <c r="AK18" s="72">
        <v>0</v>
      </c>
      <c r="AL18" s="72">
        <v>0</v>
      </c>
      <c r="AM18" s="72">
        <v>0</v>
      </c>
      <c r="AN18" s="72">
        <v>0</v>
      </c>
      <c r="AO18" s="72">
        <v>0</v>
      </c>
      <c r="AP18" s="72">
        <v>0</v>
      </c>
      <c r="AQ18" s="72">
        <v>0</v>
      </c>
      <c r="AR18" s="72">
        <v>0</v>
      </c>
      <c r="AS18" s="72">
        <v>0</v>
      </c>
      <c r="AT18" s="72">
        <v>0</v>
      </c>
      <c r="AU18" s="72">
        <v>0</v>
      </c>
      <c r="AV18" s="72">
        <v>0</v>
      </c>
      <c r="AW18" s="72">
        <v>0</v>
      </c>
      <c r="AX18" s="72">
        <v>0</v>
      </c>
      <c r="AY18" s="72">
        <v>0</v>
      </c>
      <c r="AZ18" s="72">
        <v>0</v>
      </c>
      <c r="BA18" s="72">
        <v>0</v>
      </c>
      <c r="BB18" s="72">
        <v>0</v>
      </c>
      <c r="BC18" s="72">
        <v>0</v>
      </c>
      <c r="BD18" s="72">
        <v>0</v>
      </c>
      <c r="BE18" s="72">
        <v>0</v>
      </c>
      <c r="BF18" s="72">
        <v>0</v>
      </c>
      <c r="BG18" s="72">
        <v>0</v>
      </c>
      <c r="BH18" s="72">
        <v>0</v>
      </c>
      <c r="BI18" s="72">
        <v>0</v>
      </c>
      <c r="BJ18" s="72">
        <v>0</v>
      </c>
      <c r="BK18" s="72">
        <v>0</v>
      </c>
      <c r="BL18" s="72">
        <v>0</v>
      </c>
      <c r="BM18" s="72">
        <v>0</v>
      </c>
      <c r="BN18" s="72">
        <v>0</v>
      </c>
      <c r="BO18" s="72">
        <v>0</v>
      </c>
      <c r="BP18" s="72">
        <v>0</v>
      </c>
      <c r="BQ18" s="72">
        <v>0</v>
      </c>
      <c r="BR18" s="72">
        <v>0</v>
      </c>
      <c r="BS18" s="72">
        <v>0</v>
      </c>
      <c r="BT18" s="72">
        <v>0</v>
      </c>
      <c r="BU18" s="72">
        <v>0</v>
      </c>
      <c r="BV18" s="72">
        <v>0</v>
      </c>
      <c r="BW18" s="72">
        <v>0</v>
      </c>
      <c r="BX18" s="72">
        <v>0</v>
      </c>
      <c r="BY18" s="72">
        <v>0</v>
      </c>
      <c r="BZ18" s="72">
        <v>0</v>
      </c>
      <c r="CA18" s="72">
        <v>0</v>
      </c>
      <c r="CB18" s="72">
        <v>0</v>
      </c>
      <c r="CC18" s="72">
        <v>0</v>
      </c>
      <c r="CD18" s="72">
        <v>0.19815889764765471</v>
      </c>
      <c r="CE18" s="72">
        <v>0</v>
      </c>
      <c r="CF18" s="72">
        <v>0</v>
      </c>
      <c r="CG18" s="72">
        <v>0</v>
      </c>
      <c r="CH18" s="72">
        <v>0</v>
      </c>
      <c r="CI18" s="72">
        <v>0</v>
      </c>
      <c r="CJ18" s="72">
        <v>0</v>
      </c>
      <c r="CK18" s="72">
        <v>0</v>
      </c>
      <c r="CL18" s="72">
        <v>0</v>
      </c>
      <c r="CM18" s="72">
        <v>0</v>
      </c>
      <c r="CN18" s="72">
        <v>0</v>
      </c>
      <c r="CO18" s="72">
        <v>0</v>
      </c>
      <c r="CP18" s="72">
        <v>0</v>
      </c>
      <c r="CQ18" s="72">
        <v>0</v>
      </c>
      <c r="CR18" s="72">
        <v>0</v>
      </c>
      <c r="CS18" s="72">
        <v>0</v>
      </c>
      <c r="CT18" s="72">
        <v>31308.764509067754</v>
      </c>
      <c r="CU18" s="72">
        <v>171.89857833395982</v>
      </c>
      <c r="CV18" s="72">
        <v>3.6977865721749854</v>
      </c>
      <c r="CW18" s="72">
        <v>14.902170495526125</v>
      </c>
      <c r="CX18" s="72">
        <v>0</v>
      </c>
      <c r="CY18" s="72">
        <v>2329.8195977634264</v>
      </c>
      <c r="CZ18" s="72">
        <v>0</v>
      </c>
      <c r="DA18" s="72">
        <v>0</v>
      </c>
      <c r="DB18" s="72">
        <v>0</v>
      </c>
      <c r="DC18" s="72">
        <v>0</v>
      </c>
      <c r="DD18" s="72">
        <v>0</v>
      </c>
      <c r="DE18" s="72">
        <v>25.516496623879256</v>
      </c>
      <c r="DF18" s="72">
        <v>0</v>
      </c>
      <c r="DG18" s="72">
        <v>0</v>
      </c>
      <c r="DH18" s="72">
        <v>0</v>
      </c>
      <c r="DI18" s="72">
        <v>0</v>
      </c>
      <c r="DJ18" s="72">
        <v>0</v>
      </c>
      <c r="DK18" s="72">
        <v>191.73288768108077</v>
      </c>
      <c r="DL18" s="72">
        <v>13.53142186793985</v>
      </c>
      <c r="DM18" s="72">
        <v>0</v>
      </c>
      <c r="DN18" s="72">
        <v>1.2405410209979006</v>
      </c>
      <c r="DO18" s="72">
        <v>1.0014101434693981</v>
      </c>
      <c r="DP18" s="72">
        <v>0</v>
      </c>
      <c r="DQ18" s="72">
        <v>0</v>
      </c>
      <c r="DR18" s="72">
        <v>0</v>
      </c>
      <c r="DS18" s="72">
        <v>1350.536919776094</v>
      </c>
      <c r="DT18" s="72">
        <v>0</v>
      </c>
      <c r="DU18" s="72">
        <v>0</v>
      </c>
      <c r="DV18" s="72">
        <v>0</v>
      </c>
      <c r="DW18" s="72">
        <v>0</v>
      </c>
      <c r="DX18" s="72">
        <v>0</v>
      </c>
      <c r="DY18" s="72">
        <v>0</v>
      </c>
      <c r="DZ18" s="72">
        <v>0</v>
      </c>
      <c r="EA18" s="72">
        <v>0</v>
      </c>
      <c r="EB18" s="72">
        <v>0</v>
      </c>
      <c r="EC18" s="72">
        <v>0</v>
      </c>
      <c r="ED18" s="72">
        <v>0</v>
      </c>
      <c r="EE18" s="72">
        <v>0</v>
      </c>
      <c r="EF18" s="72">
        <v>0</v>
      </c>
      <c r="EG18" s="72">
        <v>0</v>
      </c>
      <c r="EH18" s="72">
        <v>0</v>
      </c>
      <c r="EI18" s="72">
        <v>0</v>
      </c>
      <c r="EJ18" s="72">
        <v>0</v>
      </c>
      <c r="EK18" s="72">
        <v>0</v>
      </c>
      <c r="EL18" s="72">
        <v>0</v>
      </c>
      <c r="EM18" s="72">
        <v>0</v>
      </c>
      <c r="EN18" s="72">
        <v>0</v>
      </c>
      <c r="EO18" s="72">
        <v>0</v>
      </c>
      <c r="EP18" s="72">
        <v>0</v>
      </c>
      <c r="EQ18" s="72">
        <v>0</v>
      </c>
      <c r="ER18" s="72">
        <v>0</v>
      </c>
      <c r="ES18" s="72">
        <v>0</v>
      </c>
      <c r="ET18" s="72">
        <v>0</v>
      </c>
      <c r="EU18" s="72">
        <v>0</v>
      </c>
      <c r="EV18" s="72">
        <v>0</v>
      </c>
      <c r="EW18" s="72">
        <v>0</v>
      </c>
      <c r="EX18" s="72">
        <v>0</v>
      </c>
      <c r="EY18" s="72">
        <v>0</v>
      </c>
      <c r="EZ18" s="72">
        <v>0</v>
      </c>
      <c r="FA18" s="72">
        <v>0</v>
      </c>
      <c r="FB18" s="72">
        <v>0</v>
      </c>
      <c r="FC18" s="72">
        <v>0</v>
      </c>
      <c r="FD18" s="72">
        <v>0</v>
      </c>
      <c r="FE18" s="72">
        <v>0</v>
      </c>
      <c r="FF18" s="72">
        <v>878.30470087665299</v>
      </c>
      <c r="FG18" s="72">
        <v>0</v>
      </c>
      <c r="FH18" s="72">
        <v>0</v>
      </c>
      <c r="FI18" s="72">
        <v>0</v>
      </c>
      <c r="FJ18" s="72">
        <v>0</v>
      </c>
      <c r="FK18" s="72">
        <v>0</v>
      </c>
      <c r="FL18" s="72">
        <v>0</v>
      </c>
      <c r="FM18" s="72">
        <v>0</v>
      </c>
      <c r="FN18" s="72">
        <v>0</v>
      </c>
      <c r="FO18" s="72">
        <v>0</v>
      </c>
      <c r="FP18" s="72">
        <v>0</v>
      </c>
      <c r="FQ18" s="72">
        <v>0</v>
      </c>
      <c r="FR18" s="72">
        <v>0</v>
      </c>
      <c r="FS18" s="72">
        <v>0</v>
      </c>
      <c r="FT18" s="72">
        <v>0</v>
      </c>
      <c r="FU18" s="72">
        <v>0</v>
      </c>
      <c r="FV18" s="72">
        <v>0</v>
      </c>
      <c r="FW18" s="72">
        <v>0</v>
      </c>
      <c r="FX18" s="72">
        <v>0</v>
      </c>
      <c r="FY18" s="72">
        <v>0</v>
      </c>
      <c r="FZ18" s="72">
        <v>0</v>
      </c>
      <c r="GA18" s="72">
        <v>0</v>
      </c>
      <c r="GB18" s="72">
        <v>0</v>
      </c>
      <c r="GC18" s="72">
        <v>0</v>
      </c>
      <c r="GD18" s="72">
        <v>0</v>
      </c>
      <c r="GE18" s="72">
        <v>0</v>
      </c>
      <c r="GF18" s="72">
        <v>0</v>
      </c>
      <c r="GG18" s="72">
        <v>0</v>
      </c>
      <c r="GH18" s="72">
        <v>0</v>
      </c>
      <c r="GI18" s="72">
        <v>0</v>
      </c>
      <c r="GJ18" s="72">
        <v>0</v>
      </c>
      <c r="GK18" s="72">
        <v>0</v>
      </c>
      <c r="GL18" s="72">
        <v>0</v>
      </c>
      <c r="GM18" s="72">
        <v>0</v>
      </c>
      <c r="GN18" s="72">
        <v>0</v>
      </c>
      <c r="GO18" s="72">
        <v>0</v>
      </c>
      <c r="GP18" s="72">
        <v>0</v>
      </c>
      <c r="GQ18" s="72">
        <v>0</v>
      </c>
      <c r="GR18" s="72">
        <f t="shared" si="0"/>
        <v>36291.145179120605</v>
      </c>
      <c r="GS18" s="72">
        <f>SUM(O$5:O$202)</f>
        <v>36291.145179120605</v>
      </c>
      <c r="GT18" s="73">
        <v>0</v>
      </c>
    </row>
    <row r="19" spans="1:202" outlineLevel="1" x14ac:dyDescent="0.2">
      <c r="A19" s="66" t="s">
        <v>206</v>
      </c>
      <c r="B19" s="72">
        <v>0</v>
      </c>
      <c r="C19" s="72">
        <v>0</v>
      </c>
      <c r="D19" s="72">
        <v>0</v>
      </c>
      <c r="E19" s="72">
        <v>0</v>
      </c>
      <c r="F19" s="72">
        <v>0</v>
      </c>
      <c r="G19" s="72">
        <v>0</v>
      </c>
      <c r="H19" s="72">
        <v>0</v>
      </c>
      <c r="I19" s="72">
        <v>0</v>
      </c>
      <c r="J19" s="72">
        <v>0</v>
      </c>
      <c r="K19" s="72">
        <v>0</v>
      </c>
      <c r="L19" s="72">
        <v>0</v>
      </c>
      <c r="M19" s="72">
        <v>0</v>
      </c>
      <c r="N19" s="72">
        <v>0</v>
      </c>
      <c r="O19" s="72">
        <v>0</v>
      </c>
      <c r="P19" s="72">
        <v>0</v>
      </c>
      <c r="Q19" s="72">
        <v>0</v>
      </c>
      <c r="R19" s="72">
        <v>0</v>
      </c>
      <c r="S19" s="72">
        <v>0</v>
      </c>
      <c r="T19" s="72">
        <v>0</v>
      </c>
      <c r="U19" s="72">
        <v>0</v>
      </c>
      <c r="V19" s="72">
        <v>0</v>
      </c>
      <c r="W19" s="72">
        <v>0</v>
      </c>
      <c r="X19" s="72">
        <v>0</v>
      </c>
      <c r="Y19" s="72">
        <v>0</v>
      </c>
      <c r="Z19" s="72">
        <v>0</v>
      </c>
      <c r="AA19" s="72">
        <v>0</v>
      </c>
      <c r="AB19" s="72">
        <v>0</v>
      </c>
      <c r="AC19" s="72">
        <v>0</v>
      </c>
      <c r="AD19" s="72">
        <v>0</v>
      </c>
      <c r="AE19" s="72">
        <v>0</v>
      </c>
      <c r="AF19" s="72">
        <v>0</v>
      </c>
      <c r="AG19" s="72">
        <v>0</v>
      </c>
      <c r="AH19" s="72">
        <v>0</v>
      </c>
      <c r="AI19" s="72">
        <v>0</v>
      </c>
      <c r="AJ19" s="72">
        <v>0</v>
      </c>
      <c r="AK19" s="72">
        <v>0</v>
      </c>
      <c r="AL19" s="72">
        <v>0</v>
      </c>
      <c r="AM19" s="72">
        <v>0</v>
      </c>
      <c r="AN19" s="72">
        <v>0</v>
      </c>
      <c r="AO19" s="72">
        <v>0</v>
      </c>
      <c r="AP19" s="72">
        <v>0</v>
      </c>
      <c r="AQ19" s="72">
        <v>0</v>
      </c>
      <c r="AR19" s="72">
        <v>0</v>
      </c>
      <c r="AS19" s="72">
        <v>0</v>
      </c>
      <c r="AT19" s="72">
        <v>0</v>
      </c>
      <c r="AU19" s="72">
        <v>0</v>
      </c>
      <c r="AV19" s="72">
        <v>0</v>
      </c>
      <c r="AW19" s="72">
        <v>0</v>
      </c>
      <c r="AX19" s="72">
        <v>0</v>
      </c>
      <c r="AY19" s="72">
        <v>0</v>
      </c>
      <c r="AZ19" s="72">
        <v>0</v>
      </c>
      <c r="BA19" s="72">
        <v>0</v>
      </c>
      <c r="BB19" s="72">
        <v>0</v>
      </c>
      <c r="BC19" s="72">
        <v>0</v>
      </c>
      <c r="BD19" s="72">
        <v>0</v>
      </c>
      <c r="BE19" s="72">
        <v>0</v>
      </c>
      <c r="BF19" s="72">
        <v>0</v>
      </c>
      <c r="BG19" s="72">
        <v>0</v>
      </c>
      <c r="BH19" s="72">
        <v>0</v>
      </c>
      <c r="BI19" s="72">
        <v>0</v>
      </c>
      <c r="BJ19" s="72">
        <v>0</v>
      </c>
      <c r="BK19" s="72">
        <v>0</v>
      </c>
      <c r="BL19" s="72">
        <v>0</v>
      </c>
      <c r="BM19" s="72">
        <v>0</v>
      </c>
      <c r="BN19" s="72">
        <v>0</v>
      </c>
      <c r="BO19" s="72">
        <v>0</v>
      </c>
      <c r="BP19" s="72">
        <v>0</v>
      </c>
      <c r="BQ19" s="72">
        <v>0</v>
      </c>
      <c r="BR19" s="72">
        <v>0</v>
      </c>
      <c r="BS19" s="72">
        <v>0</v>
      </c>
      <c r="BT19" s="72">
        <v>0</v>
      </c>
      <c r="BU19" s="72">
        <v>0</v>
      </c>
      <c r="BV19" s="72">
        <v>0</v>
      </c>
      <c r="BW19" s="72">
        <v>0</v>
      </c>
      <c r="BX19" s="72">
        <v>0</v>
      </c>
      <c r="BY19" s="72">
        <v>0</v>
      </c>
      <c r="BZ19" s="72">
        <v>0</v>
      </c>
      <c r="CA19" s="72">
        <v>0</v>
      </c>
      <c r="CB19" s="72">
        <v>0</v>
      </c>
      <c r="CC19" s="72">
        <v>0</v>
      </c>
      <c r="CD19" s="72">
        <v>0</v>
      </c>
      <c r="CE19" s="72">
        <v>0</v>
      </c>
      <c r="CF19" s="72">
        <v>0</v>
      </c>
      <c r="CG19" s="72">
        <v>0</v>
      </c>
      <c r="CH19" s="72">
        <v>0</v>
      </c>
      <c r="CI19" s="72">
        <v>0</v>
      </c>
      <c r="CJ19" s="72">
        <v>0</v>
      </c>
      <c r="CK19" s="72">
        <v>0</v>
      </c>
      <c r="CL19" s="72">
        <v>0</v>
      </c>
      <c r="CM19" s="72">
        <v>0</v>
      </c>
      <c r="CN19" s="72">
        <v>0</v>
      </c>
      <c r="CO19" s="72">
        <v>0</v>
      </c>
      <c r="CP19" s="72">
        <v>0</v>
      </c>
      <c r="CQ19" s="72">
        <v>0</v>
      </c>
      <c r="CR19" s="72">
        <v>0</v>
      </c>
      <c r="CS19" s="72">
        <v>0</v>
      </c>
      <c r="CT19" s="72">
        <v>0</v>
      </c>
      <c r="CU19" s="72">
        <v>91645.165177743445</v>
      </c>
      <c r="CV19" s="72">
        <v>16.690259480432388</v>
      </c>
      <c r="CW19" s="72">
        <v>0</v>
      </c>
      <c r="CX19" s="72">
        <v>0</v>
      </c>
      <c r="CY19" s="72">
        <v>0</v>
      </c>
      <c r="CZ19" s="72">
        <v>0</v>
      </c>
      <c r="DA19" s="72">
        <v>184.2272456264451</v>
      </c>
      <c r="DB19" s="72">
        <v>23.73777056719409</v>
      </c>
      <c r="DC19" s="72">
        <v>23.818511283409038</v>
      </c>
      <c r="DD19" s="72">
        <v>0</v>
      </c>
      <c r="DE19" s="72">
        <v>2409.3375750180776</v>
      </c>
      <c r="DF19" s="72">
        <v>0</v>
      </c>
      <c r="DG19" s="72">
        <v>0</v>
      </c>
      <c r="DH19" s="72">
        <v>0</v>
      </c>
      <c r="DI19" s="72">
        <v>0</v>
      </c>
      <c r="DJ19" s="72">
        <v>0</v>
      </c>
      <c r="DK19" s="72">
        <v>47.959985431677872</v>
      </c>
      <c r="DL19" s="72">
        <v>0</v>
      </c>
      <c r="DM19" s="72">
        <v>0</v>
      </c>
      <c r="DN19" s="72">
        <v>86.83087309515895</v>
      </c>
      <c r="DO19" s="72">
        <v>67.533841919786894</v>
      </c>
      <c r="DP19" s="72">
        <v>0</v>
      </c>
      <c r="DQ19" s="72">
        <v>0</v>
      </c>
      <c r="DR19" s="72">
        <v>761.84632942816802</v>
      </c>
      <c r="DS19" s="72">
        <v>0</v>
      </c>
      <c r="DT19" s="72">
        <v>70.948020776876021</v>
      </c>
      <c r="DU19" s="72">
        <v>0</v>
      </c>
      <c r="DV19" s="72">
        <v>0</v>
      </c>
      <c r="DW19" s="72">
        <v>0</v>
      </c>
      <c r="DX19" s="72">
        <v>0</v>
      </c>
      <c r="DY19" s="72">
        <v>0</v>
      </c>
      <c r="DZ19" s="72">
        <v>0</v>
      </c>
      <c r="EA19" s="72">
        <v>0</v>
      </c>
      <c r="EB19" s="72">
        <v>0</v>
      </c>
      <c r="EC19" s="72">
        <v>534.71116032749444</v>
      </c>
      <c r="ED19" s="72">
        <v>0</v>
      </c>
      <c r="EE19" s="72">
        <v>0</v>
      </c>
      <c r="EF19" s="72">
        <v>0</v>
      </c>
      <c r="EG19" s="72">
        <v>0</v>
      </c>
      <c r="EH19" s="72">
        <v>0</v>
      </c>
      <c r="EI19" s="72">
        <v>0</v>
      </c>
      <c r="EJ19" s="72">
        <v>0</v>
      </c>
      <c r="EK19" s="72">
        <v>0</v>
      </c>
      <c r="EL19" s="72">
        <v>0</v>
      </c>
      <c r="EM19" s="72">
        <v>0</v>
      </c>
      <c r="EN19" s="72">
        <v>0</v>
      </c>
      <c r="EO19" s="72">
        <v>0</v>
      </c>
      <c r="EP19" s="72">
        <v>0</v>
      </c>
      <c r="EQ19" s="72">
        <v>0</v>
      </c>
      <c r="ER19" s="72">
        <v>0</v>
      </c>
      <c r="ES19" s="72">
        <v>0</v>
      </c>
      <c r="ET19" s="72">
        <v>0</v>
      </c>
      <c r="EU19" s="72">
        <v>0</v>
      </c>
      <c r="EV19" s="72">
        <v>0</v>
      </c>
      <c r="EW19" s="72">
        <v>0</v>
      </c>
      <c r="EX19" s="72">
        <v>0</v>
      </c>
      <c r="EY19" s="72">
        <v>0</v>
      </c>
      <c r="EZ19" s="72">
        <v>0</v>
      </c>
      <c r="FA19" s="72">
        <v>0</v>
      </c>
      <c r="FB19" s="72">
        <v>0</v>
      </c>
      <c r="FC19" s="72">
        <v>0</v>
      </c>
      <c r="FD19" s="72">
        <v>0</v>
      </c>
      <c r="FE19" s="72">
        <v>0</v>
      </c>
      <c r="FF19" s="72">
        <v>415.3030565137463</v>
      </c>
      <c r="FG19" s="72">
        <v>0</v>
      </c>
      <c r="FH19" s="72">
        <v>0</v>
      </c>
      <c r="FI19" s="72">
        <v>0</v>
      </c>
      <c r="FJ19" s="72">
        <v>0</v>
      </c>
      <c r="FK19" s="72">
        <v>0</v>
      </c>
      <c r="FL19" s="72">
        <v>0</v>
      </c>
      <c r="FM19" s="72">
        <v>0</v>
      </c>
      <c r="FN19" s="72">
        <v>0</v>
      </c>
      <c r="FO19" s="72">
        <v>0</v>
      </c>
      <c r="FP19" s="72">
        <v>0</v>
      </c>
      <c r="FQ19" s="72">
        <v>0</v>
      </c>
      <c r="FR19" s="72">
        <v>0</v>
      </c>
      <c r="FS19" s="72">
        <v>0</v>
      </c>
      <c r="FT19" s="72">
        <v>0</v>
      </c>
      <c r="FU19" s="72">
        <v>0</v>
      </c>
      <c r="FV19" s="72">
        <v>0</v>
      </c>
      <c r="FW19" s="72">
        <v>0</v>
      </c>
      <c r="FX19" s="72">
        <v>0</v>
      </c>
      <c r="FY19" s="72">
        <v>0</v>
      </c>
      <c r="FZ19" s="72">
        <v>0</v>
      </c>
      <c r="GA19" s="72">
        <v>0</v>
      </c>
      <c r="GB19" s="72">
        <v>0</v>
      </c>
      <c r="GC19" s="72">
        <v>0</v>
      </c>
      <c r="GD19" s="72">
        <v>0</v>
      </c>
      <c r="GE19" s="72">
        <v>0</v>
      </c>
      <c r="GF19" s="72">
        <v>0</v>
      </c>
      <c r="GG19" s="72">
        <v>0</v>
      </c>
      <c r="GH19" s="72">
        <v>0</v>
      </c>
      <c r="GI19" s="72">
        <v>0</v>
      </c>
      <c r="GJ19" s="72">
        <v>0</v>
      </c>
      <c r="GK19" s="72">
        <v>0</v>
      </c>
      <c r="GL19" s="72">
        <v>0</v>
      </c>
      <c r="GM19" s="72">
        <v>0</v>
      </c>
      <c r="GN19" s="72">
        <v>0</v>
      </c>
      <c r="GO19" s="72">
        <v>0</v>
      </c>
      <c r="GP19" s="72">
        <v>0</v>
      </c>
      <c r="GQ19" s="72">
        <v>0</v>
      </c>
      <c r="GR19" s="72">
        <f t="shared" si="0"/>
        <v>96288.109807211891</v>
      </c>
      <c r="GS19" s="72">
        <f>SUM(P$5:P$202)</f>
        <v>96288.109807211877</v>
      </c>
      <c r="GT19" s="73">
        <v>0</v>
      </c>
    </row>
    <row r="20" spans="1:202" outlineLevel="1" x14ac:dyDescent="0.2">
      <c r="A20" s="66" t="s">
        <v>212</v>
      </c>
      <c r="B20" s="72">
        <v>0</v>
      </c>
      <c r="C20" s="72">
        <v>0</v>
      </c>
      <c r="D20" s="72">
        <v>0</v>
      </c>
      <c r="E20" s="72">
        <v>0</v>
      </c>
      <c r="F20" s="72">
        <v>0</v>
      </c>
      <c r="G20" s="72">
        <v>0</v>
      </c>
      <c r="H20" s="72">
        <v>0</v>
      </c>
      <c r="I20" s="72">
        <v>0</v>
      </c>
      <c r="J20" s="72">
        <v>0</v>
      </c>
      <c r="K20" s="72">
        <v>0</v>
      </c>
      <c r="L20" s="72">
        <v>0</v>
      </c>
      <c r="M20" s="72">
        <v>0</v>
      </c>
      <c r="N20" s="72">
        <v>0</v>
      </c>
      <c r="O20" s="72">
        <v>0</v>
      </c>
      <c r="P20" s="72">
        <v>0</v>
      </c>
      <c r="Q20" s="72">
        <v>0</v>
      </c>
      <c r="R20" s="72">
        <v>0</v>
      </c>
      <c r="S20" s="72">
        <v>0</v>
      </c>
      <c r="T20" s="72">
        <v>0</v>
      </c>
      <c r="U20" s="72">
        <v>0</v>
      </c>
      <c r="V20" s="72">
        <v>0</v>
      </c>
      <c r="W20" s="72">
        <v>0</v>
      </c>
      <c r="X20" s="72">
        <v>0</v>
      </c>
      <c r="Y20" s="72">
        <v>0</v>
      </c>
      <c r="Z20" s="72">
        <v>0</v>
      </c>
      <c r="AA20" s="72">
        <v>0</v>
      </c>
      <c r="AB20" s="72">
        <v>0</v>
      </c>
      <c r="AC20" s="72">
        <v>0</v>
      </c>
      <c r="AD20" s="72">
        <v>0</v>
      </c>
      <c r="AE20" s="72">
        <v>0</v>
      </c>
      <c r="AF20" s="72">
        <v>0</v>
      </c>
      <c r="AG20" s="72">
        <v>0</v>
      </c>
      <c r="AH20" s="72">
        <v>0</v>
      </c>
      <c r="AI20" s="72">
        <v>0</v>
      </c>
      <c r="AJ20" s="72">
        <v>0</v>
      </c>
      <c r="AK20" s="72">
        <v>0</v>
      </c>
      <c r="AL20" s="72">
        <v>0</v>
      </c>
      <c r="AM20" s="72">
        <v>0</v>
      </c>
      <c r="AN20" s="72">
        <v>0</v>
      </c>
      <c r="AO20" s="72">
        <v>0</v>
      </c>
      <c r="AP20" s="72">
        <v>0</v>
      </c>
      <c r="AQ20" s="72">
        <v>0</v>
      </c>
      <c r="AR20" s="72">
        <v>0</v>
      </c>
      <c r="AS20" s="72">
        <v>0</v>
      </c>
      <c r="AT20" s="72">
        <v>0</v>
      </c>
      <c r="AU20" s="72">
        <v>0</v>
      </c>
      <c r="AV20" s="72">
        <v>0</v>
      </c>
      <c r="AW20" s="72">
        <v>0</v>
      </c>
      <c r="AX20" s="72">
        <v>0</v>
      </c>
      <c r="AY20" s="72">
        <v>0</v>
      </c>
      <c r="AZ20" s="72">
        <v>0</v>
      </c>
      <c r="BA20" s="72">
        <v>0</v>
      </c>
      <c r="BB20" s="72">
        <v>0</v>
      </c>
      <c r="BC20" s="72">
        <v>0</v>
      </c>
      <c r="BD20" s="72">
        <v>0</v>
      </c>
      <c r="BE20" s="72">
        <v>0</v>
      </c>
      <c r="BF20" s="72">
        <v>0</v>
      </c>
      <c r="BG20" s="72">
        <v>0</v>
      </c>
      <c r="BH20" s="72">
        <v>0</v>
      </c>
      <c r="BI20" s="72">
        <v>0</v>
      </c>
      <c r="BJ20" s="72">
        <v>0</v>
      </c>
      <c r="BK20" s="72">
        <v>0</v>
      </c>
      <c r="BL20" s="72">
        <v>0</v>
      </c>
      <c r="BM20" s="72">
        <v>0</v>
      </c>
      <c r="BN20" s="72">
        <v>0</v>
      </c>
      <c r="BO20" s="72">
        <v>0</v>
      </c>
      <c r="BP20" s="72">
        <v>0</v>
      </c>
      <c r="BQ20" s="72">
        <v>0</v>
      </c>
      <c r="BR20" s="72">
        <v>0</v>
      </c>
      <c r="BS20" s="72">
        <v>0</v>
      </c>
      <c r="BT20" s="72">
        <v>0</v>
      </c>
      <c r="BU20" s="72">
        <v>0</v>
      </c>
      <c r="BV20" s="72">
        <v>0</v>
      </c>
      <c r="BW20" s="72">
        <v>0</v>
      </c>
      <c r="BX20" s="72">
        <v>0</v>
      </c>
      <c r="BY20" s="72">
        <v>0</v>
      </c>
      <c r="BZ20" s="72">
        <v>0</v>
      </c>
      <c r="CA20" s="72">
        <v>0</v>
      </c>
      <c r="CB20" s="72">
        <v>0</v>
      </c>
      <c r="CC20" s="72">
        <v>0</v>
      </c>
      <c r="CD20" s="72">
        <v>0</v>
      </c>
      <c r="CE20" s="72">
        <v>0</v>
      </c>
      <c r="CF20" s="72">
        <v>0</v>
      </c>
      <c r="CG20" s="72">
        <v>0</v>
      </c>
      <c r="CH20" s="72">
        <v>0</v>
      </c>
      <c r="CI20" s="72">
        <v>0</v>
      </c>
      <c r="CJ20" s="72">
        <v>0</v>
      </c>
      <c r="CK20" s="72">
        <v>0</v>
      </c>
      <c r="CL20" s="72">
        <v>4.2841949986056633E-3</v>
      </c>
      <c r="CM20" s="72">
        <v>0</v>
      </c>
      <c r="CN20" s="72">
        <v>0</v>
      </c>
      <c r="CO20" s="72">
        <v>0</v>
      </c>
      <c r="CP20" s="72">
        <v>0</v>
      </c>
      <c r="CQ20" s="72">
        <v>0</v>
      </c>
      <c r="CR20" s="72">
        <v>0</v>
      </c>
      <c r="CS20" s="72">
        <v>0</v>
      </c>
      <c r="CT20" s="72">
        <v>0</v>
      </c>
      <c r="CU20" s="72">
        <v>6094.7665027102084</v>
      </c>
      <c r="CV20" s="72">
        <v>28757.364260209135</v>
      </c>
      <c r="CW20" s="72">
        <v>0</v>
      </c>
      <c r="CX20" s="72">
        <v>0</v>
      </c>
      <c r="CY20" s="72">
        <v>0</v>
      </c>
      <c r="CZ20" s="72">
        <v>0</v>
      </c>
      <c r="DA20" s="72">
        <v>0</v>
      </c>
      <c r="DB20" s="72">
        <v>0</v>
      </c>
      <c r="DC20" s="72">
        <v>0</v>
      </c>
      <c r="DD20" s="72">
        <v>0</v>
      </c>
      <c r="DE20" s="72">
        <v>476.31807438677396</v>
      </c>
      <c r="DF20" s="72">
        <v>0</v>
      </c>
      <c r="DG20" s="72">
        <v>0</v>
      </c>
      <c r="DH20" s="72">
        <v>0</v>
      </c>
      <c r="DI20" s="72">
        <v>0</v>
      </c>
      <c r="DJ20" s="72">
        <v>0</v>
      </c>
      <c r="DK20" s="72">
        <v>0</v>
      </c>
      <c r="DL20" s="72">
        <v>0</v>
      </c>
      <c r="DM20" s="72">
        <v>0</v>
      </c>
      <c r="DN20" s="72">
        <v>59.9484229990736</v>
      </c>
      <c r="DO20" s="72">
        <v>13.676720563988784</v>
      </c>
      <c r="DP20" s="72">
        <v>0</v>
      </c>
      <c r="DQ20" s="72">
        <v>0</v>
      </c>
      <c r="DR20" s="72">
        <v>0</v>
      </c>
      <c r="DS20" s="72">
        <v>0</v>
      </c>
      <c r="DT20" s="72">
        <v>0.3922853771634266</v>
      </c>
      <c r="DU20" s="72">
        <v>0</v>
      </c>
      <c r="DV20" s="72">
        <v>0</v>
      </c>
      <c r="DW20" s="72">
        <v>0</v>
      </c>
      <c r="DX20" s="72">
        <v>0</v>
      </c>
      <c r="DY20" s="72">
        <v>0</v>
      </c>
      <c r="DZ20" s="72">
        <v>0</v>
      </c>
      <c r="EA20" s="72">
        <v>0.31078947134426405</v>
      </c>
      <c r="EB20" s="72">
        <v>1594.8873876011623</v>
      </c>
      <c r="EC20" s="72">
        <v>0</v>
      </c>
      <c r="ED20" s="72">
        <v>0</v>
      </c>
      <c r="EE20" s="72">
        <v>0</v>
      </c>
      <c r="EF20" s="72">
        <v>0</v>
      </c>
      <c r="EG20" s="72">
        <v>0</v>
      </c>
      <c r="EH20" s="72">
        <v>0</v>
      </c>
      <c r="EI20" s="72">
        <v>0</v>
      </c>
      <c r="EJ20" s="72">
        <v>0</v>
      </c>
      <c r="EK20" s="72">
        <v>0</v>
      </c>
      <c r="EL20" s="72">
        <v>0</v>
      </c>
      <c r="EM20" s="72">
        <v>0</v>
      </c>
      <c r="EN20" s="72">
        <v>0</v>
      </c>
      <c r="EO20" s="72">
        <v>0</v>
      </c>
      <c r="EP20" s="72">
        <v>0</v>
      </c>
      <c r="EQ20" s="72">
        <v>0</v>
      </c>
      <c r="ER20" s="72">
        <v>0</v>
      </c>
      <c r="ES20" s="72">
        <v>0</v>
      </c>
      <c r="ET20" s="72">
        <v>0</v>
      </c>
      <c r="EU20" s="72">
        <v>0</v>
      </c>
      <c r="EV20" s="72">
        <v>0</v>
      </c>
      <c r="EW20" s="72">
        <v>0</v>
      </c>
      <c r="EX20" s="72">
        <v>0</v>
      </c>
      <c r="EY20" s="72">
        <v>0</v>
      </c>
      <c r="EZ20" s="72">
        <v>0</v>
      </c>
      <c r="FA20" s="72">
        <v>0</v>
      </c>
      <c r="FB20" s="72">
        <v>0</v>
      </c>
      <c r="FC20" s="72">
        <v>0</v>
      </c>
      <c r="FD20" s="72">
        <v>0</v>
      </c>
      <c r="FE20" s="72">
        <v>0</v>
      </c>
      <c r="FF20" s="72">
        <v>15019.431406503805</v>
      </c>
      <c r="FG20" s="72">
        <v>12360.007412119434</v>
      </c>
      <c r="FH20" s="72">
        <v>0</v>
      </c>
      <c r="FI20" s="72">
        <v>0</v>
      </c>
      <c r="FJ20" s="72">
        <v>0</v>
      </c>
      <c r="FK20" s="72">
        <v>0</v>
      </c>
      <c r="FL20" s="72">
        <v>0</v>
      </c>
      <c r="FM20" s="72">
        <v>0</v>
      </c>
      <c r="FN20" s="72">
        <v>0</v>
      </c>
      <c r="FO20" s="72">
        <v>0</v>
      </c>
      <c r="FP20" s="72">
        <v>0</v>
      </c>
      <c r="FQ20" s="72">
        <v>0</v>
      </c>
      <c r="FR20" s="72">
        <v>0</v>
      </c>
      <c r="FS20" s="72">
        <v>0</v>
      </c>
      <c r="FT20" s="72">
        <v>0</v>
      </c>
      <c r="FU20" s="72">
        <v>0</v>
      </c>
      <c r="FV20" s="72">
        <v>0</v>
      </c>
      <c r="FW20" s="72">
        <v>0</v>
      </c>
      <c r="FX20" s="72">
        <v>0</v>
      </c>
      <c r="FY20" s="72">
        <v>0</v>
      </c>
      <c r="FZ20" s="72">
        <v>0</v>
      </c>
      <c r="GA20" s="72">
        <v>0</v>
      </c>
      <c r="GB20" s="72">
        <v>0</v>
      </c>
      <c r="GC20" s="72">
        <v>0</v>
      </c>
      <c r="GD20" s="72">
        <v>0</v>
      </c>
      <c r="GE20" s="72">
        <v>0</v>
      </c>
      <c r="GF20" s="72">
        <v>0</v>
      </c>
      <c r="GG20" s="72">
        <v>0</v>
      </c>
      <c r="GH20" s="72">
        <v>0</v>
      </c>
      <c r="GI20" s="72">
        <v>0</v>
      </c>
      <c r="GJ20" s="72">
        <v>0</v>
      </c>
      <c r="GK20" s="72">
        <v>0</v>
      </c>
      <c r="GL20" s="72">
        <v>0</v>
      </c>
      <c r="GM20" s="72">
        <v>0</v>
      </c>
      <c r="GN20" s="72">
        <v>0</v>
      </c>
      <c r="GO20" s="72">
        <v>0</v>
      </c>
      <c r="GP20" s="72">
        <v>0</v>
      </c>
      <c r="GQ20" s="72">
        <v>0</v>
      </c>
      <c r="GR20" s="72">
        <f t="shared" si="0"/>
        <v>64377.107546137093</v>
      </c>
      <c r="GS20" s="72">
        <f>SUM(Q$5:Q$202)</f>
        <v>64377.107546137078</v>
      </c>
      <c r="GT20" s="73">
        <v>0</v>
      </c>
    </row>
    <row r="21" spans="1:202" outlineLevel="1" x14ac:dyDescent="0.2">
      <c r="A21" s="66" t="s">
        <v>218</v>
      </c>
      <c r="B21" s="72">
        <v>0</v>
      </c>
      <c r="C21" s="72">
        <v>0</v>
      </c>
      <c r="D21" s="72">
        <v>0</v>
      </c>
      <c r="E21" s="72">
        <v>0</v>
      </c>
      <c r="F21" s="72">
        <v>0</v>
      </c>
      <c r="G21" s="72">
        <v>0</v>
      </c>
      <c r="H21" s="72">
        <v>0</v>
      </c>
      <c r="I21" s="72">
        <v>0</v>
      </c>
      <c r="J21" s="72">
        <v>0</v>
      </c>
      <c r="K21" s="72">
        <v>0</v>
      </c>
      <c r="L21" s="72">
        <v>0</v>
      </c>
      <c r="M21" s="72">
        <v>0</v>
      </c>
      <c r="N21" s="72">
        <v>0</v>
      </c>
      <c r="O21" s="72">
        <v>0</v>
      </c>
      <c r="P21" s="72">
        <v>0</v>
      </c>
      <c r="Q21" s="72">
        <v>0</v>
      </c>
      <c r="R21" s="72">
        <v>0</v>
      </c>
      <c r="S21" s="72">
        <v>0</v>
      </c>
      <c r="T21" s="72">
        <v>0</v>
      </c>
      <c r="U21" s="72">
        <v>0</v>
      </c>
      <c r="V21" s="72">
        <v>0</v>
      </c>
      <c r="W21" s="72">
        <v>0</v>
      </c>
      <c r="X21" s="72">
        <v>0</v>
      </c>
      <c r="Y21" s="72">
        <v>0</v>
      </c>
      <c r="Z21" s="72">
        <v>0</v>
      </c>
      <c r="AA21" s="72">
        <v>0</v>
      </c>
      <c r="AB21" s="72">
        <v>0</v>
      </c>
      <c r="AC21" s="72">
        <v>0</v>
      </c>
      <c r="AD21" s="72">
        <v>0</v>
      </c>
      <c r="AE21" s="72">
        <v>0</v>
      </c>
      <c r="AF21" s="72">
        <v>0</v>
      </c>
      <c r="AG21" s="72">
        <v>0</v>
      </c>
      <c r="AH21" s="72">
        <v>0</v>
      </c>
      <c r="AI21" s="72">
        <v>0</v>
      </c>
      <c r="AJ21" s="72">
        <v>0</v>
      </c>
      <c r="AK21" s="72">
        <v>0</v>
      </c>
      <c r="AL21" s="72">
        <v>0</v>
      </c>
      <c r="AM21" s="72">
        <v>0</v>
      </c>
      <c r="AN21" s="72">
        <v>0</v>
      </c>
      <c r="AO21" s="72">
        <v>0</v>
      </c>
      <c r="AP21" s="72">
        <v>0</v>
      </c>
      <c r="AQ21" s="72">
        <v>0</v>
      </c>
      <c r="AR21" s="72">
        <v>0</v>
      </c>
      <c r="AS21" s="72">
        <v>0</v>
      </c>
      <c r="AT21" s="72">
        <v>0</v>
      </c>
      <c r="AU21" s="72">
        <v>0</v>
      </c>
      <c r="AV21" s="72">
        <v>0</v>
      </c>
      <c r="AW21" s="72">
        <v>0</v>
      </c>
      <c r="AX21" s="72">
        <v>0</v>
      </c>
      <c r="AY21" s="72">
        <v>0</v>
      </c>
      <c r="AZ21" s="72">
        <v>0</v>
      </c>
      <c r="BA21" s="72">
        <v>0</v>
      </c>
      <c r="BB21" s="72">
        <v>0</v>
      </c>
      <c r="BC21" s="72">
        <v>0</v>
      </c>
      <c r="BD21" s="72">
        <v>0</v>
      </c>
      <c r="BE21" s="72">
        <v>0</v>
      </c>
      <c r="BF21" s="72">
        <v>0</v>
      </c>
      <c r="BG21" s="72">
        <v>0</v>
      </c>
      <c r="BH21" s="72">
        <v>0</v>
      </c>
      <c r="BI21" s="72">
        <v>0</v>
      </c>
      <c r="BJ21" s="72">
        <v>0</v>
      </c>
      <c r="BK21" s="72">
        <v>0</v>
      </c>
      <c r="BL21" s="72">
        <v>0</v>
      </c>
      <c r="BM21" s="72">
        <v>0</v>
      </c>
      <c r="BN21" s="72">
        <v>0</v>
      </c>
      <c r="BO21" s="72">
        <v>0</v>
      </c>
      <c r="BP21" s="72">
        <v>0</v>
      </c>
      <c r="BQ21" s="72">
        <v>0</v>
      </c>
      <c r="BR21" s="72">
        <v>0</v>
      </c>
      <c r="BS21" s="72">
        <v>0</v>
      </c>
      <c r="BT21" s="72">
        <v>0</v>
      </c>
      <c r="BU21" s="72">
        <v>0</v>
      </c>
      <c r="BV21" s="72">
        <v>0</v>
      </c>
      <c r="BW21" s="72">
        <v>0</v>
      </c>
      <c r="BX21" s="72">
        <v>0</v>
      </c>
      <c r="BY21" s="72">
        <v>0</v>
      </c>
      <c r="BZ21" s="72">
        <v>0</v>
      </c>
      <c r="CA21" s="72">
        <v>0</v>
      </c>
      <c r="CB21" s="72">
        <v>0</v>
      </c>
      <c r="CC21" s="72">
        <v>0</v>
      </c>
      <c r="CD21" s="72">
        <v>0</v>
      </c>
      <c r="CE21" s="72">
        <v>0</v>
      </c>
      <c r="CF21" s="72">
        <v>0</v>
      </c>
      <c r="CG21" s="72">
        <v>0</v>
      </c>
      <c r="CH21" s="72">
        <v>0</v>
      </c>
      <c r="CI21" s="72">
        <v>0</v>
      </c>
      <c r="CJ21" s="72">
        <v>0</v>
      </c>
      <c r="CK21" s="72">
        <v>0</v>
      </c>
      <c r="CL21" s="72">
        <v>0</v>
      </c>
      <c r="CM21" s="72">
        <v>0</v>
      </c>
      <c r="CN21" s="72">
        <v>0</v>
      </c>
      <c r="CO21" s="72">
        <v>0</v>
      </c>
      <c r="CP21" s="72">
        <v>0</v>
      </c>
      <c r="CQ21" s="72">
        <v>0</v>
      </c>
      <c r="CR21" s="72">
        <v>0</v>
      </c>
      <c r="CS21" s="72">
        <v>0</v>
      </c>
      <c r="CT21" s="72">
        <v>0</v>
      </c>
      <c r="CU21" s="72">
        <v>0</v>
      </c>
      <c r="CV21" s="72">
        <v>0</v>
      </c>
      <c r="CW21" s="72">
        <v>58151.134469540462</v>
      </c>
      <c r="CX21" s="72">
        <v>277007.05621282069</v>
      </c>
      <c r="CY21" s="72">
        <v>4007.5571780868527</v>
      </c>
      <c r="CZ21" s="72">
        <v>0</v>
      </c>
      <c r="DA21" s="72">
        <v>0</v>
      </c>
      <c r="DB21" s="72">
        <v>1.5178819897293521</v>
      </c>
      <c r="DC21" s="72">
        <v>327.06117950955479</v>
      </c>
      <c r="DD21" s="72">
        <v>0</v>
      </c>
      <c r="DE21" s="72">
        <v>0</v>
      </c>
      <c r="DF21" s="72">
        <v>0</v>
      </c>
      <c r="DG21" s="72">
        <v>0</v>
      </c>
      <c r="DH21" s="72">
        <v>0</v>
      </c>
      <c r="DI21" s="72">
        <v>0</v>
      </c>
      <c r="DJ21" s="72">
        <v>0</v>
      </c>
      <c r="DK21" s="72">
        <v>4062.0217796109064</v>
      </c>
      <c r="DL21" s="72">
        <v>0</v>
      </c>
      <c r="DM21" s="72">
        <v>0</v>
      </c>
      <c r="DN21" s="72">
        <v>0</v>
      </c>
      <c r="DO21" s="72">
        <v>0</v>
      </c>
      <c r="DP21" s="72">
        <v>0</v>
      </c>
      <c r="DQ21" s="72">
        <v>0</v>
      </c>
      <c r="DR21" s="72">
        <v>0</v>
      </c>
      <c r="DS21" s="72">
        <v>0</v>
      </c>
      <c r="DT21" s="72">
        <v>0</v>
      </c>
      <c r="DU21" s="72">
        <v>0</v>
      </c>
      <c r="DV21" s="72">
        <v>0</v>
      </c>
      <c r="DW21" s="72">
        <v>0</v>
      </c>
      <c r="DX21" s="72">
        <v>0</v>
      </c>
      <c r="DY21" s="72">
        <v>0</v>
      </c>
      <c r="DZ21" s="72">
        <v>0</v>
      </c>
      <c r="EA21" s="72">
        <v>0</v>
      </c>
      <c r="EB21" s="72">
        <v>0</v>
      </c>
      <c r="EC21" s="72">
        <v>0</v>
      </c>
      <c r="ED21" s="72">
        <v>0</v>
      </c>
      <c r="EE21" s="72">
        <v>0</v>
      </c>
      <c r="EF21" s="72">
        <v>0</v>
      </c>
      <c r="EG21" s="72">
        <v>0</v>
      </c>
      <c r="EH21" s="72">
        <v>0</v>
      </c>
      <c r="EI21" s="72">
        <v>0</v>
      </c>
      <c r="EJ21" s="72">
        <v>0</v>
      </c>
      <c r="EK21" s="72">
        <v>0</v>
      </c>
      <c r="EL21" s="72">
        <v>0</v>
      </c>
      <c r="EM21" s="72">
        <v>0</v>
      </c>
      <c r="EN21" s="72">
        <v>0</v>
      </c>
      <c r="EO21" s="72">
        <v>0</v>
      </c>
      <c r="EP21" s="72">
        <v>0</v>
      </c>
      <c r="EQ21" s="72">
        <v>0</v>
      </c>
      <c r="ER21" s="72">
        <v>0</v>
      </c>
      <c r="ES21" s="72">
        <v>0</v>
      </c>
      <c r="ET21" s="72">
        <v>0</v>
      </c>
      <c r="EU21" s="72">
        <v>0</v>
      </c>
      <c r="EV21" s="72">
        <v>0</v>
      </c>
      <c r="EW21" s="72">
        <v>0</v>
      </c>
      <c r="EX21" s="72">
        <v>0</v>
      </c>
      <c r="EY21" s="72">
        <v>0</v>
      </c>
      <c r="EZ21" s="72">
        <v>0</v>
      </c>
      <c r="FA21" s="72">
        <v>0</v>
      </c>
      <c r="FB21" s="72">
        <v>0</v>
      </c>
      <c r="FC21" s="72">
        <v>0</v>
      </c>
      <c r="FD21" s="72">
        <v>0</v>
      </c>
      <c r="FE21" s="72">
        <v>0</v>
      </c>
      <c r="FF21" s="72">
        <v>5077.0870176843446</v>
      </c>
      <c r="FG21" s="72">
        <v>0</v>
      </c>
      <c r="FH21" s="72">
        <v>0</v>
      </c>
      <c r="FI21" s="72">
        <v>0</v>
      </c>
      <c r="FJ21" s="72">
        <v>0</v>
      </c>
      <c r="FK21" s="72">
        <v>0</v>
      </c>
      <c r="FL21" s="72">
        <v>0</v>
      </c>
      <c r="FM21" s="72">
        <v>0</v>
      </c>
      <c r="FN21" s="72">
        <v>0</v>
      </c>
      <c r="FO21" s="72">
        <v>0</v>
      </c>
      <c r="FP21" s="72">
        <v>0</v>
      </c>
      <c r="FQ21" s="72">
        <v>0</v>
      </c>
      <c r="FR21" s="72">
        <v>0</v>
      </c>
      <c r="FS21" s="72">
        <v>0</v>
      </c>
      <c r="FT21" s="72">
        <v>0</v>
      </c>
      <c r="FU21" s="72">
        <v>0</v>
      </c>
      <c r="FV21" s="72">
        <v>0</v>
      </c>
      <c r="FW21" s="72">
        <v>0</v>
      </c>
      <c r="FX21" s="72">
        <v>0</v>
      </c>
      <c r="FY21" s="72">
        <v>0</v>
      </c>
      <c r="FZ21" s="72">
        <v>0</v>
      </c>
      <c r="GA21" s="72">
        <v>0</v>
      </c>
      <c r="GB21" s="72">
        <v>0</v>
      </c>
      <c r="GC21" s="72">
        <v>0</v>
      </c>
      <c r="GD21" s="72">
        <v>0</v>
      </c>
      <c r="GE21" s="72">
        <v>0</v>
      </c>
      <c r="GF21" s="72">
        <v>0</v>
      </c>
      <c r="GG21" s="72">
        <v>0</v>
      </c>
      <c r="GH21" s="72">
        <v>0</v>
      </c>
      <c r="GI21" s="72">
        <v>0</v>
      </c>
      <c r="GJ21" s="72">
        <v>0</v>
      </c>
      <c r="GK21" s="72">
        <v>0</v>
      </c>
      <c r="GL21" s="72">
        <v>0</v>
      </c>
      <c r="GM21" s="72">
        <v>0</v>
      </c>
      <c r="GN21" s="72">
        <v>0</v>
      </c>
      <c r="GO21" s="72">
        <v>0</v>
      </c>
      <c r="GP21" s="72">
        <v>0</v>
      </c>
      <c r="GQ21" s="72">
        <v>0</v>
      </c>
      <c r="GR21" s="72">
        <f t="shared" si="0"/>
        <v>348633.43571924249</v>
      </c>
      <c r="GS21" s="72">
        <f>SUM(R$5:R$202)</f>
        <v>348633.43571924249</v>
      </c>
      <c r="GT21" s="73">
        <v>0</v>
      </c>
    </row>
    <row r="22" spans="1:202" outlineLevel="1" x14ac:dyDescent="0.2">
      <c r="A22" s="66" t="s">
        <v>223</v>
      </c>
      <c r="B22" s="72">
        <v>0</v>
      </c>
      <c r="C22" s="72">
        <v>0</v>
      </c>
      <c r="D22" s="72">
        <v>0</v>
      </c>
      <c r="E22" s="72">
        <v>0</v>
      </c>
      <c r="F22" s="72">
        <v>0</v>
      </c>
      <c r="G22" s="72">
        <v>0</v>
      </c>
      <c r="H22" s="72">
        <v>0</v>
      </c>
      <c r="I22" s="72">
        <v>0</v>
      </c>
      <c r="J22" s="72">
        <v>0</v>
      </c>
      <c r="K22" s="72">
        <v>0</v>
      </c>
      <c r="L22" s="72">
        <v>0</v>
      </c>
      <c r="M22" s="72">
        <v>0</v>
      </c>
      <c r="N22" s="72">
        <v>0</v>
      </c>
      <c r="O22" s="72">
        <v>0</v>
      </c>
      <c r="P22" s="72">
        <v>0</v>
      </c>
      <c r="Q22" s="72">
        <v>0</v>
      </c>
      <c r="R22" s="72">
        <v>0</v>
      </c>
      <c r="S22" s="72">
        <v>0</v>
      </c>
      <c r="T22" s="72">
        <v>0</v>
      </c>
      <c r="U22" s="72">
        <v>0</v>
      </c>
      <c r="V22" s="72">
        <v>0</v>
      </c>
      <c r="W22" s="72">
        <v>0</v>
      </c>
      <c r="X22" s="72">
        <v>0</v>
      </c>
      <c r="Y22" s="72">
        <v>0</v>
      </c>
      <c r="Z22" s="72">
        <v>0</v>
      </c>
      <c r="AA22" s="72">
        <v>0</v>
      </c>
      <c r="AB22" s="72">
        <v>0</v>
      </c>
      <c r="AC22" s="72">
        <v>0</v>
      </c>
      <c r="AD22" s="72">
        <v>0</v>
      </c>
      <c r="AE22" s="72">
        <v>0</v>
      </c>
      <c r="AF22" s="72">
        <v>0</v>
      </c>
      <c r="AG22" s="72">
        <v>0</v>
      </c>
      <c r="AH22" s="72">
        <v>0</v>
      </c>
      <c r="AI22" s="72">
        <v>0</v>
      </c>
      <c r="AJ22" s="72">
        <v>0</v>
      </c>
      <c r="AK22" s="72">
        <v>0</v>
      </c>
      <c r="AL22" s="72">
        <v>0</v>
      </c>
      <c r="AM22" s="72">
        <v>0</v>
      </c>
      <c r="AN22" s="72">
        <v>0</v>
      </c>
      <c r="AO22" s="72">
        <v>0</v>
      </c>
      <c r="AP22" s="72">
        <v>0</v>
      </c>
      <c r="AQ22" s="72">
        <v>0</v>
      </c>
      <c r="AR22" s="72">
        <v>0</v>
      </c>
      <c r="AS22" s="72">
        <v>0</v>
      </c>
      <c r="AT22" s="72">
        <v>0</v>
      </c>
      <c r="AU22" s="72">
        <v>0</v>
      </c>
      <c r="AV22" s="72">
        <v>0</v>
      </c>
      <c r="AW22" s="72">
        <v>0</v>
      </c>
      <c r="AX22" s="72">
        <v>0</v>
      </c>
      <c r="AY22" s="72">
        <v>0</v>
      </c>
      <c r="AZ22" s="72">
        <v>0</v>
      </c>
      <c r="BA22" s="72">
        <v>0</v>
      </c>
      <c r="BB22" s="72">
        <v>0</v>
      </c>
      <c r="BC22" s="72">
        <v>0</v>
      </c>
      <c r="BD22" s="72">
        <v>0</v>
      </c>
      <c r="BE22" s="72">
        <v>0</v>
      </c>
      <c r="BF22" s="72">
        <v>0</v>
      </c>
      <c r="BG22" s="72">
        <v>0</v>
      </c>
      <c r="BH22" s="72">
        <v>0</v>
      </c>
      <c r="BI22" s="72">
        <v>0</v>
      </c>
      <c r="BJ22" s="72">
        <v>0</v>
      </c>
      <c r="BK22" s="72">
        <v>0</v>
      </c>
      <c r="BL22" s="72">
        <v>0</v>
      </c>
      <c r="BM22" s="72">
        <v>0</v>
      </c>
      <c r="BN22" s="72">
        <v>0</v>
      </c>
      <c r="BO22" s="72">
        <v>0</v>
      </c>
      <c r="BP22" s="72">
        <v>0</v>
      </c>
      <c r="BQ22" s="72">
        <v>0</v>
      </c>
      <c r="BR22" s="72">
        <v>0</v>
      </c>
      <c r="BS22" s="72">
        <v>0</v>
      </c>
      <c r="BT22" s="72">
        <v>0</v>
      </c>
      <c r="BU22" s="72">
        <v>0</v>
      </c>
      <c r="BV22" s="72">
        <v>0</v>
      </c>
      <c r="BW22" s="72">
        <v>0</v>
      </c>
      <c r="BX22" s="72">
        <v>0</v>
      </c>
      <c r="BY22" s="72">
        <v>0</v>
      </c>
      <c r="BZ22" s="72">
        <v>0</v>
      </c>
      <c r="CA22" s="72">
        <v>0</v>
      </c>
      <c r="CB22" s="72">
        <v>0</v>
      </c>
      <c r="CC22" s="72">
        <v>0</v>
      </c>
      <c r="CD22" s="72">
        <v>0</v>
      </c>
      <c r="CE22" s="72">
        <v>0</v>
      </c>
      <c r="CF22" s="72">
        <v>0</v>
      </c>
      <c r="CG22" s="72">
        <v>0</v>
      </c>
      <c r="CH22" s="72">
        <v>0</v>
      </c>
      <c r="CI22" s="72">
        <v>0</v>
      </c>
      <c r="CJ22" s="72">
        <v>0</v>
      </c>
      <c r="CK22" s="72">
        <v>0</v>
      </c>
      <c r="CL22" s="72">
        <v>28.764226233185532</v>
      </c>
      <c r="CM22" s="72">
        <v>0</v>
      </c>
      <c r="CN22" s="72">
        <v>0</v>
      </c>
      <c r="CO22" s="72">
        <v>0</v>
      </c>
      <c r="CP22" s="72">
        <v>0</v>
      </c>
      <c r="CQ22" s="72">
        <v>0</v>
      </c>
      <c r="CR22" s="72">
        <v>0</v>
      </c>
      <c r="CS22" s="72">
        <v>0</v>
      </c>
      <c r="CT22" s="72">
        <v>0</v>
      </c>
      <c r="CU22" s="72">
        <v>36.820361311463984</v>
      </c>
      <c r="CV22" s="72">
        <v>0</v>
      </c>
      <c r="CW22" s="72">
        <v>0</v>
      </c>
      <c r="CX22" s="72">
        <v>4174.0013737366671</v>
      </c>
      <c r="CY22" s="72">
        <v>93185.837051163006</v>
      </c>
      <c r="CZ22" s="72">
        <v>3188.8345997701899</v>
      </c>
      <c r="DA22" s="72">
        <v>0</v>
      </c>
      <c r="DB22" s="72">
        <v>563.15779078105038</v>
      </c>
      <c r="DC22" s="72">
        <v>3238.3766062531126</v>
      </c>
      <c r="DD22" s="72">
        <v>18.178635475662443</v>
      </c>
      <c r="DE22" s="72">
        <v>112.93966983922736</v>
      </c>
      <c r="DF22" s="72">
        <v>15.850320053851963</v>
      </c>
      <c r="DG22" s="72">
        <v>0</v>
      </c>
      <c r="DH22" s="72">
        <v>0</v>
      </c>
      <c r="DI22" s="72">
        <v>0</v>
      </c>
      <c r="DJ22" s="72">
        <v>0</v>
      </c>
      <c r="DK22" s="72">
        <v>141.96532100568052</v>
      </c>
      <c r="DL22" s="72">
        <v>0</v>
      </c>
      <c r="DM22" s="72">
        <v>0</v>
      </c>
      <c r="DN22" s="72">
        <v>0</v>
      </c>
      <c r="DO22" s="72">
        <v>42.237115220969841</v>
      </c>
      <c r="DP22" s="72">
        <v>23.283873945475783</v>
      </c>
      <c r="DQ22" s="72">
        <v>0</v>
      </c>
      <c r="DR22" s="72">
        <v>0</v>
      </c>
      <c r="DS22" s="72">
        <v>0</v>
      </c>
      <c r="DT22" s="72">
        <v>0</v>
      </c>
      <c r="DU22" s="72">
        <v>0</v>
      </c>
      <c r="DV22" s="72">
        <v>0</v>
      </c>
      <c r="DW22" s="72">
        <v>0</v>
      </c>
      <c r="DX22" s="72">
        <v>0</v>
      </c>
      <c r="DY22" s="72">
        <v>0</v>
      </c>
      <c r="DZ22" s="72">
        <v>0</v>
      </c>
      <c r="EA22" s="72">
        <v>0</v>
      </c>
      <c r="EB22" s="72">
        <v>0</v>
      </c>
      <c r="EC22" s="72">
        <v>0</v>
      </c>
      <c r="ED22" s="72">
        <v>0</v>
      </c>
      <c r="EE22" s="72">
        <v>0</v>
      </c>
      <c r="EF22" s="72">
        <v>0</v>
      </c>
      <c r="EG22" s="72">
        <v>0</v>
      </c>
      <c r="EH22" s="72">
        <v>0</v>
      </c>
      <c r="EI22" s="72">
        <v>0</v>
      </c>
      <c r="EJ22" s="72">
        <v>0</v>
      </c>
      <c r="EK22" s="72">
        <v>0</v>
      </c>
      <c r="EL22" s="72">
        <v>0</v>
      </c>
      <c r="EM22" s="72">
        <v>0</v>
      </c>
      <c r="EN22" s="72">
        <v>0</v>
      </c>
      <c r="EO22" s="72">
        <v>0</v>
      </c>
      <c r="EP22" s="72">
        <v>0</v>
      </c>
      <c r="EQ22" s="72">
        <v>0</v>
      </c>
      <c r="ER22" s="72">
        <v>0</v>
      </c>
      <c r="ES22" s="72">
        <v>0</v>
      </c>
      <c r="ET22" s="72">
        <v>0</v>
      </c>
      <c r="EU22" s="72">
        <v>0</v>
      </c>
      <c r="EV22" s="72">
        <v>0</v>
      </c>
      <c r="EW22" s="72">
        <v>0</v>
      </c>
      <c r="EX22" s="72">
        <v>0</v>
      </c>
      <c r="EY22" s="72">
        <v>0</v>
      </c>
      <c r="EZ22" s="72">
        <v>0</v>
      </c>
      <c r="FA22" s="72">
        <v>0</v>
      </c>
      <c r="FB22" s="72">
        <v>0</v>
      </c>
      <c r="FC22" s="72">
        <v>0</v>
      </c>
      <c r="FD22" s="72">
        <v>0</v>
      </c>
      <c r="FE22" s="72">
        <v>0</v>
      </c>
      <c r="FF22" s="72">
        <v>2988.7756559507866</v>
      </c>
      <c r="FG22" s="72">
        <v>0</v>
      </c>
      <c r="FH22" s="72">
        <v>0</v>
      </c>
      <c r="FI22" s="72">
        <v>0</v>
      </c>
      <c r="FJ22" s="72">
        <v>0</v>
      </c>
      <c r="FK22" s="72">
        <v>0</v>
      </c>
      <c r="FL22" s="72">
        <v>0</v>
      </c>
      <c r="FM22" s="72">
        <v>0</v>
      </c>
      <c r="FN22" s="72">
        <v>0</v>
      </c>
      <c r="FO22" s="72">
        <v>0</v>
      </c>
      <c r="FP22" s="72">
        <v>0</v>
      </c>
      <c r="FQ22" s="72">
        <v>0</v>
      </c>
      <c r="FR22" s="72">
        <v>0</v>
      </c>
      <c r="FS22" s="72">
        <v>0</v>
      </c>
      <c r="FT22" s="72">
        <v>0</v>
      </c>
      <c r="FU22" s="72">
        <v>0</v>
      </c>
      <c r="FV22" s="72">
        <v>0</v>
      </c>
      <c r="FW22" s="72">
        <v>0</v>
      </c>
      <c r="FX22" s="72">
        <v>0</v>
      </c>
      <c r="FY22" s="72">
        <v>0</v>
      </c>
      <c r="FZ22" s="72">
        <v>0</v>
      </c>
      <c r="GA22" s="72">
        <v>0</v>
      </c>
      <c r="GB22" s="72">
        <v>0</v>
      </c>
      <c r="GC22" s="72">
        <v>0</v>
      </c>
      <c r="GD22" s="72">
        <v>0</v>
      </c>
      <c r="GE22" s="72">
        <v>0</v>
      </c>
      <c r="GF22" s="72">
        <v>0</v>
      </c>
      <c r="GG22" s="72">
        <v>0</v>
      </c>
      <c r="GH22" s="72">
        <v>0</v>
      </c>
      <c r="GI22" s="72">
        <v>0</v>
      </c>
      <c r="GJ22" s="72">
        <v>0</v>
      </c>
      <c r="GK22" s="72">
        <v>0</v>
      </c>
      <c r="GL22" s="72">
        <v>0</v>
      </c>
      <c r="GM22" s="72">
        <v>0</v>
      </c>
      <c r="GN22" s="72">
        <v>0</v>
      </c>
      <c r="GO22" s="72">
        <v>0</v>
      </c>
      <c r="GP22" s="72">
        <v>0</v>
      </c>
      <c r="GQ22" s="72">
        <v>0</v>
      </c>
      <c r="GR22" s="72">
        <f t="shared" si="0"/>
        <v>107759.02260074033</v>
      </c>
      <c r="GS22" s="72">
        <f>SUM(S$5:S$202)</f>
        <v>107759.02260074028</v>
      </c>
      <c r="GT22" s="73">
        <v>0</v>
      </c>
    </row>
    <row r="23" spans="1:202" outlineLevel="1" x14ac:dyDescent="0.2">
      <c r="A23" s="66" t="s">
        <v>229</v>
      </c>
      <c r="B23" s="72">
        <v>0</v>
      </c>
      <c r="C23" s="72">
        <v>0</v>
      </c>
      <c r="D23" s="72">
        <v>0</v>
      </c>
      <c r="E23" s="72">
        <v>0</v>
      </c>
      <c r="F23" s="72">
        <v>0</v>
      </c>
      <c r="G23" s="72">
        <v>0</v>
      </c>
      <c r="H23" s="72">
        <v>0</v>
      </c>
      <c r="I23" s="72">
        <v>0</v>
      </c>
      <c r="J23" s="72">
        <v>0</v>
      </c>
      <c r="K23" s="72">
        <v>0</v>
      </c>
      <c r="L23" s="72">
        <v>0</v>
      </c>
      <c r="M23" s="72">
        <v>0</v>
      </c>
      <c r="N23" s="72">
        <v>0</v>
      </c>
      <c r="O23" s="72">
        <v>0</v>
      </c>
      <c r="P23" s="72">
        <v>0</v>
      </c>
      <c r="Q23" s="72">
        <v>0</v>
      </c>
      <c r="R23" s="72">
        <v>0</v>
      </c>
      <c r="S23" s="72">
        <v>0</v>
      </c>
      <c r="T23" s="72">
        <v>0</v>
      </c>
      <c r="U23" s="72">
        <v>0</v>
      </c>
      <c r="V23" s="72">
        <v>0</v>
      </c>
      <c r="W23" s="72">
        <v>0</v>
      </c>
      <c r="X23" s="72">
        <v>0</v>
      </c>
      <c r="Y23" s="72">
        <v>0</v>
      </c>
      <c r="Z23" s="72">
        <v>0</v>
      </c>
      <c r="AA23" s="72">
        <v>0</v>
      </c>
      <c r="AB23" s="72">
        <v>0</v>
      </c>
      <c r="AC23" s="72">
        <v>0</v>
      </c>
      <c r="AD23" s="72">
        <v>0</v>
      </c>
      <c r="AE23" s="72">
        <v>0</v>
      </c>
      <c r="AF23" s="72">
        <v>0</v>
      </c>
      <c r="AG23" s="72">
        <v>0</v>
      </c>
      <c r="AH23" s="72">
        <v>0</v>
      </c>
      <c r="AI23" s="72">
        <v>0</v>
      </c>
      <c r="AJ23" s="72">
        <v>0</v>
      </c>
      <c r="AK23" s="72">
        <v>0</v>
      </c>
      <c r="AL23" s="72">
        <v>0</v>
      </c>
      <c r="AM23" s="72">
        <v>0</v>
      </c>
      <c r="AN23" s="72">
        <v>0</v>
      </c>
      <c r="AO23" s="72">
        <v>0</v>
      </c>
      <c r="AP23" s="72">
        <v>0</v>
      </c>
      <c r="AQ23" s="72">
        <v>0</v>
      </c>
      <c r="AR23" s="72">
        <v>0</v>
      </c>
      <c r="AS23" s="72">
        <v>0</v>
      </c>
      <c r="AT23" s="72">
        <v>0</v>
      </c>
      <c r="AU23" s="72">
        <v>0</v>
      </c>
      <c r="AV23" s="72">
        <v>0</v>
      </c>
      <c r="AW23" s="72">
        <v>0</v>
      </c>
      <c r="AX23" s="72">
        <v>0</v>
      </c>
      <c r="AY23" s="72">
        <v>0</v>
      </c>
      <c r="AZ23" s="72">
        <v>0</v>
      </c>
      <c r="BA23" s="72">
        <v>0</v>
      </c>
      <c r="BB23" s="72">
        <v>0</v>
      </c>
      <c r="BC23" s="72">
        <v>0</v>
      </c>
      <c r="BD23" s="72">
        <v>0</v>
      </c>
      <c r="BE23" s="72">
        <v>0</v>
      </c>
      <c r="BF23" s="72">
        <v>0</v>
      </c>
      <c r="BG23" s="72">
        <v>0</v>
      </c>
      <c r="BH23" s="72">
        <v>0</v>
      </c>
      <c r="BI23" s="72">
        <v>0</v>
      </c>
      <c r="BJ23" s="72">
        <v>0</v>
      </c>
      <c r="BK23" s="72">
        <v>0</v>
      </c>
      <c r="BL23" s="72">
        <v>0</v>
      </c>
      <c r="BM23" s="72">
        <v>0</v>
      </c>
      <c r="BN23" s="72">
        <v>0</v>
      </c>
      <c r="BO23" s="72">
        <v>0</v>
      </c>
      <c r="BP23" s="72">
        <v>0</v>
      </c>
      <c r="BQ23" s="72">
        <v>0</v>
      </c>
      <c r="BR23" s="72">
        <v>0</v>
      </c>
      <c r="BS23" s="72">
        <v>0</v>
      </c>
      <c r="BT23" s="72">
        <v>0</v>
      </c>
      <c r="BU23" s="72">
        <v>0</v>
      </c>
      <c r="BV23" s="72">
        <v>0</v>
      </c>
      <c r="BW23" s="72">
        <v>0</v>
      </c>
      <c r="BX23" s="72">
        <v>0</v>
      </c>
      <c r="BY23" s="72">
        <v>0</v>
      </c>
      <c r="BZ23" s="72">
        <v>0</v>
      </c>
      <c r="CA23" s="72">
        <v>0</v>
      </c>
      <c r="CB23" s="72">
        <v>257.86786203687853</v>
      </c>
      <c r="CC23" s="72">
        <v>0</v>
      </c>
      <c r="CD23" s="72">
        <v>0</v>
      </c>
      <c r="CE23" s="72">
        <v>0</v>
      </c>
      <c r="CF23" s="72">
        <v>0</v>
      </c>
      <c r="CG23" s="72">
        <v>0</v>
      </c>
      <c r="CH23" s="72">
        <v>1402.4758195137645</v>
      </c>
      <c r="CI23" s="72">
        <v>0</v>
      </c>
      <c r="CJ23" s="72">
        <v>4.2090972508233016</v>
      </c>
      <c r="CK23" s="72">
        <v>5.928596679369873</v>
      </c>
      <c r="CL23" s="72">
        <v>0</v>
      </c>
      <c r="CM23" s="72">
        <v>0</v>
      </c>
      <c r="CN23" s="72">
        <v>0</v>
      </c>
      <c r="CO23" s="72">
        <v>274.50852865587092</v>
      </c>
      <c r="CP23" s="72">
        <v>0</v>
      </c>
      <c r="CQ23" s="72">
        <v>0</v>
      </c>
      <c r="CR23" s="72">
        <v>0</v>
      </c>
      <c r="CS23" s="72">
        <v>0</v>
      </c>
      <c r="CT23" s="72">
        <v>10.810155897842321</v>
      </c>
      <c r="CU23" s="72">
        <v>0</v>
      </c>
      <c r="CV23" s="72">
        <v>118.60547221090999</v>
      </c>
      <c r="CW23" s="72">
        <v>30.57646874234198</v>
      </c>
      <c r="CX23" s="72">
        <v>5871.5691373539012</v>
      </c>
      <c r="CY23" s="72">
        <v>11559.415184918376</v>
      </c>
      <c r="CZ23" s="72">
        <v>16282.460563354098</v>
      </c>
      <c r="DA23" s="72">
        <v>33321.623206842225</v>
      </c>
      <c r="DB23" s="72">
        <v>36364.319570615276</v>
      </c>
      <c r="DC23" s="72">
        <v>27878.008136743909</v>
      </c>
      <c r="DD23" s="72">
        <v>0</v>
      </c>
      <c r="DE23" s="72">
        <v>60.101213334464994</v>
      </c>
      <c r="DF23" s="72">
        <v>0</v>
      </c>
      <c r="DG23" s="72">
        <v>0</v>
      </c>
      <c r="DH23" s="72">
        <v>544.72138333985447</v>
      </c>
      <c r="DI23" s="72">
        <v>0</v>
      </c>
      <c r="DJ23" s="72">
        <v>0</v>
      </c>
      <c r="DK23" s="72">
        <v>5.8228531877849683</v>
      </c>
      <c r="DL23" s="72">
        <v>0</v>
      </c>
      <c r="DM23" s="72">
        <v>0</v>
      </c>
      <c r="DN23" s="72">
        <v>1957.0391568383309</v>
      </c>
      <c r="DO23" s="72">
        <v>0</v>
      </c>
      <c r="DP23" s="72">
        <v>0</v>
      </c>
      <c r="DQ23" s="72">
        <v>0</v>
      </c>
      <c r="DR23" s="72">
        <v>0</v>
      </c>
      <c r="DS23" s="72">
        <v>0</v>
      </c>
      <c r="DT23" s="72">
        <v>92.961157190731896</v>
      </c>
      <c r="DU23" s="72">
        <v>0</v>
      </c>
      <c r="DV23" s="72">
        <v>0</v>
      </c>
      <c r="DW23" s="72">
        <v>0</v>
      </c>
      <c r="DX23" s="72">
        <v>0</v>
      </c>
      <c r="DY23" s="72">
        <v>0</v>
      </c>
      <c r="DZ23" s="72">
        <v>0</v>
      </c>
      <c r="EA23" s="72">
        <v>0</v>
      </c>
      <c r="EB23" s="72">
        <v>0</v>
      </c>
      <c r="EC23" s="72">
        <v>219.64681448990927</v>
      </c>
      <c r="ED23" s="72">
        <v>0</v>
      </c>
      <c r="EE23" s="72">
        <v>0</v>
      </c>
      <c r="EF23" s="72">
        <v>0</v>
      </c>
      <c r="EG23" s="72">
        <v>0</v>
      </c>
      <c r="EH23" s="72">
        <v>0</v>
      </c>
      <c r="EI23" s="72">
        <v>0</v>
      </c>
      <c r="EJ23" s="72">
        <v>0</v>
      </c>
      <c r="EK23" s="72">
        <v>0</v>
      </c>
      <c r="EL23" s="72">
        <v>0</v>
      </c>
      <c r="EM23" s="72">
        <v>0</v>
      </c>
      <c r="EN23" s="72">
        <v>0</v>
      </c>
      <c r="EO23" s="72">
        <v>0</v>
      </c>
      <c r="EP23" s="72">
        <v>0</v>
      </c>
      <c r="EQ23" s="72">
        <v>0</v>
      </c>
      <c r="ER23" s="72">
        <v>0</v>
      </c>
      <c r="ES23" s="72">
        <v>0</v>
      </c>
      <c r="ET23" s="72">
        <v>0</v>
      </c>
      <c r="EU23" s="72">
        <v>0</v>
      </c>
      <c r="EV23" s="72">
        <v>0</v>
      </c>
      <c r="EW23" s="72">
        <v>0</v>
      </c>
      <c r="EX23" s="72">
        <v>0</v>
      </c>
      <c r="EY23" s="72">
        <v>0</v>
      </c>
      <c r="EZ23" s="72">
        <v>0</v>
      </c>
      <c r="FA23" s="72">
        <v>0</v>
      </c>
      <c r="FB23" s="72">
        <v>0</v>
      </c>
      <c r="FC23" s="72">
        <v>0</v>
      </c>
      <c r="FD23" s="72">
        <v>0</v>
      </c>
      <c r="FE23" s="72">
        <v>0</v>
      </c>
      <c r="FF23" s="72">
        <v>1322.4413894944787</v>
      </c>
      <c r="FG23" s="72">
        <v>0</v>
      </c>
      <c r="FH23" s="72">
        <v>0</v>
      </c>
      <c r="FI23" s="72">
        <v>0</v>
      </c>
      <c r="FJ23" s="72">
        <v>0</v>
      </c>
      <c r="FK23" s="72">
        <v>0</v>
      </c>
      <c r="FL23" s="72">
        <v>0</v>
      </c>
      <c r="FM23" s="72">
        <v>0</v>
      </c>
      <c r="FN23" s="72">
        <v>0</v>
      </c>
      <c r="FO23" s="72">
        <v>0</v>
      </c>
      <c r="FP23" s="72">
        <v>0</v>
      </c>
      <c r="FQ23" s="72">
        <v>0</v>
      </c>
      <c r="FR23" s="72">
        <v>0</v>
      </c>
      <c r="FS23" s="72">
        <v>0</v>
      </c>
      <c r="FT23" s="72">
        <v>0</v>
      </c>
      <c r="FU23" s="72">
        <v>0</v>
      </c>
      <c r="FV23" s="72">
        <v>0</v>
      </c>
      <c r="FW23" s="72">
        <v>0</v>
      </c>
      <c r="FX23" s="72">
        <v>0</v>
      </c>
      <c r="FY23" s="72">
        <v>0</v>
      </c>
      <c r="FZ23" s="72">
        <v>0</v>
      </c>
      <c r="GA23" s="72">
        <v>0</v>
      </c>
      <c r="GB23" s="72">
        <v>0</v>
      </c>
      <c r="GC23" s="72">
        <v>0</v>
      </c>
      <c r="GD23" s="72">
        <v>0</v>
      </c>
      <c r="GE23" s="72">
        <v>0</v>
      </c>
      <c r="GF23" s="72">
        <v>0</v>
      </c>
      <c r="GG23" s="72">
        <v>0</v>
      </c>
      <c r="GH23" s="72">
        <v>0</v>
      </c>
      <c r="GI23" s="72">
        <v>0</v>
      </c>
      <c r="GJ23" s="72">
        <v>0</v>
      </c>
      <c r="GK23" s="72">
        <v>0</v>
      </c>
      <c r="GL23" s="72">
        <v>0</v>
      </c>
      <c r="GM23" s="72">
        <v>0</v>
      </c>
      <c r="GN23" s="72">
        <v>0</v>
      </c>
      <c r="GO23" s="72">
        <v>0</v>
      </c>
      <c r="GP23" s="72">
        <v>0</v>
      </c>
      <c r="GQ23" s="72">
        <v>0</v>
      </c>
      <c r="GR23" s="72">
        <f t="shared" si="0"/>
        <v>137585.11176869116</v>
      </c>
      <c r="GS23" s="72">
        <f>SUM(T$5:T$202)</f>
        <v>137585.11176869116</v>
      </c>
      <c r="GT23" s="73">
        <v>0</v>
      </c>
    </row>
    <row r="24" spans="1:202" outlineLevel="1" x14ac:dyDescent="0.2">
      <c r="A24" s="66" t="s">
        <v>235</v>
      </c>
      <c r="B24" s="72">
        <v>0</v>
      </c>
      <c r="C24" s="72">
        <v>0</v>
      </c>
      <c r="D24" s="72">
        <v>0</v>
      </c>
      <c r="E24" s="72">
        <v>0</v>
      </c>
      <c r="F24" s="72">
        <v>0</v>
      </c>
      <c r="G24" s="72">
        <v>0</v>
      </c>
      <c r="H24" s="72">
        <v>0</v>
      </c>
      <c r="I24" s="72">
        <v>0</v>
      </c>
      <c r="J24" s="72">
        <v>0</v>
      </c>
      <c r="K24" s="72">
        <v>0</v>
      </c>
      <c r="L24" s="72">
        <v>0</v>
      </c>
      <c r="M24" s="72">
        <v>0</v>
      </c>
      <c r="N24" s="72">
        <v>0</v>
      </c>
      <c r="O24" s="72">
        <v>0</v>
      </c>
      <c r="P24" s="72">
        <v>0</v>
      </c>
      <c r="Q24" s="72">
        <v>0</v>
      </c>
      <c r="R24" s="72">
        <v>0</v>
      </c>
      <c r="S24" s="72">
        <v>0</v>
      </c>
      <c r="T24" s="72">
        <v>0</v>
      </c>
      <c r="U24" s="72">
        <v>0</v>
      </c>
      <c r="V24" s="72">
        <v>0</v>
      </c>
      <c r="W24" s="72">
        <v>0</v>
      </c>
      <c r="X24" s="72">
        <v>0</v>
      </c>
      <c r="Y24" s="72">
        <v>0</v>
      </c>
      <c r="Z24" s="72">
        <v>0</v>
      </c>
      <c r="AA24" s="72">
        <v>0</v>
      </c>
      <c r="AB24" s="72">
        <v>0</v>
      </c>
      <c r="AC24" s="72">
        <v>0</v>
      </c>
      <c r="AD24" s="72">
        <v>0</v>
      </c>
      <c r="AE24" s="72">
        <v>0</v>
      </c>
      <c r="AF24" s="72">
        <v>0</v>
      </c>
      <c r="AG24" s="72">
        <v>0</v>
      </c>
      <c r="AH24" s="72">
        <v>0</v>
      </c>
      <c r="AI24" s="72">
        <v>0</v>
      </c>
      <c r="AJ24" s="72">
        <v>0</v>
      </c>
      <c r="AK24" s="72">
        <v>0</v>
      </c>
      <c r="AL24" s="72">
        <v>0</v>
      </c>
      <c r="AM24" s="72">
        <v>0</v>
      </c>
      <c r="AN24" s="72">
        <v>0</v>
      </c>
      <c r="AO24" s="72">
        <v>0</v>
      </c>
      <c r="AP24" s="72">
        <v>0</v>
      </c>
      <c r="AQ24" s="72">
        <v>0</v>
      </c>
      <c r="AR24" s="72">
        <v>0</v>
      </c>
      <c r="AS24" s="72">
        <v>0</v>
      </c>
      <c r="AT24" s="72">
        <v>0</v>
      </c>
      <c r="AU24" s="72">
        <v>0</v>
      </c>
      <c r="AV24" s="72">
        <v>0</v>
      </c>
      <c r="AW24" s="72">
        <v>0</v>
      </c>
      <c r="AX24" s="72">
        <v>0</v>
      </c>
      <c r="AY24" s="72">
        <v>0</v>
      </c>
      <c r="AZ24" s="72">
        <v>0</v>
      </c>
      <c r="BA24" s="72">
        <v>0</v>
      </c>
      <c r="BB24" s="72">
        <v>0</v>
      </c>
      <c r="BC24" s="72">
        <v>0</v>
      </c>
      <c r="BD24" s="72">
        <v>0</v>
      </c>
      <c r="BE24" s="72">
        <v>0</v>
      </c>
      <c r="BF24" s="72">
        <v>0</v>
      </c>
      <c r="BG24" s="72">
        <v>0</v>
      </c>
      <c r="BH24" s="72">
        <v>0</v>
      </c>
      <c r="BI24" s="72">
        <v>0</v>
      </c>
      <c r="BJ24" s="72">
        <v>0</v>
      </c>
      <c r="BK24" s="72">
        <v>0</v>
      </c>
      <c r="BL24" s="72">
        <v>0</v>
      </c>
      <c r="BM24" s="72">
        <v>0</v>
      </c>
      <c r="BN24" s="72">
        <v>0</v>
      </c>
      <c r="BO24" s="72">
        <v>0</v>
      </c>
      <c r="BP24" s="72">
        <v>0</v>
      </c>
      <c r="BQ24" s="72">
        <v>0</v>
      </c>
      <c r="BR24" s="72">
        <v>0</v>
      </c>
      <c r="BS24" s="72">
        <v>0</v>
      </c>
      <c r="BT24" s="72">
        <v>0</v>
      </c>
      <c r="BU24" s="72">
        <v>0</v>
      </c>
      <c r="BV24" s="72">
        <v>0</v>
      </c>
      <c r="BW24" s="72">
        <v>0</v>
      </c>
      <c r="BX24" s="72">
        <v>0</v>
      </c>
      <c r="BY24" s="72">
        <v>0</v>
      </c>
      <c r="BZ24" s="72">
        <v>0</v>
      </c>
      <c r="CA24" s="72">
        <v>0</v>
      </c>
      <c r="CB24" s="72">
        <v>0</v>
      </c>
      <c r="CC24" s="72">
        <v>0</v>
      </c>
      <c r="CD24" s="72">
        <v>0</v>
      </c>
      <c r="CE24" s="72">
        <v>0</v>
      </c>
      <c r="CF24" s="72">
        <v>0</v>
      </c>
      <c r="CG24" s="72">
        <v>0</v>
      </c>
      <c r="CH24" s="72">
        <v>0</v>
      </c>
      <c r="CI24" s="72">
        <v>0</v>
      </c>
      <c r="CJ24" s="72">
        <v>0</v>
      </c>
      <c r="CK24" s="72">
        <v>0</v>
      </c>
      <c r="CL24" s="72">
        <v>0</v>
      </c>
      <c r="CM24" s="72">
        <v>0</v>
      </c>
      <c r="CN24" s="72">
        <v>0</v>
      </c>
      <c r="CO24" s="72">
        <v>4.6138040268891585</v>
      </c>
      <c r="CP24" s="72">
        <v>0</v>
      </c>
      <c r="CQ24" s="72">
        <v>0</v>
      </c>
      <c r="CR24" s="72">
        <v>0</v>
      </c>
      <c r="CS24" s="72">
        <v>31.849692279304946</v>
      </c>
      <c r="CT24" s="72">
        <v>0</v>
      </c>
      <c r="CU24" s="72">
        <v>0</v>
      </c>
      <c r="CV24" s="72">
        <v>0</v>
      </c>
      <c r="CW24" s="72">
        <v>0</v>
      </c>
      <c r="CX24" s="72">
        <v>0</v>
      </c>
      <c r="CY24" s="72">
        <v>44.563050045002591</v>
      </c>
      <c r="CZ24" s="72">
        <v>7.3157601446566396</v>
      </c>
      <c r="DA24" s="72">
        <v>0</v>
      </c>
      <c r="DB24" s="72">
        <v>0</v>
      </c>
      <c r="DC24" s="72">
        <v>58.651398126516099</v>
      </c>
      <c r="DD24" s="72">
        <v>20747.439877553334</v>
      </c>
      <c r="DE24" s="72">
        <v>0</v>
      </c>
      <c r="DF24" s="72">
        <v>0</v>
      </c>
      <c r="DG24" s="72">
        <v>0</v>
      </c>
      <c r="DH24" s="72">
        <v>0</v>
      </c>
      <c r="DI24" s="72">
        <v>0</v>
      </c>
      <c r="DJ24" s="72">
        <v>0</v>
      </c>
      <c r="DK24" s="72">
        <v>0</v>
      </c>
      <c r="DL24" s="72">
        <v>0</v>
      </c>
      <c r="DM24" s="72">
        <v>0</v>
      </c>
      <c r="DN24" s="72">
        <v>0</v>
      </c>
      <c r="DO24" s="72">
        <v>0</v>
      </c>
      <c r="DP24" s="72">
        <v>0</v>
      </c>
      <c r="DQ24" s="72">
        <v>0</v>
      </c>
      <c r="DR24" s="72">
        <v>0</v>
      </c>
      <c r="DS24" s="72">
        <v>0</v>
      </c>
      <c r="DT24" s="72">
        <v>0</v>
      </c>
      <c r="DU24" s="72">
        <v>0</v>
      </c>
      <c r="DV24" s="72">
        <v>0</v>
      </c>
      <c r="DW24" s="72">
        <v>0</v>
      </c>
      <c r="DX24" s="72">
        <v>0</v>
      </c>
      <c r="DY24" s="72">
        <v>0</v>
      </c>
      <c r="DZ24" s="72">
        <v>0</v>
      </c>
      <c r="EA24" s="72">
        <v>12.201775732317685</v>
      </c>
      <c r="EB24" s="72">
        <v>0</v>
      </c>
      <c r="EC24" s="72">
        <v>0</v>
      </c>
      <c r="ED24" s="72">
        <v>0</v>
      </c>
      <c r="EE24" s="72">
        <v>0</v>
      </c>
      <c r="EF24" s="72">
        <v>0</v>
      </c>
      <c r="EG24" s="72">
        <v>0</v>
      </c>
      <c r="EH24" s="72">
        <v>0</v>
      </c>
      <c r="EI24" s="72">
        <v>0</v>
      </c>
      <c r="EJ24" s="72">
        <v>0</v>
      </c>
      <c r="EK24" s="72">
        <v>0</v>
      </c>
      <c r="EL24" s="72">
        <v>0</v>
      </c>
      <c r="EM24" s="72">
        <v>0</v>
      </c>
      <c r="EN24" s="72">
        <v>0</v>
      </c>
      <c r="EO24" s="72">
        <v>0</v>
      </c>
      <c r="EP24" s="72">
        <v>0</v>
      </c>
      <c r="EQ24" s="72">
        <v>0</v>
      </c>
      <c r="ER24" s="72">
        <v>0</v>
      </c>
      <c r="ES24" s="72">
        <v>0</v>
      </c>
      <c r="ET24" s="72">
        <v>0</v>
      </c>
      <c r="EU24" s="72">
        <v>0</v>
      </c>
      <c r="EV24" s="72">
        <v>0</v>
      </c>
      <c r="EW24" s="72">
        <v>0</v>
      </c>
      <c r="EX24" s="72">
        <v>0</v>
      </c>
      <c r="EY24" s="72">
        <v>0</v>
      </c>
      <c r="EZ24" s="72">
        <v>0</v>
      </c>
      <c r="FA24" s="72">
        <v>0</v>
      </c>
      <c r="FB24" s="72">
        <v>0</v>
      </c>
      <c r="FC24" s="72">
        <v>0</v>
      </c>
      <c r="FD24" s="72">
        <v>0</v>
      </c>
      <c r="FE24" s="72">
        <v>0</v>
      </c>
      <c r="FF24" s="72">
        <v>150.27388334899516</v>
      </c>
      <c r="FG24" s="72">
        <v>0</v>
      </c>
      <c r="FH24" s="72">
        <v>0</v>
      </c>
      <c r="FI24" s="72">
        <v>0</v>
      </c>
      <c r="FJ24" s="72">
        <v>0</v>
      </c>
      <c r="FK24" s="72">
        <v>0</v>
      </c>
      <c r="FL24" s="72">
        <v>0</v>
      </c>
      <c r="FM24" s="72">
        <v>0</v>
      </c>
      <c r="FN24" s="72">
        <v>0</v>
      </c>
      <c r="FO24" s="72">
        <v>0</v>
      </c>
      <c r="FP24" s="72">
        <v>0</v>
      </c>
      <c r="FQ24" s="72">
        <v>0</v>
      </c>
      <c r="FR24" s="72">
        <v>0</v>
      </c>
      <c r="FS24" s="72">
        <v>0</v>
      </c>
      <c r="FT24" s="72">
        <v>0</v>
      </c>
      <c r="FU24" s="72">
        <v>0</v>
      </c>
      <c r="FV24" s="72">
        <v>0</v>
      </c>
      <c r="FW24" s="72">
        <v>0</v>
      </c>
      <c r="FX24" s="72">
        <v>0</v>
      </c>
      <c r="FY24" s="72">
        <v>0</v>
      </c>
      <c r="FZ24" s="72">
        <v>0</v>
      </c>
      <c r="GA24" s="72">
        <v>0</v>
      </c>
      <c r="GB24" s="72">
        <v>0</v>
      </c>
      <c r="GC24" s="72">
        <v>0</v>
      </c>
      <c r="GD24" s="72">
        <v>0</v>
      </c>
      <c r="GE24" s="72">
        <v>0</v>
      </c>
      <c r="GF24" s="72">
        <v>0</v>
      </c>
      <c r="GG24" s="72">
        <v>0</v>
      </c>
      <c r="GH24" s="72">
        <v>0</v>
      </c>
      <c r="GI24" s="72">
        <v>0</v>
      </c>
      <c r="GJ24" s="72">
        <v>0</v>
      </c>
      <c r="GK24" s="72">
        <v>0</v>
      </c>
      <c r="GL24" s="72">
        <v>0</v>
      </c>
      <c r="GM24" s="72">
        <v>0</v>
      </c>
      <c r="GN24" s="72">
        <v>0</v>
      </c>
      <c r="GO24" s="72">
        <v>0</v>
      </c>
      <c r="GP24" s="72">
        <v>0</v>
      </c>
      <c r="GQ24" s="72">
        <v>0</v>
      </c>
      <c r="GR24" s="72">
        <f t="shared" si="0"/>
        <v>21056.909241257017</v>
      </c>
      <c r="GS24" s="72">
        <f>SUM(U$5:U$202)</f>
        <v>21056.909241257006</v>
      </c>
      <c r="GT24" s="73">
        <v>0</v>
      </c>
    </row>
    <row r="25" spans="1:202" outlineLevel="1" x14ac:dyDescent="0.2">
      <c r="A25" s="66" t="s">
        <v>238</v>
      </c>
      <c r="B25" s="72">
        <v>0</v>
      </c>
      <c r="C25" s="72">
        <v>0</v>
      </c>
      <c r="D25" s="72">
        <v>0</v>
      </c>
      <c r="E25" s="72">
        <v>0</v>
      </c>
      <c r="F25" s="72">
        <v>0</v>
      </c>
      <c r="G25" s="72">
        <v>0</v>
      </c>
      <c r="H25" s="72">
        <v>0</v>
      </c>
      <c r="I25" s="72">
        <v>0</v>
      </c>
      <c r="J25" s="72">
        <v>0</v>
      </c>
      <c r="K25" s="72">
        <v>0</v>
      </c>
      <c r="L25" s="72">
        <v>0</v>
      </c>
      <c r="M25" s="72">
        <v>0</v>
      </c>
      <c r="N25" s="72">
        <v>0</v>
      </c>
      <c r="O25" s="72">
        <v>0</v>
      </c>
      <c r="P25" s="72">
        <v>0</v>
      </c>
      <c r="Q25" s="72">
        <v>0</v>
      </c>
      <c r="R25" s="72">
        <v>0</v>
      </c>
      <c r="S25" s="72">
        <v>0</v>
      </c>
      <c r="T25" s="72">
        <v>0</v>
      </c>
      <c r="U25" s="72">
        <v>0</v>
      </c>
      <c r="V25" s="72">
        <v>0</v>
      </c>
      <c r="W25" s="72">
        <v>0</v>
      </c>
      <c r="X25" s="72">
        <v>0</v>
      </c>
      <c r="Y25" s="72">
        <v>0</v>
      </c>
      <c r="Z25" s="72">
        <v>0</v>
      </c>
      <c r="AA25" s="72">
        <v>0</v>
      </c>
      <c r="AB25" s="72">
        <v>0</v>
      </c>
      <c r="AC25" s="72">
        <v>0</v>
      </c>
      <c r="AD25" s="72">
        <v>0</v>
      </c>
      <c r="AE25" s="72">
        <v>0</v>
      </c>
      <c r="AF25" s="72">
        <v>0</v>
      </c>
      <c r="AG25" s="72">
        <v>0</v>
      </c>
      <c r="AH25" s="72">
        <v>0</v>
      </c>
      <c r="AI25" s="72">
        <v>0</v>
      </c>
      <c r="AJ25" s="72">
        <v>0</v>
      </c>
      <c r="AK25" s="72">
        <v>0</v>
      </c>
      <c r="AL25" s="72">
        <v>0</v>
      </c>
      <c r="AM25" s="72">
        <v>0</v>
      </c>
      <c r="AN25" s="72">
        <v>0</v>
      </c>
      <c r="AO25" s="72">
        <v>0</v>
      </c>
      <c r="AP25" s="72">
        <v>0</v>
      </c>
      <c r="AQ25" s="72">
        <v>0</v>
      </c>
      <c r="AR25" s="72">
        <v>0</v>
      </c>
      <c r="AS25" s="72">
        <v>0</v>
      </c>
      <c r="AT25" s="72">
        <v>0</v>
      </c>
      <c r="AU25" s="72">
        <v>0</v>
      </c>
      <c r="AV25" s="72">
        <v>0</v>
      </c>
      <c r="AW25" s="72">
        <v>0</v>
      </c>
      <c r="AX25" s="72">
        <v>0</v>
      </c>
      <c r="AY25" s="72">
        <v>0</v>
      </c>
      <c r="AZ25" s="72">
        <v>0</v>
      </c>
      <c r="BA25" s="72">
        <v>0</v>
      </c>
      <c r="BB25" s="72">
        <v>0</v>
      </c>
      <c r="BC25" s="72">
        <v>0</v>
      </c>
      <c r="BD25" s="72">
        <v>0</v>
      </c>
      <c r="BE25" s="72">
        <v>0</v>
      </c>
      <c r="BF25" s="72">
        <v>0</v>
      </c>
      <c r="BG25" s="72">
        <v>0</v>
      </c>
      <c r="BH25" s="72">
        <v>0</v>
      </c>
      <c r="BI25" s="72">
        <v>0</v>
      </c>
      <c r="BJ25" s="72">
        <v>0</v>
      </c>
      <c r="BK25" s="72">
        <v>0</v>
      </c>
      <c r="BL25" s="72">
        <v>0</v>
      </c>
      <c r="BM25" s="72">
        <v>0</v>
      </c>
      <c r="BN25" s="72">
        <v>0</v>
      </c>
      <c r="BO25" s="72">
        <v>0</v>
      </c>
      <c r="BP25" s="72">
        <v>0</v>
      </c>
      <c r="BQ25" s="72">
        <v>0</v>
      </c>
      <c r="BR25" s="72">
        <v>0</v>
      </c>
      <c r="BS25" s="72">
        <v>0</v>
      </c>
      <c r="BT25" s="72">
        <v>0</v>
      </c>
      <c r="BU25" s="72">
        <v>0</v>
      </c>
      <c r="BV25" s="72">
        <v>0</v>
      </c>
      <c r="BW25" s="72">
        <v>0</v>
      </c>
      <c r="BX25" s="72">
        <v>0</v>
      </c>
      <c r="BY25" s="72">
        <v>0</v>
      </c>
      <c r="BZ25" s="72">
        <v>0</v>
      </c>
      <c r="CA25" s="72">
        <v>0</v>
      </c>
      <c r="CB25" s="72">
        <v>0</v>
      </c>
      <c r="CC25" s="72">
        <v>0</v>
      </c>
      <c r="CD25" s="72">
        <v>0</v>
      </c>
      <c r="CE25" s="72">
        <v>0</v>
      </c>
      <c r="CF25" s="72">
        <v>0</v>
      </c>
      <c r="CG25" s="72">
        <v>0</v>
      </c>
      <c r="CH25" s="72">
        <v>0</v>
      </c>
      <c r="CI25" s="72">
        <v>0</v>
      </c>
      <c r="CJ25" s="72">
        <v>0</v>
      </c>
      <c r="CK25" s="72">
        <v>0</v>
      </c>
      <c r="CL25" s="72">
        <v>0</v>
      </c>
      <c r="CM25" s="72">
        <v>580.58951192413178</v>
      </c>
      <c r="CN25" s="72">
        <v>35.390987599053922</v>
      </c>
      <c r="CO25" s="72">
        <v>0</v>
      </c>
      <c r="CP25" s="72">
        <v>0</v>
      </c>
      <c r="CQ25" s="72">
        <v>21.567861962001654</v>
      </c>
      <c r="CR25" s="72">
        <v>0</v>
      </c>
      <c r="CS25" s="72">
        <v>35.959751170400693</v>
      </c>
      <c r="CT25" s="72">
        <v>4.8852883242701228</v>
      </c>
      <c r="CU25" s="72">
        <v>5184.0741559305316</v>
      </c>
      <c r="CV25" s="72">
        <v>6.3467067831657173</v>
      </c>
      <c r="CW25" s="72">
        <v>0</v>
      </c>
      <c r="CX25" s="72">
        <v>0</v>
      </c>
      <c r="CY25" s="72">
        <v>96.499640377615179</v>
      </c>
      <c r="CZ25" s="72">
        <v>0</v>
      </c>
      <c r="DA25" s="72">
        <v>0</v>
      </c>
      <c r="DB25" s="72">
        <v>0</v>
      </c>
      <c r="DC25" s="72">
        <v>5.2091796404721773</v>
      </c>
      <c r="DD25" s="72">
        <v>0</v>
      </c>
      <c r="DE25" s="72">
        <v>36464.234038089315</v>
      </c>
      <c r="DF25" s="72">
        <v>2527.3751724631152</v>
      </c>
      <c r="DG25" s="72">
        <v>0</v>
      </c>
      <c r="DH25" s="72">
        <v>0</v>
      </c>
      <c r="DI25" s="72">
        <v>0</v>
      </c>
      <c r="DJ25" s="72">
        <v>0.18148333803278627</v>
      </c>
      <c r="DK25" s="72">
        <v>0</v>
      </c>
      <c r="DL25" s="72">
        <v>495.93144226782329</v>
      </c>
      <c r="DM25" s="72">
        <v>0</v>
      </c>
      <c r="DN25" s="72">
        <v>113.25341800443135</v>
      </c>
      <c r="DO25" s="72">
        <v>0</v>
      </c>
      <c r="DP25" s="72">
        <v>0</v>
      </c>
      <c r="DQ25" s="72">
        <v>0</v>
      </c>
      <c r="DR25" s="72">
        <v>26.790066722428339</v>
      </c>
      <c r="DS25" s="72">
        <v>0</v>
      </c>
      <c r="DT25" s="72">
        <v>3246.7421274545281</v>
      </c>
      <c r="DU25" s="72">
        <v>0</v>
      </c>
      <c r="DV25" s="72">
        <v>0</v>
      </c>
      <c r="DW25" s="72">
        <v>15.004938187591137</v>
      </c>
      <c r="DX25" s="72">
        <v>8.2188506912934063</v>
      </c>
      <c r="DY25" s="72">
        <v>0</v>
      </c>
      <c r="DZ25" s="72">
        <v>0</v>
      </c>
      <c r="EA25" s="72">
        <v>0</v>
      </c>
      <c r="EB25" s="72">
        <v>7.7534197382523873</v>
      </c>
      <c r="EC25" s="72">
        <v>5.6754789348434977</v>
      </c>
      <c r="ED25" s="72">
        <v>0</v>
      </c>
      <c r="EE25" s="72">
        <v>0</v>
      </c>
      <c r="EF25" s="72">
        <v>0</v>
      </c>
      <c r="EG25" s="72">
        <v>0</v>
      </c>
      <c r="EH25" s="72">
        <v>0</v>
      </c>
      <c r="EI25" s="72">
        <v>0</v>
      </c>
      <c r="EJ25" s="72">
        <v>0</v>
      </c>
      <c r="EK25" s="72">
        <v>0</v>
      </c>
      <c r="EL25" s="72">
        <v>0</v>
      </c>
      <c r="EM25" s="72">
        <v>0</v>
      </c>
      <c r="EN25" s="72">
        <v>0</v>
      </c>
      <c r="EO25" s="72">
        <v>0</v>
      </c>
      <c r="EP25" s="72">
        <v>0</v>
      </c>
      <c r="EQ25" s="72">
        <v>0</v>
      </c>
      <c r="ER25" s="72">
        <v>0</v>
      </c>
      <c r="ES25" s="72">
        <v>0</v>
      </c>
      <c r="ET25" s="72">
        <v>0</v>
      </c>
      <c r="EU25" s="72">
        <v>0</v>
      </c>
      <c r="EV25" s="72">
        <v>0</v>
      </c>
      <c r="EW25" s="72">
        <v>0</v>
      </c>
      <c r="EX25" s="72">
        <v>0</v>
      </c>
      <c r="EY25" s="72">
        <v>0</v>
      </c>
      <c r="EZ25" s="72">
        <v>0</v>
      </c>
      <c r="FA25" s="72">
        <v>0</v>
      </c>
      <c r="FB25" s="72">
        <v>0</v>
      </c>
      <c r="FC25" s="72">
        <v>0</v>
      </c>
      <c r="FD25" s="72">
        <v>0</v>
      </c>
      <c r="FE25" s="72">
        <v>0</v>
      </c>
      <c r="FF25" s="72">
        <v>206.79226858619992</v>
      </c>
      <c r="FG25" s="72">
        <v>0</v>
      </c>
      <c r="FH25" s="72">
        <v>0</v>
      </c>
      <c r="FI25" s="72">
        <v>0</v>
      </c>
      <c r="FJ25" s="72">
        <v>0</v>
      </c>
      <c r="FK25" s="72">
        <v>0</v>
      </c>
      <c r="FL25" s="72">
        <v>0</v>
      </c>
      <c r="FM25" s="72">
        <v>0</v>
      </c>
      <c r="FN25" s="72">
        <v>0</v>
      </c>
      <c r="FO25" s="72">
        <v>0</v>
      </c>
      <c r="FP25" s="72">
        <v>0</v>
      </c>
      <c r="FQ25" s="72">
        <v>0</v>
      </c>
      <c r="FR25" s="72">
        <v>0</v>
      </c>
      <c r="FS25" s="72">
        <v>0</v>
      </c>
      <c r="FT25" s="72">
        <v>0</v>
      </c>
      <c r="FU25" s="72">
        <v>0</v>
      </c>
      <c r="FV25" s="72">
        <v>0</v>
      </c>
      <c r="FW25" s="72">
        <v>0</v>
      </c>
      <c r="FX25" s="72">
        <v>0</v>
      </c>
      <c r="FY25" s="72">
        <v>0</v>
      </c>
      <c r="FZ25" s="72">
        <v>0</v>
      </c>
      <c r="GA25" s="72">
        <v>0</v>
      </c>
      <c r="GB25" s="72">
        <v>0</v>
      </c>
      <c r="GC25" s="72">
        <v>0</v>
      </c>
      <c r="GD25" s="72">
        <v>0</v>
      </c>
      <c r="GE25" s="72">
        <v>0</v>
      </c>
      <c r="GF25" s="72">
        <v>0</v>
      </c>
      <c r="GG25" s="72">
        <v>0</v>
      </c>
      <c r="GH25" s="72">
        <v>0</v>
      </c>
      <c r="GI25" s="72">
        <v>0</v>
      </c>
      <c r="GJ25" s="72">
        <v>0</v>
      </c>
      <c r="GK25" s="72">
        <v>0</v>
      </c>
      <c r="GL25" s="72">
        <v>0</v>
      </c>
      <c r="GM25" s="72">
        <v>0</v>
      </c>
      <c r="GN25" s="72">
        <v>0</v>
      </c>
      <c r="GO25" s="72">
        <v>0</v>
      </c>
      <c r="GP25" s="72">
        <v>0</v>
      </c>
      <c r="GQ25" s="72">
        <v>0</v>
      </c>
      <c r="GR25" s="72">
        <f t="shared" si="0"/>
        <v>49088.475788189498</v>
      </c>
      <c r="GS25" s="72">
        <f>SUM(V$5:V$202)</f>
        <v>49088.475788189506</v>
      </c>
      <c r="GT25" s="73">
        <v>0</v>
      </c>
    </row>
    <row r="26" spans="1:202" outlineLevel="1" x14ac:dyDescent="0.2">
      <c r="A26" s="66" t="s">
        <v>243</v>
      </c>
      <c r="B26" s="72">
        <v>0</v>
      </c>
      <c r="C26" s="72">
        <v>0</v>
      </c>
      <c r="D26" s="72">
        <v>0</v>
      </c>
      <c r="E26" s="72">
        <v>0</v>
      </c>
      <c r="F26" s="72">
        <v>0</v>
      </c>
      <c r="G26" s="72">
        <v>0</v>
      </c>
      <c r="H26" s="72">
        <v>0</v>
      </c>
      <c r="I26" s="72">
        <v>0</v>
      </c>
      <c r="J26" s="72">
        <v>0</v>
      </c>
      <c r="K26" s="72">
        <v>0</v>
      </c>
      <c r="L26" s="72">
        <v>0</v>
      </c>
      <c r="M26" s="72">
        <v>0</v>
      </c>
      <c r="N26" s="72">
        <v>0</v>
      </c>
      <c r="O26" s="72">
        <v>0</v>
      </c>
      <c r="P26" s="72">
        <v>0</v>
      </c>
      <c r="Q26" s="72">
        <v>0</v>
      </c>
      <c r="R26" s="72">
        <v>0</v>
      </c>
      <c r="S26" s="72">
        <v>0</v>
      </c>
      <c r="T26" s="72">
        <v>0</v>
      </c>
      <c r="U26" s="72">
        <v>0</v>
      </c>
      <c r="V26" s="72">
        <v>0</v>
      </c>
      <c r="W26" s="72">
        <v>0</v>
      </c>
      <c r="X26" s="72">
        <v>0</v>
      </c>
      <c r="Y26" s="72">
        <v>0</v>
      </c>
      <c r="Z26" s="72">
        <v>0</v>
      </c>
      <c r="AA26" s="72">
        <v>0</v>
      </c>
      <c r="AB26" s="72">
        <v>0</v>
      </c>
      <c r="AC26" s="72">
        <v>0</v>
      </c>
      <c r="AD26" s="72">
        <v>0</v>
      </c>
      <c r="AE26" s="72">
        <v>0</v>
      </c>
      <c r="AF26" s="72">
        <v>0</v>
      </c>
      <c r="AG26" s="72">
        <v>0</v>
      </c>
      <c r="AH26" s="72">
        <v>0</v>
      </c>
      <c r="AI26" s="72">
        <v>0</v>
      </c>
      <c r="AJ26" s="72">
        <v>0</v>
      </c>
      <c r="AK26" s="72">
        <v>0</v>
      </c>
      <c r="AL26" s="72">
        <v>0</v>
      </c>
      <c r="AM26" s="72">
        <v>0</v>
      </c>
      <c r="AN26" s="72">
        <v>0</v>
      </c>
      <c r="AO26" s="72">
        <v>0</v>
      </c>
      <c r="AP26" s="72">
        <v>0</v>
      </c>
      <c r="AQ26" s="72">
        <v>0</v>
      </c>
      <c r="AR26" s="72">
        <v>0</v>
      </c>
      <c r="AS26" s="72">
        <v>0</v>
      </c>
      <c r="AT26" s="72">
        <v>0</v>
      </c>
      <c r="AU26" s="72">
        <v>0</v>
      </c>
      <c r="AV26" s="72">
        <v>0</v>
      </c>
      <c r="AW26" s="72">
        <v>0</v>
      </c>
      <c r="AX26" s="72">
        <v>0</v>
      </c>
      <c r="AY26" s="72">
        <v>0</v>
      </c>
      <c r="AZ26" s="72">
        <v>0</v>
      </c>
      <c r="BA26" s="72">
        <v>0</v>
      </c>
      <c r="BB26" s="72">
        <v>0</v>
      </c>
      <c r="BC26" s="72">
        <v>0</v>
      </c>
      <c r="BD26" s="72">
        <v>0</v>
      </c>
      <c r="BE26" s="72">
        <v>0</v>
      </c>
      <c r="BF26" s="72">
        <v>0</v>
      </c>
      <c r="BG26" s="72">
        <v>0</v>
      </c>
      <c r="BH26" s="72">
        <v>0</v>
      </c>
      <c r="BI26" s="72">
        <v>0</v>
      </c>
      <c r="BJ26" s="72">
        <v>0</v>
      </c>
      <c r="BK26" s="72">
        <v>0</v>
      </c>
      <c r="BL26" s="72">
        <v>0</v>
      </c>
      <c r="BM26" s="72">
        <v>0</v>
      </c>
      <c r="BN26" s="72">
        <v>0</v>
      </c>
      <c r="BO26" s="72">
        <v>0</v>
      </c>
      <c r="BP26" s="72">
        <v>0</v>
      </c>
      <c r="BQ26" s="72">
        <v>0</v>
      </c>
      <c r="BR26" s="72">
        <v>0</v>
      </c>
      <c r="BS26" s="72">
        <v>0</v>
      </c>
      <c r="BT26" s="72">
        <v>0</v>
      </c>
      <c r="BU26" s="72">
        <v>0</v>
      </c>
      <c r="BV26" s="72">
        <v>0</v>
      </c>
      <c r="BW26" s="72">
        <v>0</v>
      </c>
      <c r="BX26" s="72">
        <v>0</v>
      </c>
      <c r="BY26" s="72">
        <v>0</v>
      </c>
      <c r="BZ26" s="72">
        <v>0</v>
      </c>
      <c r="CA26" s="72">
        <v>0</v>
      </c>
      <c r="CB26" s="72">
        <v>0</v>
      </c>
      <c r="CC26" s="72">
        <v>0</v>
      </c>
      <c r="CD26" s="72">
        <v>0</v>
      </c>
      <c r="CE26" s="72">
        <v>0</v>
      </c>
      <c r="CF26" s="72">
        <v>0</v>
      </c>
      <c r="CG26" s="72">
        <v>0</v>
      </c>
      <c r="CH26" s="72">
        <v>0</v>
      </c>
      <c r="CI26" s="72">
        <v>0</v>
      </c>
      <c r="CJ26" s="72">
        <v>0</v>
      </c>
      <c r="CK26" s="72">
        <v>0</v>
      </c>
      <c r="CL26" s="72">
        <v>0</v>
      </c>
      <c r="CM26" s="72">
        <v>0</v>
      </c>
      <c r="CN26" s="72">
        <v>0</v>
      </c>
      <c r="CO26" s="72">
        <v>0</v>
      </c>
      <c r="CP26" s="72">
        <v>0</v>
      </c>
      <c r="CQ26" s="72">
        <v>0</v>
      </c>
      <c r="CR26" s="72">
        <v>0</v>
      </c>
      <c r="CS26" s="72">
        <v>0</v>
      </c>
      <c r="CT26" s="72">
        <v>0</v>
      </c>
      <c r="CU26" s="72">
        <v>0</v>
      </c>
      <c r="CV26" s="72">
        <v>0</v>
      </c>
      <c r="CW26" s="72">
        <v>0</v>
      </c>
      <c r="CX26" s="72">
        <v>0</v>
      </c>
      <c r="CY26" s="72">
        <v>0</v>
      </c>
      <c r="CZ26" s="72">
        <v>0</v>
      </c>
      <c r="DA26" s="72">
        <v>0</v>
      </c>
      <c r="DB26" s="72">
        <v>0</v>
      </c>
      <c r="DC26" s="72">
        <v>0</v>
      </c>
      <c r="DD26" s="72">
        <v>0</v>
      </c>
      <c r="DE26" s="72">
        <v>0</v>
      </c>
      <c r="DF26" s="72">
        <v>10015.073767569511</v>
      </c>
      <c r="DG26" s="72">
        <v>0</v>
      </c>
      <c r="DH26" s="72">
        <v>0</v>
      </c>
      <c r="DI26" s="72">
        <v>0</v>
      </c>
      <c r="DJ26" s="72">
        <v>0</v>
      </c>
      <c r="DK26" s="72">
        <v>0</v>
      </c>
      <c r="DL26" s="72">
        <v>0</v>
      </c>
      <c r="DM26" s="72">
        <v>0</v>
      </c>
      <c r="DN26" s="72">
        <v>0</v>
      </c>
      <c r="DO26" s="72">
        <v>0</v>
      </c>
      <c r="DP26" s="72">
        <v>0</v>
      </c>
      <c r="DQ26" s="72">
        <v>0</v>
      </c>
      <c r="DR26" s="72">
        <v>0</v>
      </c>
      <c r="DS26" s="72">
        <v>0</v>
      </c>
      <c r="DT26" s="72">
        <v>0</v>
      </c>
      <c r="DU26" s="72">
        <v>0</v>
      </c>
      <c r="DV26" s="72">
        <v>0</v>
      </c>
      <c r="DW26" s="72">
        <v>0</v>
      </c>
      <c r="DX26" s="72">
        <v>0</v>
      </c>
      <c r="DY26" s="72">
        <v>0</v>
      </c>
      <c r="DZ26" s="72">
        <v>0</v>
      </c>
      <c r="EA26" s="72">
        <v>0</v>
      </c>
      <c r="EB26" s="72">
        <v>0</v>
      </c>
      <c r="EC26" s="72">
        <v>0</v>
      </c>
      <c r="ED26" s="72">
        <v>0</v>
      </c>
      <c r="EE26" s="72">
        <v>0</v>
      </c>
      <c r="EF26" s="72">
        <v>0</v>
      </c>
      <c r="EG26" s="72">
        <v>0</v>
      </c>
      <c r="EH26" s="72">
        <v>0</v>
      </c>
      <c r="EI26" s="72">
        <v>0</v>
      </c>
      <c r="EJ26" s="72">
        <v>0</v>
      </c>
      <c r="EK26" s="72">
        <v>0</v>
      </c>
      <c r="EL26" s="72">
        <v>0</v>
      </c>
      <c r="EM26" s="72">
        <v>0</v>
      </c>
      <c r="EN26" s="72">
        <v>0</v>
      </c>
      <c r="EO26" s="72">
        <v>0</v>
      </c>
      <c r="EP26" s="72">
        <v>0</v>
      </c>
      <c r="EQ26" s="72">
        <v>0</v>
      </c>
      <c r="ER26" s="72">
        <v>0</v>
      </c>
      <c r="ES26" s="72">
        <v>0</v>
      </c>
      <c r="ET26" s="72">
        <v>0</v>
      </c>
      <c r="EU26" s="72">
        <v>0</v>
      </c>
      <c r="EV26" s="72">
        <v>0</v>
      </c>
      <c r="EW26" s="72">
        <v>0</v>
      </c>
      <c r="EX26" s="72">
        <v>0</v>
      </c>
      <c r="EY26" s="72">
        <v>0</v>
      </c>
      <c r="EZ26" s="72">
        <v>0</v>
      </c>
      <c r="FA26" s="72">
        <v>0</v>
      </c>
      <c r="FB26" s="72">
        <v>0</v>
      </c>
      <c r="FC26" s="72">
        <v>0</v>
      </c>
      <c r="FD26" s="72">
        <v>0</v>
      </c>
      <c r="FE26" s="72">
        <v>0</v>
      </c>
      <c r="FF26" s="72">
        <v>142.54150811316956</v>
      </c>
      <c r="FG26" s="72">
        <v>0</v>
      </c>
      <c r="FH26" s="72">
        <v>0</v>
      </c>
      <c r="FI26" s="72">
        <v>0</v>
      </c>
      <c r="FJ26" s="72">
        <v>0</v>
      </c>
      <c r="FK26" s="72">
        <v>0</v>
      </c>
      <c r="FL26" s="72">
        <v>0</v>
      </c>
      <c r="FM26" s="72">
        <v>0</v>
      </c>
      <c r="FN26" s="72">
        <v>0</v>
      </c>
      <c r="FO26" s="72">
        <v>0</v>
      </c>
      <c r="FP26" s="72">
        <v>0</v>
      </c>
      <c r="FQ26" s="72">
        <v>0</v>
      </c>
      <c r="FR26" s="72">
        <v>0</v>
      </c>
      <c r="FS26" s="72">
        <v>0</v>
      </c>
      <c r="FT26" s="72">
        <v>0</v>
      </c>
      <c r="FU26" s="72">
        <v>0</v>
      </c>
      <c r="FV26" s="72">
        <v>0</v>
      </c>
      <c r="FW26" s="72">
        <v>0</v>
      </c>
      <c r="FX26" s="72">
        <v>0</v>
      </c>
      <c r="FY26" s="72">
        <v>0</v>
      </c>
      <c r="FZ26" s="72">
        <v>0</v>
      </c>
      <c r="GA26" s="72">
        <v>0</v>
      </c>
      <c r="GB26" s="72">
        <v>0</v>
      </c>
      <c r="GC26" s="72">
        <v>0</v>
      </c>
      <c r="GD26" s="72">
        <v>0</v>
      </c>
      <c r="GE26" s="72">
        <v>0</v>
      </c>
      <c r="GF26" s="72">
        <v>0</v>
      </c>
      <c r="GG26" s="72">
        <v>0</v>
      </c>
      <c r="GH26" s="72">
        <v>0</v>
      </c>
      <c r="GI26" s="72">
        <v>0</v>
      </c>
      <c r="GJ26" s="72">
        <v>0</v>
      </c>
      <c r="GK26" s="72">
        <v>0</v>
      </c>
      <c r="GL26" s="72">
        <v>0</v>
      </c>
      <c r="GM26" s="72">
        <v>0</v>
      </c>
      <c r="GN26" s="72">
        <v>0</v>
      </c>
      <c r="GO26" s="72">
        <v>0</v>
      </c>
      <c r="GP26" s="72">
        <v>0</v>
      </c>
      <c r="GQ26" s="72">
        <v>0</v>
      </c>
      <c r="GR26" s="72">
        <f t="shared" si="0"/>
        <v>10157.61527568268</v>
      </c>
      <c r="GS26" s="72">
        <f>SUM(W$5:W$202)</f>
        <v>10157.615275682676</v>
      </c>
      <c r="GT26" s="73">
        <v>0</v>
      </c>
    </row>
    <row r="27" spans="1:202" outlineLevel="1" x14ac:dyDescent="0.2">
      <c r="A27" s="66" t="s">
        <v>249</v>
      </c>
      <c r="B27" s="72">
        <v>0</v>
      </c>
      <c r="C27" s="72">
        <v>0</v>
      </c>
      <c r="D27" s="72">
        <v>0</v>
      </c>
      <c r="E27" s="72">
        <v>0</v>
      </c>
      <c r="F27" s="72">
        <v>0</v>
      </c>
      <c r="G27" s="72">
        <v>0</v>
      </c>
      <c r="H27" s="72">
        <v>0</v>
      </c>
      <c r="I27" s="72">
        <v>0</v>
      </c>
      <c r="J27" s="72">
        <v>0</v>
      </c>
      <c r="K27" s="72">
        <v>0</v>
      </c>
      <c r="L27" s="72">
        <v>0</v>
      </c>
      <c r="M27" s="72">
        <v>0</v>
      </c>
      <c r="N27" s="72">
        <v>0</v>
      </c>
      <c r="O27" s="72">
        <v>0</v>
      </c>
      <c r="P27" s="72">
        <v>0</v>
      </c>
      <c r="Q27" s="72">
        <v>0</v>
      </c>
      <c r="R27" s="72">
        <v>0</v>
      </c>
      <c r="S27" s="72">
        <v>0</v>
      </c>
      <c r="T27" s="72">
        <v>0</v>
      </c>
      <c r="U27" s="72">
        <v>0</v>
      </c>
      <c r="V27" s="72">
        <v>0</v>
      </c>
      <c r="W27" s="72">
        <v>0</v>
      </c>
      <c r="X27" s="72">
        <v>0</v>
      </c>
      <c r="Y27" s="72">
        <v>0</v>
      </c>
      <c r="Z27" s="72">
        <v>0</v>
      </c>
      <c r="AA27" s="72">
        <v>0</v>
      </c>
      <c r="AB27" s="72">
        <v>0</v>
      </c>
      <c r="AC27" s="72">
        <v>0</v>
      </c>
      <c r="AD27" s="72">
        <v>0</v>
      </c>
      <c r="AE27" s="72">
        <v>0</v>
      </c>
      <c r="AF27" s="72">
        <v>0</v>
      </c>
      <c r="AG27" s="72">
        <v>0</v>
      </c>
      <c r="AH27" s="72">
        <v>0</v>
      </c>
      <c r="AI27" s="72">
        <v>0</v>
      </c>
      <c r="AJ27" s="72">
        <v>0</v>
      </c>
      <c r="AK27" s="72">
        <v>0</v>
      </c>
      <c r="AL27" s="72">
        <v>0</v>
      </c>
      <c r="AM27" s="72">
        <v>0</v>
      </c>
      <c r="AN27" s="72">
        <v>0</v>
      </c>
      <c r="AO27" s="72">
        <v>0</v>
      </c>
      <c r="AP27" s="72">
        <v>0</v>
      </c>
      <c r="AQ27" s="72">
        <v>0</v>
      </c>
      <c r="AR27" s="72">
        <v>0</v>
      </c>
      <c r="AS27" s="72">
        <v>0</v>
      </c>
      <c r="AT27" s="72">
        <v>0</v>
      </c>
      <c r="AU27" s="72">
        <v>0</v>
      </c>
      <c r="AV27" s="72">
        <v>0</v>
      </c>
      <c r="AW27" s="72">
        <v>0</v>
      </c>
      <c r="AX27" s="72">
        <v>0</v>
      </c>
      <c r="AY27" s="72">
        <v>0</v>
      </c>
      <c r="AZ27" s="72">
        <v>0</v>
      </c>
      <c r="BA27" s="72">
        <v>0</v>
      </c>
      <c r="BB27" s="72">
        <v>0</v>
      </c>
      <c r="BC27" s="72">
        <v>0</v>
      </c>
      <c r="BD27" s="72">
        <v>0</v>
      </c>
      <c r="BE27" s="72">
        <v>0</v>
      </c>
      <c r="BF27" s="72">
        <v>0</v>
      </c>
      <c r="BG27" s="72">
        <v>0</v>
      </c>
      <c r="BH27" s="72">
        <v>0</v>
      </c>
      <c r="BI27" s="72">
        <v>0</v>
      </c>
      <c r="BJ27" s="72">
        <v>0</v>
      </c>
      <c r="BK27" s="72">
        <v>0</v>
      </c>
      <c r="BL27" s="72">
        <v>0</v>
      </c>
      <c r="BM27" s="72">
        <v>0</v>
      </c>
      <c r="BN27" s="72">
        <v>0</v>
      </c>
      <c r="BO27" s="72">
        <v>0</v>
      </c>
      <c r="BP27" s="72">
        <v>0</v>
      </c>
      <c r="BQ27" s="72">
        <v>0</v>
      </c>
      <c r="BR27" s="72">
        <v>0</v>
      </c>
      <c r="BS27" s="72">
        <v>0</v>
      </c>
      <c r="BT27" s="72">
        <v>0</v>
      </c>
      <c r="BU27" s="72">
        <v>0</v>
      </c>
      <c r="BV27" s="72">
        <v>0</v>
      </c>
      <c r="BW27" s="72">
        <v>0</v>
      </c>
      <c r="BX27" s="72">
        <v>0</v>
      </c>
      <c r="BY27" s="72">
        <v>0</v>
      </c>
      <c r="BZ27" s="72">
        <v>0</v>
      </c>
      <c r="CA27" s="72">
        <v>0</v>
      </c>
      <c r="CB27" s="72">
        <v>0</v>
      </c>
      <c r="CC27" s="72">
        <v>0</v>
      </c>
      <c r="CD27" s="72">
        <v>0</v>
      </c>
      <c r="CE27" s="72">
        <v>0</v>
      </c>
      <c r="CF27" s="72">
        <v>0</v>
      </c>
      <c r="CG27" s="72">
        <v>0</v>
      </c>
      <c r="CH27" s="72">
        <v>0</v>
      </c>
      <c r="CI27" s="72">
        <v>0</v>
      </c>
      <c r="CJ27" s="72">
        <v>0</v>
      </c>
      <c r="CK27" s="72">
        <v>0</v>
      </c>
      <c r="CL27" s="72">
        <v>0</v>
      </c>
      <c r="CM27" s="72">
        <v>0</v>
      </c>
      <c r="CN27" s="72">
        <v>0</v>
      </c>
      <c r="CO27" s="72">
        <v>0</v>
      </c>
      <c r="CP27" s="72">
        <v>0</v>
      </c>
      <c r="CQ27" s="72">
        <v>0</v>
      </c>
      <c r="CR27" s="72">
        <v>0</v>
      </c>
      <c r="CS27" s="72">
        <v>0</v>
      </c>
      <c r="CT27" s="72">
        <v>0</v>
      </c>
      <c r="CU27" s="72">
        <v>0</v>
      </c>
      <c r="CV27" s="72">
        <v>0</v>
      </c>
      <c r="CW27" s="72">
        <v>0</v>
      </c>
      <c r="CX27" s="72">
        <v>0</v>
      </c>
      <c r="CY27" s="72">
        <v>0</v>
      </c>
      <c r="CZ27" s="72">
        <v>0.70928898950423847</v>
      </c>
      <c r="DA27" s="72">
        <v>0</v>
      </c>
      <c r="DB27" s="72">
        <v>0</v>
      </c>
      <c r="DC27" s="72">
        <v>0</v>
      </c>
      <c r="DD27" s="72">
        <v>0</v>
      </c>
      <c r="DE27" s="72">
        <v>561.40965554286959</v>
      </c>
      <c r="DF27" s="72">
        <v>0.17357803924669976</v>
      </c>
      <c r="DG27" s="72">
        <v>2016.3517690451715</v>
      </c>
      <c r="DH27" s="72">
        <v>12419.405451766463</v>
      </c>
      <c r="DI27" s="72">
        <v>16250.291918563717</v>
      </c>
      <c r="DJ27" s="72">
        <v>21926.400031492671</v>
      </c>
      <c r="DK27" s="72">
        <v>5602.0750728634448</v>
      </c>
      <c r="DL27" s="72">
        <v>0</v>
      </c>
      <c r="DM27" s="72">
        <v>0</v>
      </c>
      <c r="DN27" s="72">
        <v>806.77570524218743</v>
      </c>
      <c r="DO27" s="72">
        <v>0</v>
      </c>
      <c r="DP27" s="72">
        <v>0</v>
      </c>
      <c r="DQ27" s="72">
        <v>219.90835454909532</v>
      </c>
      <c r="DR27" s="72">
        <v>190.48510699080492</v>
      </c>
      <c r="DS27" s="72">
        <v>100.90335514496964</v>
      </c>
      <c r="DT27" s="72">
        <v>0</v>
      </c>
      <c r="DU27" s="72">
        <v>0</v>
      </c>
      <c r="DV27" s="72">
        <v>0</v>
      </c>
      <c r="DW27" s="72">
        <v>0</v>
      </c>
      <c r="DX27" s="72">
        <v>0</v>
      </c>
      <c r="DY27" s="72">
        <v>0</v>
      </c>
      <c r="DZ27" s="72">
        <v>0</v>
      </c>
      <c r="EA27" s="72">
        <v>0</v>
      </c>
      <c r="EB27" s="72">
        <v>0</v>
      </c>
      <c r="EC27" s="72">
        <v>0</v>
      </c>
      <c r="ED27" s="72">
        <v>0</v>
      </c>
      <c r="EE27" s="72">
        <v>0</v>
      </c>
      <c r="EF27" s="72">
        <v>0</v>
      </c>
      <c r="EG27" s="72">
        <v>0</v>
      </c>
      <c r="EH27" s="72">
        <v>0</v>
      </c>
      <c r="EI27" s="72">
        <v>0</v>
      </c>
      <c r="EJ27" s="72">
        <v>0</v>
      </c>
      <c r="EK27" s="72">
        <v>0</v>
      </c>
      <c r="EL27" s="72">
        <v>0</v>
      </c>
      <c r="EM27" s="72">
        <v>0</v>
      </c>
      <c r="EN27" s="72">
        <v>0</v>
      </c>
      <c r="EO27" s="72">
        <v>0</v>
      </c>
      <c r="EP27" s="72">
        <v>0</v>
      </c>
      <c r="EQ27" s="72">
        <v>0</v>
      </c>
      <c r="ER27" s="72">
        <v>0</v>
      </c>
      <c r="ES27" s="72">
        <v>0</v>
      </c>
      <c r="ET27" s="72">
        <v>0</v>
      </c>
      <c r="EU27" s="72">
        <v>0</v>
      </c>
      <c r="EV27" s="72">
        <v>0</v>
      </c>
      <c r="EW27" s="72">
        <v>0</v>
      </c>
      <c r="EX27" s="72">
        <v>0</v>
      </c>
      <c r="EY27" s="72">
        <v>0</v>
      </c>
      <c r="EZ27" s="72">
        <v>0</v>
      </c>
      <c r="FA27" s="72">
        <v>0</v>
      </c>
      <c r="FB27" s="72">
        <v>0</v>
      </c>
      <c r="FC27" s="72">
        <v>0</v>
      </c>
      <c r="FD27" s="72">
        <v>0</v>
      </c>
      <c r="FE27" s="72">
        <v>0</v>
      </c>
      <c r="FF27" s="72">
        <v>683.10003282830337</v>
      </c>
      <c r="FG27" s="72">
        <v>0</v>
      </c>
      <c r="FH27" s="72">
        <v>0</v>
      </c>
      <c r="FI27" s="72">
        <v>0</v>
      </c>
      <c r="FJ27" s="72">
        <v>0</v>
      </c>
      <c r="FK27" s="72">
        <v>0</v>
      </c>
      <c r="FL27" s="72">
        <v>0</v>
      </c>
      <c r="FM27" s="72">
        <v>0</v>
      </c>
      <c r="FN27" s="72">
        <v>0</v>
      </c>
      <c r="FO27" s="72">
        <v>0</v>
      </c>
      <c r="FP27" s="72">
        <v>0</v>
      </c>
      <c r="FQ27" s="72">
        <v>0</v>
      </c>
      <c r="FR27" s="72">
        <v>0</v>
      </c>
      <c r="FS27" s="72">
        <v>0</v>
      </c>
      <c r="FT27" s="72">
        <v>0</v>
      </c>
      <c r="FU27" s="72">
        <v>0</v>
      </c>
      <c r="FV27" s="72">
        <v>0</v>
      </c>
      <c r="FW27" s="72">
        <v>0</v>
      </c>
      <c r="FX27" s="72">
        <v>0</v>
      </c>
      <c r="FY27" s="72">
        <v>0</v>
      </c>
      <c r="FZ27" s="72">
        <v>0</v>
      </c>
      <c r="GA27" s="72">
        <v>0</v>
      </c>
      <c r="GB27" s="72">
        <v>0</v>
      </c>
      <c r="GC27" s="72">
        <v>0</v>
      </c>
      <c r="GD27" s="72">
        <v>0</v>
      </c>
      <c r="GE27" s="72">
        <v>0</v>
      </c>
      <c r="GF27" s="72">
        <v>0</v>
      </c>
      <c r="GG27" s="72">
        <v>0</v>
      </c>
      <c r="GH27" s="72">
        <v>0</v>
      </c>
      <c r="GI27" s="72">
        <v>0</v>
      </c>
      <c r="GJ27" s="72">
        <v>0</v>
      </c>
      <c r="GK27" s="72">
        <v>0</v>
      </c>
      <c r="GL27" s="72">
        <v>0</v>
      </c>
      <c r="GM27" s="72">
        <v>0</v>
      </c>
      <c r="GN27" s="72">
        <v>0</v>
      </c>
      <c r="GO27" s="72">
        <v>0</v>
      </c>
      <c r="GP27" s="72">
        <v>0</v>
      </c>
      <c r="GQ27" s="72">
        <v>0</v>
      </c>
      <c r="GR27" s="72">
        <f t="shared" si="0"/>
        <v>60777.989321058449</v>
      </c>
      <c r="GS27" s="72">
        <f>SUM(X$5:X$202)</f>
        <v>60777.989321058456</v>
      </c>
      <c r="GT27" s="73">
        <v>0</v>
      </c>
    </row>
    <row r="28" spans="1:202" outlineLevel="1" x14ac:dyDescent="0.2">
      <c r="A28" s="66" t="s">
        <v>1459</v>
      </c>
      <c r="B28" s="72">
        <v>0</v>
      </c>
      <c r="C28" s="72">
        <v>0</v>
      </c>
      <c r="D28" s="72">
        <v>0</v>
      </c>
      <c r="E28" s="72">
        <v>0</v>
      </c>
      <c r="F28" s="72">
        <v>0</v>
      </c>
      <c r="G28" s="72">
        <v>0</v>
      </c>
      <c r="H28" s="72">
        <v>0</v>
      </c>
      <c r="I28" s="72">
        <v>0</v>
      </c>
      <c r="J28" s="72">
        <v>0</v>
      </c>
      <c r="K28" s="72">
        <v>0</v>
      </c>
      <c r="L28" s="72">
        <v>0</v>
      </c>
      <c r="M28" s="72">
        <v>0</v>
      </c>
      <c r="N28" s="72">
        <v>0</v>
      </c>
      <c r="O28" s="72">
        <v>0</v>
      </c>
      <c r="P28" s="72">
        <v>0</v>
      </c>
      <c r="Q28" s="72">
        <v>0</v>
      </c>
      <c r="R28" s="72">
        <v>0</v>
      </c>
      <c r="S28" s="72">
        <v>0</v>
      </c>
      <c r="T28" s="72">
        <v>0</v>
      </c>
      <c r="U28" s="72">
        <v>0</v>
      </c>
      <c r="V28" s="72">
        <v>0</v>
      </c>
      <c r="W28" s="72">
        <v>0</v>
      </c>
      <c r="X28" s="72">
        <v>0</v>
      </c>
      <c r="Y28" s="72">
        <v>0</v>
      </c>
      <c r="Z28" s="72">
        <v>0</v>
      </c>
      <c r="AA28" s="72">
        <v>0</v>
      </c>
      <c r="AB28" s="72">
        <v>0</v>
      </c>
      <c r="AC28" s="72">
        <v>0</v>
      </c>
      <c r="AD28" s="72">
        <v>0</v>
      </c>
      <c r="AE28" s="72">
        <v>0</v>
      </c>
      <c r="AF28" s="72">
        <v>0</v>
      </c>
      <c r="AG28" s="72">
        <v>0</v>
      </c>
      <c r="AH28" s="72">
        <v>0</v>
      </c>
      <c r="AI28" s="72">
        <v>0</v>
      </c>
      <c r="AJ28" s="72">
        <v>0</v>
      </c>
      <c r="AK28" s="72">
        <v>0</v>
      </c>
      <c r="AL28" s="72">
        <v>0</v>
      </c>
      <c r="AM28" s="72">
        <v>0</v>
      </c>
      <c r="AN28" s="72">
        <v>0</v>
      </c>
      <c r="AO28" s="72">
        <v>0</v>
      </c>
      <c r="AP28" s="72">
        <v>0</v>
      </c>
      <c r="AQ28" s="72">
        <v>0</v>
      </c>
      <c r="AR28" s="72">
        <v>0</v>
      </c>
      <c r="AS28" s="72">
        <v>0</v>
      </c>
      <c r="AT28" s="72">
        <v>0</v>
      </c>
      <c r="AU28" s="72">
        <v>0</v>
      </c>
      <c r="AV28" s="72">
        <v>0</v>
      </c>
      <c r="AW28" s="72">
        <v>0</v>
      </c>
      <c r="AX28" s="72">
        <v>0</v>
      </c>
      <c r="AY28" s="72">
        <v>0</v>
      </c>
      <c r="AZ28" s="72">
        <v>0</v>
      </c>
      <c r="BA28" s="72">
        <v>0</v>
      </c>
      <c r="BB28" s="72">
        <v>0</v>
      </c>
      <c r="BC28" s="72">
        <v>0</v>
      </c>
      <c r="BD28" s="72">
        <v>0</v>
      </c>
      <c r="BE28" s="72">
        <v>0</v>
      </c>
      <c r="BF28" s="72">
        <v>0</v>
      </c>
      <c r="BG28" s="72">
        <v>0</v>
      </c>
      <c r="BH28" s="72">
        <v>0</v>
      </c>
      <c r="BI28" s="72">
        <v>0</v>
      </c>
      <c r="BJ28" s="72">
        <v>0</v>
      </c>
      <c r="BK28" s="72">
        <v>0</v>
      </c>
      <c r="BL28" s="72">
        <v>0</v>
      </c>
      <c r="BM28" s="72">
        <v>0</v>
      </c>
      <c r="BN28" s="72">
        <v>0</v>
      </c>
      <c r="BO28" s="72">
        <v>0</v>
      </c>
      <c r="BP28" s="72">
        <v>0</v>
      </c>
      <c r="BQ28" s="72">
        <v>0</v>
      </c>
      <c r="BR28" s="72">
        <v>0</v>
      </c>
      <c r="BS28" s="72">
        <v>0</v>
      </c>
      <c r="BT28" s="72">
        <v>0</v>
      </c>
      <c r="BU28" s="72">
        <v>0</v>
      </c>
      <c r="BV28" s="72">
        <v>0</v>
      </c>
      <c r="BW28" s="72">
        <v>0</v>
      </c>
      <c r="BX28" s="72">
        <v>0</v>
      </c>
      <c r="BY28" s="72">
        <v>0</v>
      </c>
      <c r="BZ28" s="72">
        <v>0</v>
      </c>
      <c r="CA28" s="72">
        <v>0</v>
      </c>
      <c r="CB28" s="72">
        <v>0</v>
      </c>
      <c r="CC28" s="72">
        <v>0</v>
      </c>
      <c r="CD28" s="72">
        <v>0</v>
      </c>
      <c r="CE28" s="72">
        <v>0</v>
      </c>
      <c r="CF28" s="72">
        <v>0</v>
      </c>
      <c r="CG28" s="72">
        <v>0</v>
      </c>
      <c r="CH28" s="72">
        <v>0</v>
      </c>
      <c r="CI28" s="72">
        <v>0</v>
      </c>
      <c r="CJ28" s="72">
        <v>0</v>
      </c>
      <c r="CK28" s="72">
        <v>0</v>
      </c>
      <c r="CL28" s="72">
        <v>0</v>
      </c>
      <c r="CM28" s="72">
        <v>0</v>
      </c>
      <c r="CN28" s="72">
        <v>0</v>
      </c>
      <c r="CO28" s="72">
        <v>0</v>
      </c>
      <c r="CP28" s="72">
        <v>0</v>
      </c>
      <c r="CQ28" s="72">
        <v>0</v>
      </c>
      <c r="CR28" s="72">
        <v>0</v>
      </c>
      <c r="CS28" s="72">
        <v>0</v>
      </c>
      <c r="CT28" s="72">
        <v>186.56568549413504</v>
      </c>
      <c r="CU28" s="72">
        <v>3.8834058493246304</v>
      </c>
      <c r="CV28" s="72">
        <v>0</v>
      </c>
      <c r="CW28" s="72">
        <v>1637.8524115102844</v>
      </c>
      <c r="CX28" s="72">
        <v>0</v>
      </c>
      <c r="CY28" s="72">
        <v>1349.3426385731282</v>
      </c>
      <c r="CZ28" s="72">
        <v>0</v>
      </c>
      <c r="DA28" s="72">
        <v>0</v>
      </c>
      <c r="DB28" s="72">
        <v>0</v>
      </c>
      <c r="DC28" s="72">
        <v>0</v>
      </c>
      <c r="DD28" s="72">
        <v>0</v>
      </c>
      <c r="DE28" s="72">
        <v>416.24498846596282</v>
      </c>
      <c r="DF28" s="72">
        <v>0</v>
      </c>
      <c r="DG28" s="72">
        <v>0</v>
      </c>
      <c r="DH28" s="72">
        <v>0</v>
      </c>
      <c r="DI28" s="72">
        <v>0</v>
      </c>
      <c r="DJ28" s="72">
        <v>0</v>
      </c>
      <c r="DK28" s="72">
        <v>0</v>
      </c>
      <c r="DL28" s="72">
        <v>0</v>
      </c>
      <c r="DM28" s="72">
        <v>10.64232782176189</v>
      </c>
      <c r="DN28" s="72">
        <v>11.794134259044014</v>
      </c>
      <c r="DO28" s="72">
        <v>1374.9738243375839</v>
      </c>
      <c r="DP28" s="72">
        <v>28149.427483296218</v>
      </c>
      <c r="DQ28" s="72">
        <v>66525.142821525922</v>
      </c>
      <c r="DR28" s="72">
        <v>118356.65318708259</v>
      </c>
      <c r="DS28" s="72">
        <v>2320.5729894337142</v>
      </c>
      <c r="DT28" s="72">
        <v>871.30647273950296</v>
      </c>
      <c r="DU28" s="72">
        <v>618.15574391596169</v>
      </c>
      <c r="DV28" s="72">
        <v>0</v>
      </c>
      <c r="DW28" s="72">
        <v>0</v>
      </c>
      <c r="DX28" s="72">
        <v>4.3859670572277292</v>
      </c>
      <c r="DY28" s="72">
        <v>11.275303585930114</v>
      </c>
      <c r="DZ28" s="72">
        <v>0</v>
      </c>
      <c r="EA28" s="72">
        <v>264.49456402353178</v>
      </c>
      <c r="EB28" s="72">
        <v>0</v>
      </c>
      <c r="EC28" s="72">
        <v>0</v>
      </c>
      <c r="ED28" s="72">
        <v>0</v>
      </c>
      <c r="EE28" s="72">
        <v>0</v>
      </c>
      <c r="EF28" s="72">
        <v>49.552707586035375</v>
      </c>
      <c r="EG28" s="72">
        <v>0</v>
      </c>
      <c r="EH28" s="72">
        <v>0</v>
      </c>
      <c r="EI28" s="72">
        <v>0</v>
      </c>
      <c r="EJ28" s="72">
        <v>0</v>
      </c>
      <c r="EK28" s="72">
        <v>0</v>
      </c>
      <c r="EL28" s="72">
        <v>0</v>
      </c>
      <c r="EM28" s="72">
        <v>0</v>
      </c>
      <c r="EN28" s="72">
        <v>0</v>
      </c>
      <c r="EO28" s="72">
        <v>0</v>
      </c>
      <c r="EP28" s="72">
        <v>0</v>
      </c>
      <c r="EQ28" s="72">
        <v>0</v>
      </c>
      <c r="ER28" s="72">
        <v>0</v>
      </c>
      <c r="ES28" s="72">
        <v>0</v>
      </c>
      <c r="ET28" s="72">
        <v>0</v>
      </c>
      <c r="EU28" s="72">
        <v>0</v>
      </c>
      <c r="EV28" s="72">
        <v>0</v>
      </c>
      <c r="EW28" s="72">
        <v>0</v>
      </c>
      <c r="EX28" s="72">
        <v>0</v>
      </c>
      <c r="EY28" s="72">
        <v>0</v>
      </c>
      <c r="EZ28" s="72">
        <v>0</v>
      </c>
      <c r="FA28" s="72">
        <v>0</v>
      </c>
      <c r="FB28" s="72">
        <v>0</v>
      </c>
      <c r="FC28" s="72">
        <v>0</v>
      </c>
      <c r="FD28" s="72">
        <v>0</v>
      </c>
      <c r="FE28" s="72">
        <v>0</v>
      </c>
      <c r="FF28" s="72">
        <v>4901.3379174223701</v>
      </c>
      <c r="FG28" s="72">
        <v>0</v>
      </c>
      <c r="FH28" s="72">
        <v>0</v>
      </c>
      <c r="FI28" s="72">
        <v>0</v>
      </c>
      <c r="FJ28" s="72">
        <v>0</v>
      </c>
      <c r="FK28" s="72">
        <v>0</v>
      </c>
      <c r="FL28" s="72">
        <v>0</v>
      </c>
      <c r="FM28" s="72">
        <v>0</v>
      </c>
      <c r="FN28" s="72">
        <v>0</v>
      </c>
      <c r="FO28" s="72">
        <v>0</v>
      </c>
      <c r="FP28" s="72">
        <v>0</v>
      </c>
      <c r="FQ28" s="72">
        <v>0</v>
      </c>
      <c r="FR28" s="72">
        <v>0</v>
      </c>
      <c r="FS28" s="72">
        <v>0</v>
      </c>
      <c r="FT28" s="72">
        <v>0</v>
      </c>
      <c r="FU28" s="72">
        <v>0</v>
      </c>
      <c r="FV28" s="72">
        <v>0</v>
      </c>
      <c r="FW28" s="72">
        <v>0</v>
      </c>
      <c r="FX28" s="72">
        <v>0</v>
      </c>
      <c r="FY28" s="72">
        <v>0</v>
      </c>
      <c r="FZ28" s="72">
        <v>0</v>
      </c>
      <c r="GA28" s="72">
        <v>0</v>
      </c>
      <c r="GB28" s="72">
        <v>0</v>
      </c>
      <c r="GC28" s="72">
        <v>0</v>
      </c>
      <c r="GD28" s="72">
        <v>0</v>
      </c>
      <c r="GE28" s="72">
        <v>0</v>
      </c>
      <c r="GF28" s="72">
        <v>0</v>
      </c>
      <c r="GG28" s="72">
        <v>0</v>
      </c>
      <c r="GH28" s="72">
        <v>0</v>
      </c>
      <c r="GI28" s="72">
        <v>0</v>
      </c>
      <c r="GJ28" s="72">
        <v>0</v>
      </c>
      <c r="GK28" s="72">
        <v>0</v>
      </c>
      <c r="GL28" s="72">
        <v>0</v>
      </c>
      <c r="GM28" s="72">
        <v>0</v>
      </c>
      <c r="GN28" s="72">
        <v>0</v>
      </c>
      <c r="GO28" s="72">
        <v>0</v>
      </c>
      <c r="GP28" s="72">
        <v>0</v>
      </c>
      <c r="GQ28" s="72">
        <v>0</v>
      </c>
      <c r="GR28" s="72">
        <f t="shared" si="0"/>
        <v>227063.60457398021</v>
      </c>
      <c r="GS28" s="72">
        <f>SUM(Y$5:Y$202)</f>
        <v>227063.60457398029</v>
      </c>
      <c r="GT28" s="73">
        <v>0</v>
      </c>
    </row>
    <row r="29" spans="1:202" outlineLevel="1" x14ac:dyDescent="0.2">
      <c r="A29" s="66" t="s">
        <v>264</v>
      </c>
      <c r="B29" s="72">
        <v>0</v>
      </c>
      <c r="C29" s="72">
        <v>0</v>
      </c>
      <c r="D29" s="72">
        <v>0</v>
      </c>
      <c r="E29" s="72">
        <v>0</v>
      </c>
      <c r="F29" s="72">
        <v>0</v>
      </c>
      <c r="G29" s="72">
        <v>0</v>
      </c>
      <c r="H29" s="72">
        <v>0</v>
      </c>
      <c r="I29" s="72">
        <v>0</v>
      </c>
      <c r="J29" s="72">
        <v>0</v>
      </c>
      <c r="K29" s="72">
        <v>0</v>
      </c>
      <c r="L29" s="72">
        <v>0</v>
      </c>
      <c r="M29" s="72">
        <v>0</v>
      </c>
      <c r="N29" s="72">
        <v>0</v>
      </c>
      <c r="O29" s="72">
        <v>0</v>
      </c>
      <c r="P29" s="72">
        <v>0</v>
      </c>
      <c r="Q29" s="72">
        <v>0</v>
      </c>
      <c r="R29" s="72">
        <v>0</v>
      </c>
      <c r="S29" s="72">
        <v>0</v>
      </c>
      <c r="T29" s="72">
        <v>0</v>
      </c>
      <c r="U29" s="72">
        <v>0</v>
      </c>
      <c r="V29" s="72">
        <v>0</v>
      </c>
      <c r="W29" s="72">
        <v>0</v>
      </c>
      <c r="X29" s="72">
        <v>0</v>
      </c>
      <c r="Y29" s="72">
        <v>0</v>
      </c>
      <c r="Z29" s="72">
        <v>0</v>
      </c>
      <c r="AA29" s="72">
        <v>0</v>
      </c>
      <c r="AB29" s="72">
        <v>0</v>
      </c>
      <c r="AC29" s="72">
        <v>0</v>
      </c>
      <c r="AD29" s="72">
        <v>0</v>
      </c>
      <c r="AE29" s="72">
        <v>0</v>
      </c>
      <c r="AF29" s="72">
        <v>0</v>
      </c>
      <c r="AG29" s="72">
        <v>0</v>
      </c>
      <c r="AH29" s="72">
        <v>0</v>
      </c>
      <c r="AI29" s="72">
        <v>0</v>
      </c>
      <c r="AJ29" s="72">
        <v>0</v>
      </c>
      <c r="AK29" s="72">
        <v>0</v>
      </c>
      <c r="AL29" s="72">
        <v>0</v>
      </c>
      <c r="AM29" s="72">
        <v>0</v>
      </c>
      <c r="AN29" s="72">
        <v>0</v>
      </c>
      <c r="AO29" s="72">
        <v>0</v>
      </c>
      <c r="AP29" s="72">
        <v>0</v>
      </c>
      <c r="AQ29" s="72">
        <v>0</v>
      </c>
      <c r="AR29" s="72">
        <v>0</v>
      </c>
      <c r="AS29" s="72">
        <v>0</v>
      </c>
      <c r="AT29" s="72">
        <v>0</v>
      </c>
      <c r="AU29" s="72">
        <v>0</v>
      </c>
      <c r="AV29" s="72">
        <v>0</v>
      </c>
      <c r="AW29" s="72">
        <v>0</v>
      </c>
      <c r="AX29" s="72">
        <v>0</v>
      </c>
      <c r="AY29" s="72">
        <v>0</v>
      </c>
      <c r="AZ29" s="72">
        <v>0</v>
      </c>
      <c r="BA29" s="72">
        <v>0</v>
      </c>
      <c r="BB29" s="72">
        <v>0</v>
      </c>
      <c r="BC29" s="72">
        <v>0</v>
      </c>
      <c r="BD29" s="72">
        <v>0</v>
      </c>
      <c r="BE29" s="72">
        <v>0</v>
      </c>
      <c r="BF29" s="72">
        <v>0</v>
      </c>
      <c r="BG29" s="72">
        <v>0</v>
      </c>
      <c r="BH29" s="72">
        <v>0</v>
      </c>
      <c r="BI29" s="72">
        <v>0</v>
      </c>
      <c r="BJ29" s="72">
        <v>0</v>
      </c>
      <c r="BK29" s="72">
        <v>0</v>
      </c>
      <c r="BL29" s="72">
        <v>0</v>
      </c>
      <c r="BM29" s="72">
        <v>0</v>
      </c>
      <c r="BN29" s="72">
        <v>0</v>
      </c>
      <c r="BO29" s="72">
        <v>0</v>
      </c>
      <c r="BP29" s="72">
        <v>0</v>
      </c>
      <c r="BQ29" s="72">
        <v>0</v>
      </c>
      <c r="BR29" s="72">
        <v>0</v>
      </c>
      <c r="BS29" s="72">
        <v>0</v>
      </c>
      <c r="BT29" s="72">
        <v>0</v>
      </c>
      <c r="BU29" s="72">
        <v>0</v>
      </c>
      <c r="BV29" s="72">
        <v>0</v>
      </c>
      <c r="BW29" s="72">
        <v>0</v>
      </c>
      <c r="BX29" s="72">
        <v>653.23115030033568</v>
      </c>
      <c r="BY29" s="72">
        <v>0</v>
      </c>
      <c r="BZ29" s="72">
        <v>0</v>
      </c>
      <c r="CA29" s="72">
        <v>0</v>
      </c>
      <c r="CB29" s="72">
        <v>0</v>
      </c>
      <c r="CC29" s="72">
        <v>0</v>
      </c>
      <c r="CD29" s="72">
        <v>0</v>
      </c>
      <c r="CE29" s="72">
        <v>0</v>
      </c>
      <c r="CF29" s="72">
        <v>0</v>
      </c>
      <c r="CG29" s="72">
        <v>0</v>
      </c>
      <c r="CH29" s="72">
        <v>0</v>
      </c>
      <c r="CI29" s="72">
        <v>0</v>
      </c>
      <c r="CJ29" s="72">
        <v>0</v>
      </c>
      <c r="CK29" s="72">
        <v>0</v>
      </c>
      <c r="CL29" s="72">
        <v>0</v>
      </c>
      <c r="CM29" s="72">
        <v>146.90304673808524</v>
      </c>
      <c r="CN29" s="72">
        <v>0</v>
      </c>
      <c r="CO29" s="72">
        <v>0</v>
      </c>
      <c r="CP29" s="72">
        <v>0</v>
      </c>
      <c r="CQ29" s="72">
        <v>0</v>
      </c>
      <c r="CR29" s="72">
        <v>0</v>
      </c>
      <c r="CS29" s="72">
        <v>0</v>
      </c>
      <c r="CT29" s="72">
        <v>116.92852343893223</v>
      </c>
      <c r="CU29" s="72">
        <v>0</v>
      </c>
      <c r="CV29" s="72">
        <v>0</v>
      </c>
      <c r="CW29" s="72">
        <v>0</v>
      </c>
      <c r="CX29" s="72">
        <v>0</v>
      </c>
      <c r="CY29" s="72">
        <v>212.65590000096964</v>
      </c>
      <c r="CZ29" s="72">
        <v>68.953306168199816</v>
      </c>
      <c r="DA29" s="72">
        <v>0</v>
      </c>
      <c r="DB29" s="72">
        <v>0</v>
      </c>
      <c r="DC29" s="72">
        <v>0</v>
      </c>
      <c r="DD29" s="72">
        <v>0</v>
      </c>
      <c r="DE29" s="72">
        <v>266.41333489539409</v>
      </c>
      <c r="DF29" s="72">
        <v>0</v>
      </c>
      <c r="DG29" s="72">
        <v>0</v>
      </c>
      <c r="DH29" s="72">
        <v>0</v>
      </c>
      <c r="DI29" s="72">
        <v>0</v>
      </c>
      <c r="DJ29" s="72">
        <v>0</v>
      </c>
      <c r="DK29" s="72">
        <v>0</v>
      </c>
      <c r="DL29" s="72">
        <v>0</v>
      </c>
      <c r="DM29" s="72">
        <v>0</v>
      </c>
      <c r="DN29" s="72">
        <v>1769.8240237164164</v>
      </c>
      <c r="DO29" s="72">
        <v>138.19747132904465</v>
      </c>
      <c r="DP29" s="72">
        <v>1539.2323373336865</v>
      </c>
      <c r="DQ29" s="72">
        <v>2464.27025856398</v>
      </c>
      <c r="DR29" s="72">
        <v>289.40063133684765</v>
      </c>
      <c r="DS29" s="72">
        <v>51901.962835068174</v>
      </c>
      <c r="DT29" s="72">
        <v>45102.861894890229</v>
      </c>
      <c r="DU29" s="72">
        <v>398.98226758230282</v>
      </c>
      <c r="DV29" s="72">
        <v>651.85030973231653</v>
      </c>
      <c r="DW29" s="72">
        <v>57.597986073444581</v>
      </c>
      <c r="DX29" s="72">
        <v>1098.0506758253678</v>
      </c>
      <c r="DY29" s="72">
        <v>0</v>
      </c>
      <c r="DZ29" s="72">
        <v>0</v>
      </c>
      <c r="EA29" s="72">
        <v>140.28598130582517</v>
      </c>
      <c r="EB29" s="72">
        <v>0</v>
      </c>
      <c r="EC29" s="72">
        <v>0</v>
      </c>
      <c r="ED29" s="72">
        <v>0</v>
      </c>
      <c r="EE29" s="72">
        <v>0</v>
      </c>
      <c r="EF29" s="72">
        <v>0</v>
      </c>
      <c r="EG29" s="72">
        <v>0</v>
      </c>
      <c r="EH29" s="72">
        <v>0</v>
      </c>
      <c r="EI29" s="72">
        <v>0</v>
      </c>
      <c r="EJ29" s="72">
        <v>0</v>
      </c>
      <c r="EK29" s="72">
        <v>0</v>
      </c>
      <c r="EL29" s="72">
        <v>0</v>
      </c>
      <c r="EM29" s="72">
        <v>0</v>
      </c>
      <c r="EN29" s="72">
        <v>0</v>
      </c>
      <c r="EO29" s="72">
        <v>0</v>
      </c>
      <c r="EP29" s="72">
        <v>0</v>
      </c>
      <c r="EQ29" s="72">
        <v>0</v>
      </c>
      <c r="ER29" s="72">
        <v>0</v>
      </c>
      <c r="ES29" s="72">
        <v>0</v>
      </c>
      <c r="ET29" s="72">
        <v>0</v>
      </c>
      <c r="EU29" s="72">
        <v>0</v>
      </c>
      <c r="EV29" s="72">
        <v>0</v>
      </c>
      <c r="EW29" s="72">
        <v>0</v>
      </c>
      <c r="EX29" s="72">
        <v>0</v>
      </c>
      <c r="EY29" s="72">
        <v>0</v>
      </c>
      <c r="EZ29" s="72">
        <v>0</v>
      </c>
      <c r="FA29" s="72">
        <v>0</v>
      </c>
      <c r="FB29" s="72">
        <v>0</v>
      </c>
      <c r="FC29" s="72">
        <v>0</v>
      </c>
      <c r="FD29" s="72">
        <v>0</v>
      </c>
      <c r="FE29" s="72">
        <v>0</v>
      </c>
      <c r="FF29" s="72">
        <v>13468.449906188496</v>
      </c>
      <c r="FG29" s="72">
        <v>0</v>
      </c>
      <c r="FH29" s="72">
        <v>0</v>
      </c>
      <c r="FI29" s="72">
        <v>0</v>
      </c>
      <c r="FJ29" s="72">
        <v>0</v>
      </c>
      <c r="FK29" s="72">
        <v>0</v>
      </c>
      <c r="FL29" s="72">
        <v>0</v>
      </c>
      <c r="FM29" s="72">
        <v>0</v>
      </c>
      <c r="FN29" s="72">
        <v>0</v>
      </c>
      <c r="FO29" s="72">
        <v>0</v>
      </c>
      <c r="FP29" s="72">
        <v>0</v>
      </c>
      <c r="FQ29" s="72">
        <v>0</v>
      </c>
      <c r="FR29" s="72">
        <v>0</v>
      </c>
      <c r="FS29" s="72">
        <v>0</v>
      </c>
      <c r="FT29" s="72">
        <v>0</v>
      </c>
      <c r="FU29" s="72">
        <v>0</v>
      </c>
      <c r="FV29" s="72">
        <v>0</v>
      </c>
      <c r="FW29" s="72">
        <v>0</v>
      </c>
      <c r="FX29" s="72">
        <v>0</v>
      </c>
      <c r="FY29" s="72">
        <v>0</v>
      </c>
      <c r="FZ29" s="72">
        <v>0</v>
      </c>
      <c r="GA29" s="72">
        <v>0</v>
      </c>
      <c r="GB29" s="72">
        <v>0</v>
      </c>
      <c r="GC29" s="72">
        <v>0</v>
      </c>
      <c r="GD29" s="72">
        <v>0</v>
      </c>
      <c r="GE29" s="72">
        <v>0</v>
      </c>
      <c r="GF29" s="72">
        <v>0</v>
      </c>
      <c r="GG29" s="72">
        <v>0</v>
      </c>
      <c r="GH29" s="72">
        <v>0</v>
      </c>
      <c r="GI29" s="72">
        <v>0</v>
      </c>
      <c r="GJ29" s="72">
        <v>0</v>
      </c>
      <c r="GK29" s="72">
        <v>0</v>
      </c>
      <c r="GL29" s="72">
        <v>0</v>
      </c>
      <c r="GM29" s="72">
        <v>0</v>
      </c>
      <c r="GN29" s="72">
        <v>0</v>
      </c>
      <c r="GO29" s="72">
        <v>0</v>
      </c>
      <c r="GP29" s="72">
        <v>0</v>
      </c>
      <c r="GQ29" s="72">
        <v>0</v>
      </c>
      <c r="GR29" s="72">
        <f t="shared" si="0"/>
        <v>120486.05184048806</v>
      </c>
      <c r="GS29" s="72">
        <f>SUM(Z$5:Z$202)</f>
        <v>120486.05184048803</v>
      </c>
      <c r="GT29" s="73">
        <v>0</v>
      </c>
    </row>
    <row r="30" spans="1:202" outlineLevel="1" x14ac:dyDescent="0.2">
      <c r="A30" s="66" t="s">
        <v>269</v>
      </c>
      <c r="B30" s="72">
        <v>0</v>
      </c>
      <c r="C30" s="72">
        <v>0</v>
      </c>
      <c r="D30" s="72">
        <v>0</v>
      </c>
      <c r="E30" s="72">
        <v>0</v>
      </c>
      <c r="F30" s="72">
        <v>0</v>
      </c>
      <c r="G30" s="72">
        <v>0</v>
      </c>
      <c r="H30" s="72">
        <v>0</v>
      </c>
      <c r="I30" s="72">
        <v>0</v>
      </c>
      <c r="J30" s="72">
        <v>0</v>
      </c>
      <c r="K30" s="72">
        <v>0</v>
      </c>
      <c r="L30" s="72">
        <v>0</v>
      </c>
      <c r="M30" s="72">
        <v>0</v>
      </c>
      <c r="N30" s="72">
        <v>0</v>
      </c>
      <c r="O30" s="72">
        <v>0</v>
      </c>
      <c r="P30" s="72">
        <v>0</v>
      </c>
      <c r="Q30" s="72">
        <v>0</v>
      </c>
      <c r="R30" s="72">
        <v>0</v>
      </c>
      <c r="S30" s="72">
        <v>0</v>
      </c>
      <c r="T30" s="72">
        <v>0</v>
      </c>
      <c r="U30" s="72">
        <v>0</v>
      </c>
      <c r="V30" s="72">
        <v>0</v>
      </c>
      <c r="W30" s="72">
        <v>0</v>
      </c>
      <c r="X30" s="72">
        <v>0</v>
      </c>
      <c r="Y30" s="72">
        <v>0</v>
      </c>
      <c r="Z30" s="72">
        <v>0</v>
      </c>
      <c r="AA30" s="72">
        <v>0</v>
      </c>
      <c r="AB30" s="72">
        <v>0</v>
      </c>
      <c r="AC30" s="72">
        <v>0</v>
      </c>
      <c r="AD30" s="72">
        <v>0</v>
      </c>
      <c r="AE30" s="72">
        <v>0</v>
      </c>
      <c r="AF30" s="72">
        <v>0</v>
      </c>
      <c r="AG30" s="72">
        <v>0</v>
      </c>
      <c r="AH30" s="72">
        <v>0</v>
      </c>
      <c r="AI30" s="72">
        <v>0</v>
      </c>
      <c r="AJ30" s="72">
        <v>0</v>
      </c>
      <c r="AK30" s="72">
        <v>0</v>
      </c>
      <c r="AL30" s="72">
        <v>0</v>
      </c>
      <c r="AM30" s="72">
        <v>0</v>
      </c>
      <c r="AN30" s="72">
        <v>0</v>
      </c>
      <c r="AO30" s="72">
        <v>0</v>
      </c>
      <c r="AP30" s="72">
        <v>0</v>
      </c>
      <c r="AQ30" s="72">
        <v>0</v>
      </c>
      <c r="AR30" s="72">
        <v>0</v>
      </c>
      <c r="AS30" s="72">
        <v>0</v>
      </c>
      <c r="AT30" s="72">
        <v>0</v>
      </c>
      <c r="AU30" s="72">
        <v>0</v>
      </c>
      <c r="AV30" s="72">
        <v>0</v>
      </c>
      <c r="AW30" s="72">
        <v>0</v>
      </c>
      <c r="AX30" s="72">
        <v>0</v>
      </c>
      <c r="AY30" s="72">
        <v>0</v>
      </c>
      <c r="AZ30" s="72">
        <v>0</v>
      </c>
      <c r="BA30" s="72">
        <v>0</v>
      </c>
      <c r="BB30" s="72">
        <v>0</v>
      </c>
      <c r="BC30" s="72">
        <v>0</v>
      </c>
      <c r="BD30" s="72">
        <v>0</v>
      </c>
      <c r="BE30" s="72">
        <v>0</v>
      </c>
      <c r="BF30" s="72">
        <v>0</v>
      </c>
      <c r="BG30" s="72">
        <v>0</v>
      </c>
      <c r="BH30" s="72">
        <v>0</v>
      </c>
      <c r="BI30" s="72">
        <v>0</v>
      </c>
      <c r="BJ30" s="72">
        <v>0</v>
      </c>
      <c r="BK30" s="72">
        <v>0</v>
      </c>
      <c r="BL30" s="72">
        <v>0</v>
      </c>
      <c r="BM30" s="72">
        <v>0</v>
      </c>
      <c r="BN30" s="72">
        <v>0</v>
      </c>
      <c r="BO30" s="72">
        <v>0</v>
      </c>
      <c r="BP30" s="72">
        <v>0</v>
      </c>
      <c r="BQ30" s="72">
        <v>0</v>
      </c>
      <c r="BR30" s="72">
        <v>0</v>
      </c>
      <c r="BS30" s="72">
        <v>0</v>
      </c>
      <c r="BT30" s="72">
        <v>0</v>
      </c>
      <c r="BU30" s="72">
        <v>0</v>
      </c>
      <c r="BV30" s="72">
        <v>0</v>
      </c>
      <c r="BW30" s="72">
        <v>0</v>
      </c>
      <c r="BX30" s="72">
        <v>0</v>
      </c>
      <c r="BY30" s="72">
        <v>0</v>
      </c>
      <c r="BZ30" s="72">
        <v>0</v>
      </c>
      <c r="CA30" s="72">
        <v>0</v>
      </c>
      <c r="CB30" s="72">
        <v>0</v>
      </c>
      <c r="CC30" s="72">
        <v>0</v>
      </c>
      <c r="CD30" s="72">
        <v>0</v>
      </c>
      <c r="CE30" s="72">
        <v>0</v>
      </c>
      <c r="CF30" s="72">
        <v>0</v>
      </c>
      <c r="CG30" s="72">
        <v>0</v>
      </c>
      <c r="CH30" s="72">
        <v>0</v>
      </c>
      <c r="CI30" s="72">
        <v>0</v>
      </c>
      <c r="CJ30" s="72">
        <v>0</v>
      </c>
      <c r="CK30" s="72">
        <v>0</v>
      </c>
      <c r="CL30" s="72">
        <v>0</v>
      </c>
      <c r="CM30" s="72">
        <v>0</v>
      </c>
      <c r="CN30" s="72">
        <v>0</v>
      </c>
      <c r="CO30" s="72">
        <v>0</v>
      </c>
      <c r="CP30" s="72">
        <v>0</v>
      </c>
      <c r="CQ30" s="72">
        <v>0</v>
      </c>
      <c r="CR30" s="72">
        <v>0</v>
      </c>
      <c r="CS30" s="72">
        <v>0</v>
      </c>
      <c r="CT30" s="72">
        <v>0</v>
      </c>
      <c r="CU30" s="72">
        <v>332.36638488520509</v>
      </c>
      <c r="CV30" s="72">
        <v>0</v>
      </c>
      <c r="CW30" s="72">
        <v>0</v>
      </c>
      <c r="CX30" s="72">
        <v>0</v>
      </c>
      <c r="CY30" s="72">
        <v>7.8278256397910875</v>
      </c>
      <c r="CZ30" s="72">
        <v>8.9492986847737246</v>
      </c>
      <c r="DA30" s="72">
        <v>0</v>
      </c>
      <c r="DB30" s="72">
        <v>0</v>
      </c>
      <c r="DC30" s="72">
        <v>127.71988004233414</v>
      </c>
      <c r="DD30" s="72">
        <v>49.914732782301655</v>
      </c>
      <c r="DE30" s="72">
        <v>194.77369449475717</v>
      </c>
      <c r="DF30" s="72">
        <v>0</v>
      </c>
      <c r="DG30" s="72">
        <v>0</v>
      </c>
      <c r="DH30" s="72">
        <v>20.512557098454344</v>
      </c>
      <c r="DI30" s="72">
        <v>0</v>
      </c>
      <c r="DJ30" s="72">
        <v>0</v>
      </c>
      <c r="DK30" s="72">
        <v>0</v>
      </c>
      <c r="DL30" s="72">
        <v>0</v>
      </c>
      <c r="DM30" s="72">
        <v>0</v>
      </c>
      <c r="DN30" s="72">
        <v>3.0369714914880688</v>
      </c>
      <c r="DO30" s="72">
        <v>0</v>
      </c>
      <c r="DP30" s="72">
        <v>145.39378046963492</v>
      </c>
      <c r="DQ30" s="72">
        <v>7.3096196234918809</v>
      </c>
      <c r="DR30" s="72">
        <v>0</v>
      </c>
      <c r="DS30" s="72">
        <v>156.16445134679245</v>
      </c>
      <c r="DT30" s="72">
        <v>1387.0299033010581</v>
      </c>
      <c r="DU30" s="72">
        <v>27415.548097821396</v>
      </c>
      <c r="DV30" s="72">
        <v>9777.9133506872568</v>
      </c>
      <c r="DW30" s="72">
        <v>54096.046391790791</v>
      </c>
      <c r="DX30" s="72">
        <v>25206.891360173013</v>
      </c>
      <c r="DY30" s="72">
        <v>0</v>
      </c>
      <c r="DZ30" s="72">
        <v>0</v>
      </c>
      <c r="EA30" s="72">
        <v>312.23398128459127</v>
      </c>
      <c r="EB30" s="72">
        <v>33.518533549764605</v>
      </c>
      <c r="EC30" s="72">
        <v>95.201537610543596</v>
      </c>
      <c r="ED30" s="72">
        <v>615.55434625780549</v>
      </c>
      <c r="EE30" s="72">
        <v>0</v>
      </c>
      <c r="EF30" s="72">
        <v>0</v>
      </c>
      <c r="EG30" s="72">
        <v>0</v>
      </c>
      <c r="EH30" s="72">
        <v>0</v>
      </c>
      <c r="EI30" s="72">
        <v>0</v>
      </c>
      <c r="EJ30" s="72">
        <v>0</v>
      </c>
      <c r="EK30" s="72">
        <v>0</v>
      </c>
      <c r="EL30" s="72">
        <v>0</v>
      </c>
      <c r="EM30" s="72">
        <v>0</v>
      </c>
      <c r="EN30" s="72">
        <v>0</v>
      </c>
      <c r="EO30" s="72">
        <v>0</v>
      </c>
      <c r="EP30" s="72">
        <v>0</v>
      </c>
      <c r="EQ30" s="72">
        <v>0</v>
      </c>
      <c r="ER30" s="72">
        <v>0</v>
      </c>
      <c r="ES30" s="72">
        <v>0</v>
      </c>
      <c r="ET30" s="72">
        <v>0</v>
      </c>
      <c r="EU30" s="72">
        <v>0</v>
      </c>
      <c r="EV30" s="72">
        <v>0</v>
      </c>
      <c r="EW30" s="72">
        <v>0</v>
      </c>
      <c r="EX30" s="72">
        <v>0</v>
      </c>
      <c r="EY30" s="72">
        <v>0</v>
      </c>
      <c r="EZ30" s="72">
        <v>0</v>
      </c>
      <c r="FA30" s="72">
        <v>0</v>
      </c>
      <c r="FB30" s="72">
        <v>0</v>
      </c>
      <c r="FC30" s="72">
        <v>0</v>
      </c>
      <c r="FD30" s="72">
        <v>0</v>
      </c>
      <c r="FE30" s="72">
        <v>0</v>
      </c>
      <c r="FF30" s="72">
        <v>18684.025037302905</v>
      </c>
      <c r="FG30" s="72">
        <v>0</v>
      </c>
      <c r="FH30" s="72">
        <v>0</v>
      </c>
      <c r="FI30" s="72">
        <v>0</v>
      </c>
      <c r="FJ30" s="72">
        <v>0</v>
      </c>
      <c r="FK30" s="72">
        <v>0</v>
      </c>
      <c r="FL30" s="72">
        <v>0</v>
      </c>
      <c r="FM30" s="72">
        <v>0</v>
      </c>
      <c r="FN30" s="72">
        <v>0</v>
      </c>
      <c r="FO30" s="72">
        <v>0</v>
      </c>
      <c r="FP30" s="72">
        <v>0</v>
      </c>
      <c r="FQ30" s="72">
        <v>0</v>
      </c>
      <c r="FR30" s="72">
        <v>0</v>
      </c>
      <c r="FS30" s="72">
        <v>0</v>
      </c>
      <c r="FT30" s="72">
        <v>0</v>
      </c>
      <c r="FU30" s="72">
        <v>0</v>
      </c>
      <c r="FV30" s="72">
        <v>0</v>
      </c>
      <c r="FW30" s="72">
        <v>0</v>
      </c>
      <c r="FX30" s="72">
        <v>0</v>
      </c>
      <c r="FY30" s="72">
        <v>0</v>
      </c>
      <c r="FZ30" s="72">
        <v>0</v>
      </c>
      <c r="GA30" s="72">
        <v>0</v>
      </c>
      <c r="GB30" s="72">
        <v>0</v>
      </c>
      <c r="GC30" s="72">
        <v>0</v>
      </c>
      <c r="GD30" s="72">
        <v>0</v>
      </c>
      <c r="GE30" s="72">
        <v>0</v>
      </c>
      <c r="GF30" s="72">
        <v>0</v>
      </c>
      <c r="GG30" s="72">
        <v>0</v>
      </c>
      <c r="GH30" s="72">
        <v>0</v>
      </c>
      <c r="GI30" s="72">
        <v>0</v>
      </c>
      <c r="GJ30" s="72">
        <v>0</v>
      </c>
      <c r="GK30" s="72">
        <v>0</v>
      </c>
      <c r="GL30" s="72">
        <v>0</v>
      </c>
      <c r="GM30" s="72">
        <v>0</v>
      </c>
      <c r="GN30" s="72">
        <v>0</v>
      </c>
      <c r="GO30" s="72">
        <v>0</v>
      </c>
      <c r="GP30" s="72">
        <v>0</v>
      </c>
      <c r="GQ30" s="72">
        <v>0</v>
      </c>
      <c r="GR30" s="72">
        <f t="shared" si="0"/>
        <v>138677.93173633816</v>
      </c>
      <c r="GS30" s="72">
        <f>SUM(AA$5:AA$202)</f>
        <v>138677.93173633813</v>
      </c>
      <c r="GT30" s="73">
        <v>0</v>
      </c>
    </row>
    <row r="31" spans="1:202" outlineLevel="1" x14ac:dyDescent="0.2">
      <c r="A31" s="66" t="s">
        <v>275</v>
      </c>
      <c r="B31" s="72">
        <v>0</v>
      </c>
      <c r="C31" s="72">
        <v>0</v>
      </c>
      <c r="D31" s="72">
        <v>0</v>
      </c>
      <c r="E31" s="72">
        <v>0</v>
      </c>
      <c r="F31" s="72">
        <v>0</v>
      </c>
      <c r="G31" s="72">
        <v>0</v>
      </c>
      <c r="H31" s="72">
        <v>0</v>
      </c>
      <c r="I31" s="72">
        <v>0</v>
      </c>
      <c r="J31" s="72">
        <v>0</v>
      </c>
      <c r="K31" s="72">
        <v>0</v>
      </c>
      <c r="L31" s="72">
        <v>0</v>
      </c>
      <c r="M31" s="72">
        <v>0</v>
      </c>
      <c r="N31" s="72">
        <v>0</v>
      </c>
      <c r="O31" s="72">
        <v>0</v>
      </c>
      <c r="P31" s="72">
        <v>0</v>
      </c>
      <c r="Q31" s="72">
        <v>0</v>
      </c>
      <c r="R31" s="72">
        <v>0</v>
      </c>
      <c r="S31" s="72">
        <v>0</v>
      </c>
      <c r="T31" s="72">
        <v>0</v>
      </c>
      <c r="U31" s="72">
        <v>0</v>
      </c>
      <c r="V31" s="72">
        <v>0</v>
      </c>
      <c r="W31" s="72">
        <v>0</v>
      </c>
      <c r="X31" s="72">
        <v>0</v>
      </c>
      <c r="Y31" s="72">
        <v>0</v>
      </c>
      <c r="Z31" s="72">
        <v>0</v>
      </c>
      <c r="AA31" s="72">
        <v>0</v>
      </c>
      <c r="AB31" s="72">
        <v>0</v>
      </c>
      <c r="AC31" s="72">
        <v>0</v>
      </c>
      <c r="AD31" s="72">
        <v>0</v>
      </c>
      <c r="AE31" s="72">
        <v>0</v>
      </c>
      <c r="AF31" s="72">
        <v>0</v>
      </c>
      <c r="AG31" s="72">
        <v>0</v>
      </c>
      <c r="AH31" s="72">
        <v>0</v>
      </c>
      <c r="AI31" s="72">
        <v>0</v>
      </c>
      <c r="AJ31" s="72">
        <v>0</v>
      </c>
      <c r="AK31" s="72">
        <v>0</v>
      </c>
      <c r="AL31" s="72">
        <v>0</v>
      </c>
      <c r="AM31" s="72">
        <v>0</v>
      </c>
      <c r="AN31" s="72">
        <v>0</v>
      </c>
      <c r="AO31" s="72">
        <v>0</v>
      </c>
      <c r="AP31" s="72">
        <v>0</v>
      </c>
      <c r="AQ31" s="72">
        <v>0</v>
      </c>
      <c r="AR31" s="72">
        <v>0</v>
      </c>
      <c r="AS31" s="72">
        <v>0</v>
      </c>
      <c r="AT31" s="72">
        <v>0</v>
      </c>
      <c r="AU31" s="72">
        <v>0</v>
      </c>
      <c r="AV31" s="72">
        <v>0</v>
      </c>
      <c r="AW31" s="72">
        <v>0</v>
      </c>
      <c r="AX31" s="72">
        <v>0</v>
      </c>
      <c r="AY31" s="72">
        <v>0</v>
      </c>
      <c r="AZ31" s="72">
        <v>0</v>
      </c>
      <c r="BA31" s="72">
        <v>0</v>
      </c>
      <c r="BB31" s="72">
        <v>0</v>
      </c>
      <c r="BC31" s="72">
        <v>0</v>
      </c>
      <c r="BD31" s="72">
        <v>0</v>
      </c>
      <c r="BE31" s="72">
        <v>0</v>
      </c>
      <c r="BF31" s="72">
        <v>0</v>
      </c>
      <c r="BG31" s="72">
        <v>0</v>
      </c>
      <c r="BH31" s="72">
        <v>0</v>
      </c>
      <c r="BI31" s="72">
        <v>0</v>
      </c>
      <c r="BJ31" s="72">
        <v>0</v>
      </c>
      <c r="BK31" s="72">
        <v>0</v>
      </c>
      <c r="BL31" s="72">
        <v>0</v>
      </c>
      <c r="BM31" s="72">
        <v>0</v>
      </c>
      <c r="BN31" s="72">
        <v>0</v>
      </c>
      <c r="BO31" s="72">
        <v>0</v>
      </c>
      <c r="BP31" s="72">
        <v>0</v>
      </c>
      <c r="BQ31" s="72">
        <v>0</v>
      </c>
      <c r="BR31" s="72">
        <v>0</v>
      </c>
      <c r="BS31" s="72">
        <v>0</v>
      </c>
      <c r="BT31" s="72">
        <v>0</v>
      </c>
      <c r="BU31" s="72">
        <v>0</v>
      </c>
      <c r="BV31" s="72">
        <v>0</v>
      </c>
      <c r="BW31" s="72">
        <v>0</v>
      </c>
      <c r="BX31" s="72">
        <v>0</v>
      </c>
      <c r="BY31" s="72">
        <v>0</v>
      </c>
      <c r="BZ31" s="72">
        <v>0</v>
      </c>
      <c r="CA31" s="72">
        <v>0</v>
      </c>
      <c r="CB31" s="72">
        <v>0</v>
      </c>
      <c r="CC31" s="72">
        <v>0</v>
      </c>
      <c r="CD31" s="72">
        <v>0</v>
      </c>
      <c r="CE31" s="72">
        <v>0</v>
      </c>
      <c r="CF31" s="72">
        <v>0</v>
      </c>
      <c r="CG31" s="72">
        <v>0</v>
      </c>
      <c r="CH31" s="72">
        <v>0</v>
      </c>
      <c r="CI31" s="72">
        <v>0</v>
      </c>
      <c r="CJ31" s="72">
        <v>0</v>
      </c>
      <c r="CK31" s="72">
        <v>0</v>
      </c>
      <c r="CL31" s="72">
        <v>0</v>
      </c>
      <c r="CM31" s="72">
        <v>0</v>
      </c>
      <c r="CN31" s="72">
        <v>0</v>
      </c>
      <c r="CO31" s="72">
        <v>0</v>
      </c>
      <c r="CP31" s="72">
        <v>0</v>
      </c>
      <c r="CQ31" s="72">
        <v>0</v>
      </c>
      <c r="CR31" s="72">
        <v>0</v>
      </c>
      <c r="CS31" s="72">
        <v>0</v>
      </c>
      <c r="CT31" s="72">
        <v>0</v>
      </c>
      <c r="CU31" s="72">
        <v>0</v>
      </c>
      <c r="CV31" s="72">
        <v>0</v>
      </c>
      <c r="CW31" s="72">
        <v>0</v>
      </c>
      <c r="CX31" s="72">
        <v>0</v>
      </c>
      <c r="CY31" s="72">
        <v>0</v>
      </c>
      <c r="CZ31" s="72">
        <v>0</v>
      </c>
      <c r="DA31" s="72">
        <v>0</v>
      </c>
      <c r="DB31" s="72">
        <v>0</v>
      </c>
      <c r="DC31" s="72">
        <v>0</v>
      </c>
      <c r="DD31" s="72">
        <v>0</v>
      </c>
      <c r="DE31" s="72">
        <v>113.06577693092532</v>
      </c>
      <c r="DF31" s="72">
        <v>31.080352906882766</v>
      </c>
      <c r="DG31" s="72">
        <v>0</v>
      </c>
      <c r="DH31" s="72">
        <v>0</v>
      </c>
      <c r="DI31" s="72">
        <v>0</v>
      </c>
      <c r="DJ31" s="72">
        <v>0</v>
      </c>
      <c r="DK31" s="72">
        <v>0</v>
      </c>
      <c r="DL31" s="72">
        <v>0</v>
      </c>
      <c r="DM31" s="72">
        <v>0</v>
      </c>
      <c r="DN31" s="72">
        <v>5.3843774757553984</v>
      </c>
      <c r="DO31" s="72">
        <v>0</v>
      </c>
      <c r="DP31" s="72">
        <v>77.511255419117305</v>
      </c>
      <c r="DQ31" s="72">
        <v>53.138567884658542</v>
      </c>
      <c r="DR31" s="72">
        <v>163.20721560577826</v>
      </c>
      <c r="DS31" s="72">
        <v>742.50596140966627</v>
      </c>
      <c r="DT31" s="72">
        <v>725.35446925245787</v>
      </c>
      <c r="DU31" s="72">
        <v>0</v>
      </c>
      <c r="DV31" s="72">
        <v>0</v>
      </c>
      <c r="DW31" s="72">
        <v>488.75541969896898</v>
      </c>
      <c r="DX31" s="72">
        <v>21.463546716866052</v>
      </c>
      <c r="DY31" s="72">
        <v>9457.8222362714314</v>
      </c>
      <c r="DZ31" s="72">
        <v>2392.5514077516768</v>
      </c>
      <c r="EA31" s="72">
        <v>42966.262228690124</v>
      </c>
      <c r="EB31" s="72">
        <v>3720.0115819670723</v>
      </c>
      <c r="EC31" s="72">
        <v>77.760440097292147</v>
      </c>
      <c r="ED31" s="72">
        <v>183.63518441566322</v>
      </c>
      <c r="EE31" s="72">
        <v>0</v>
      </c>
      <c r="EF31" s="72">
        <v>0</v>
      </c>
      <c r="EG31" s="72">
        <v>198.080280473708</v>
      </c>
      <c r="EH31" s="72">
        <v>0</v>
      </c>
      <c r="EI31" s="72">
        <v>0</v>
      </c>
      <c r="EJ31" s="72">
        <v>0</v>
      </c>
      <c r="EK31" s="72">
        <v>0</v>
      </c>
      <c r="EL31" s="72">
        <v>0</v>
      </c>
      <c r="EM31" s="72">
        <v>0</v>
      </c>
      <c r="EN31" s="72">
        <v>0</v>
      </c>
      <c r="EO31" s="72">
        <v>0</v>
      </c>
      <c r="EP31" s="72">
        <v>0</v>
      </c>
      <c r="EQ31" s="72">
        <v>0</v>
      </c>
      <c r="ER31" s="72">
        <v>0</v>
      </c>
      <c r="ES31" s="72">
        <v>0</v>
      </c>
      <c r="ET31" s="72">
        <v>0</v>
      </c>
      <c r="EU31" s="72">
        <v>0</v>
      </c>
      <c r="EV31" s="72">
        <v>0</v>
      </c>
      <c r="EW31" s="72">
        <v>0</v>
      </c>
      <c r="EX31" s="72">
        <v>0</v>
      </c>
      <c r="EY31" s="72">
        <v>0</v>
      </c>
      <c r="EZ31" s="72">
        <v>0</v>
      </c>
      <c r="FA31" s="72">
        <v>0</v>
      </c>
      <c r="FB31" s="72">
        <v>0</v>
      </c>
      <c r="FC31" s="72">
        <v>0</v>
      </c>
      <c r="FD31" s="72">
        <v>0</v>
      </c>
      <c r="FE31" s="72">
        <v>0</v>
      </c>
      <c r="FF31" s="72">
        <v>4234.2085982840126</v>
      </c>
      <c r="FG31" s="72">
        <v>0</v>
      </c>
      <c r="FH31" s="72">
        <v>0</v>
      </c>
      <c r="FI31" s="72">
        <v>0</v>
      </c>
      <c r="FJ31" s="72">
        <v>0</v>
      </c>
      <c r="FK31" s="72">
        <v>0</v>
      </c>
      <c r="FL31" s="72">
        <v>0</v>
      </c>
      <c r="FM31" s="72">
        <v>0</v>
      </c>
      <c r="FN31" s="72">
        <v>0</v>
      </c>
      <c r="FO31" s="72">
        <v>0</v>
      </c>
      <c r="FP31" s="72">
        <v>0</v>
      </c>
      <c r="FQ31" s="72">
        <v>0</v>
      </c>
      <c r="FR31" s="72">
        <v>0</v>
      </c>
      <c r="FS31" s="72">
        <v>0</v>
      </c>
      <c r="FT31" s="72">
        <v>0</v>
      </c>
      <c r="FU31" s="72">
        <v>0</v>
      </c>
      <c r="FV31" s="72">
        <v>0</v>
      </c>
      <c r="FW31" s="72">
        <v>0</v>
      </c>
      <c r="FX31" s="72">
        <v>0</v>
      </c>
      <c r="FY31" s="72">
        <v>0</v>
      </c>
      <c r="FZ31" s="72">
        <v>0</v>
      </c>
      <c r="GA31" s="72">
        <v>0</v>
      </c>
      <c r="GB31" s="72">
        <v>0</v>
      </c>
      <c r="GC31" s="72">
        <v>0</v>
      </c>
      <c r="GD31" s="72">
        <v>0</v>
      </c>
      <c r="GE31" s="72">
        <v>0</v>
      </c>
      <c r="GF31" s="72">
        <v>0</v>
      </c>
      <c r="GG31" s="72">
        <v>0</v>
      </c>
      <c r="GH31" s="72">
        <v>0</v>
      </c>
      <c r="GI31" s="72">
        <v>0</v>
      </c>
      <c r="GJ31" s="72">
        <v>0</v>
      </c>
      <c r="GK31" s="72">
        <v>0</v>
      </c>
      <c r="GL31" s="72">
        <v>0</v>
      </c>
      <c r="GM31" s="72">
        <v>0</v>
      </c>
      <c r="GN31" s="72">
        <v>0</v>
      </c>
      <c r="GO31" s="72">
        <v>0</v>
      </c>
      <c r="GP31" s="72">
        <v>0</v>
      </c>
      <c r="GQ31" s="72">
        <v>0</v>
      </c>
      <c r="GR31" s="72">
        <f t="shared" si="0"/>
        <v>65651.798901252056</v>
      </c>
      <c r="GS31" s="72">
        <f>SUM(AB$5:AB$202)</f>
        <v>65651.798901252056</v>
      </c>
      <c r="GT31" s="73">
        <v>0</v>
      </c>
    </row>
    <row r="32" spans="1:202" outlineLevel="1" x14ac:dyDescent="0.2">
      <c r="A32" s="66" t="s">
        <v>281</v>
      </c>
      <c r="B32" s="72">
        <v>0</v>
      </c>
      <c r="C32" s="72">
        <v>0</v>
      </c>
      <c r="D32" s="72">
        <v>0</v>
      </c>
      <c r="E32" s="72">
        <v>0</v>
      </c>
      <c r="F32" s="72">
        <v>0</v>
      </c>
      <c r="G32" s="72">
        <v>0</v>
      </c>
      <c r="H32" s="72">
        <v>0</v>
      </c>
      <c r="I32" s="72">
        <v>0</v>
      </c>
      <c r="J32" s="72">
        <v>0</v>
      </c>
      <c r="K32" s="72">
        <v>0</v>
      </c>
      <c r="L32" s="72">
        <v>0</v>
      </c>
      <c r="M32" s="72">
        <v>0</v>
      </c>
      <c r="N32" s="72">
        <v>0</v>
      </c>
      <c r="O32" s="72">
        <v>0</v>
      </c>
      <c r="P32" s="72">
        <v>0</v>
      </c>
      <c r="Q32" s="72">
        <v>0</v>
      </c>
      <c r="R32" s="72">
        <v>0</v>
      </c>
      <c r="S32" s="72">
        <v>0</v>
      </c>
      <c r="T32" s="72">
        <v>0</v>
      </c>
      <c r="U32" s="72">
        <v>0</v>
      </c>
      <c r="V32" s="72">
        <v>0</v>
      </c>
      <c r="W32" s="72">
        <v>0</v>
      </c>
      <c r="X32" s="72">
        <v>0</v>
      </c>
      <c r="Y32" s="72">
        <v>0</v>
      </c>
      <c r="Z32" s="72">
        <v>0</v>
      </c>
      <c r="AA32" s="72">
        <v>0</v>
      </c>
      <c r="AB32" s="72">
        <v>0</v>
      </c>
      <c r="AC32" s="72">
        <v>0</v>
      </c>
      <c r="AD32" s="72">
        <v>0</v>
      </c>
      <c r="AE32" s="72">
        <v>0</v>
      </c>
      <c r="AF32" s="72">
        <v>0</v>
      </c>
      <c r="AG32" s="72">
        <v>0</v>
      </c>
      <c r="AH32" s="72">
        <v>0</v>
      </c>
      <c r="AI32" s="72">
        <v>0</v>
      </c>
      <c r="AJ32" s="72">
        <v>0</v>
      </c>
      <c r="AK32" s="72">
        <v>0</v>
      </c>
      <c r="AL32" s="72">
        <v>0</v>
      </c>
      <c r="AM32" s="72">
        <v>0</v>
      </c>
      <c r="AN32" s="72">
        <v>0</v>
      </c>
      <c r="AO32" s="72">
        <v>0</v>
      </c>
      <c r="AP32" s="72">
        <v>0</v>
      </c>
      <c r="AQ32" s="72">
        <v>0</v>
      </c>
      <c r="AR32" s="72">
        <v>0</v>
      </c>
      <c r="AS32" s="72">
        <v>0</v>
      </c>
      <c r="AT32" s="72">
        <v>0</v>
      </c>
      <c r="AU32" s="72">
        <v>0</v>
      </c>
      <c r="AV32" s="72">
        <v>0</v>
      </c>
      <c r="AW32" s="72">
        <v>0</v>
      </c>
      <c r="AX32" s="72">
        <v>0</v>
      </c>
      <c r="AY32" s="72">
        <v>0</v>
      </c>
      <c r="AZ32" s="72">
        <v>0</v>
      </c>
      <c r="BA32" s="72">
        <v>0</v>
      </c>
      <c r="BB32" s="72">
        <v>0</v>
      </c>
      <c r="BC32" s="72">
        <v>0</v>
      </c>
      <c r="BD32" s="72">
        <v>0</v>
      </c>
      <c r="BE32" s="72">
        <v>0</v>
      </c>
      <c r="BF32" s="72">
        <v>0</v>
      </c>
      <c r="BG32" s="72">
        <v>0</v>
      </c>
      <c r="BH32" s="72">
        <v>0</v>
      </c>
      <c r="BI32" s="72">
        <v>0</v>
      </c>
      <c r="BJ32" s="72">
        <v>0</v>
      </c>
      <c r="BK32" s="72">
        <v>0</v>
      </c>
      <c r="BL32" s="72">
        <v>0</v>
      </c>
      <c r="BM32" s="72">
        <v>0</v>
      </c>
      <c r="BN32" s="72">
        <v>0</v>
      </c>
      <c r="BO32" s="72">
        <v>0</v>
      </c>
      <c r="BP32" s="72">
        <v>0</v>
      </c>
      <c r="BQ32" s="72">
        <v>0</v>
      </c>
      <c r="BR32" s="72">
        <v>0</v>
      </c>
      <c r="BS32" s="72">
        <v>0</v>
      </c>
      <c r="BT32" s="72">
        <v>0</v>
      </c>
      <c r="BU32" s="72">
        <v>0</v>
      </c>
      <c r="BV32" s="72">
        <v>0</v>
      </c>
      <c r="BW32" s="72">
        <v>0</v>
      </c>
      <c r="BX32" s="72">
        <v>0</v>
      </c>
      <c r="BY32" s="72">
        <v>0</v>
      </c>
      <c r="BZ32" s="72">
        <v>0</v>
      </c>
      <c r="CA32" s="72">
        <v>0</v>
      </c>
      <c r="CB32" s="72">
        <v>0</v>
      </c>
      <c r="CC32" s="72">
        <v>0</v>
      </c>
      <c r="CD32" s="72">
        <v>0</v>
      </c>
      <c r="CE32" s="72">
        <v>0</v>
      </c>
      <c r="CF32" s="72">
        <v>0</v>
      </c>
      <c r="CG32" s="72">
        <v>0</v>
      </c>
      <c r="CH32" s="72">
        <v>0</v>
      </c>
      <c r="CI32" s="72">
        <v>0</v>
      </c>
      <c r="CJ32" s="72">
        <v>0</v>
      </c>
      <c r="CK32" s="72">
        <v>0</v>
      </c>
      <c r="CL32" s="72">
        <v>0</v>
      </c>
      <c r="CM32" s="72">
        <v>0</v>
      </c>
      <c r="CN32" s="72">
        <v>0</v>
      </c>
      <c r="CO32" s="72">
        <v>0</v>
      </c>
      <c r="CP32" s="72">
        <v>0</v>
      </c>
      <c r="CQ32" s="72">
        <v>0</v>
      </c>
      <c r="CR32" s="72">
        <v>0</v>
      </c>
      <c r="CS32" s="72">
        <v>0</v>
      </c>
      <c r="CT32" s="72">
        <v>0</v>
      </c>
      <c r="CU32" s="72">
        <v>0</v>
      </c>
      <c r="CV32" s="72">
        <v>0</v>
      </c>
      <c r="CW32" s="72">
        <v>0</v>
      </c>
      <c r="CX32" s="72">
        <v>0</v>
      </c>
      <c r="CY32" s="72">
        <v>0</v>
      </c>
      <c r="CZ32" s="72">
        <v>0</v>
      </c>
      <c r="DA32" s="72">
        <v>0</v>
      </c>
      <c r="DB32" s="72">
        <v>0</v>
      </c>
      <c r="DC32" s="72">
        <v>0</v>
      </c>
      <c r="DD32" s="72">
        <v>0</v>
      </c>
      <c r="DE32" s="72">
        <v>0</v>
      </c>
      <c r="DF32" s="72">
        <v>0</v>
      </c>
      <c r="DG32" s="72">
        <v>0</v>
      </c>
      <c r="DH32" s="72">
        <v>0</v>
      </c>
      <c r="DI32" s="72">
        <v>0</v>
      </c>
      <c r="DJ32" s="72">
        <v>0</v>
      </c>
      <c r="DK32" s="72">
        <v>0</v>
      </c>
      <c r="DL32" s="72">
        <v>0</v>
      </c>
      <c r="DM32" s="72">
        <v>0</v>
      </c>
      <c r="DN32" s="72">
        <v>0</v>
      </c>
      <c r="DO32" s="72">
        <v>0</v>
      </c>
      <c r="DP32" s="72">
        <v>0</v>
      </c>
      <c r="DQ32" s="72">
        <v>0</v>
      </c>
      <c r="DR32" s="72">
        <v>0</v>
      </c>
      <c r="DS32" s="72">
        <v>162.74849330012481</v>
      </c>
      <c r="DT32" s="72">
        <v>0</v>
      </c>
      <c r="DU32" s="72">
        <v>0</v>
      </c>
      <c r="DV32" s="72">
        <v>0</v>
      </c>
      <c r="DW32" s="72">
        <v>461.19080236324066</v>
      </c>
      <c r="DX32" s="72">
        <v>0</v>
      </c>
      <c r="DY32" s="72">
        <v>0</v>
      </c>
      <c r="DZ32" s="72">
        <v>0</v>
      </c>
      <c r="EA32" s="72">
        <v>318.97387885995215</v>
      </c>
      <c r="EB32" s="72">
        <v>15166.589970137713</v>
      </c>
      <c r="EC32" s="72">
        <v>26.558467680314159</v>
      </c>
      <c r="ED32" s="72">
        <v>0</v>
      </c>
      <c r="EE32" s="72">
        <v>0</v>
      </c>
      <c r="EF32" s="72">
        <v>0</v>
      </c>
      <c r="EG32" s="72">
        <v>0</v>
      </c>
      <c r="EH32" s="72">
        <v>0</v>
      </c>
      <c r="EI32" s="72">
        <v>0</v>
      </c>
      <c r="EJ32" s="72">
        <v>0</v>
      </c>
      <c r="EK32" s="72">
        <v>0</v>
      </c>
      <c r="EL32" s="72">
        <v>0</v>
      </c>
      <c r="EM32" s="72">
        <v>0</v>
      </c>
      <c r="EN32" s="72">
        <v>0</v>
      </c>
      <c r="EO32" s="72">
        <v>0</v>
      </c>
      <c r="EP32" s="72">
        <v>0</v>
      </c>
      <c r="EQ32" s="72">
        <v>0</v>
      </c>
      <c r="ER32" s="72">
        <v>0</v>
      </c>
      <c r="ES32" s="72">
        <v>0</v>
      </c>
      <c r="ET32" s="72">
        <v>0</v>
      </c>
      <c r="EU32" s="72">
        <v>0</v>
      </c>
      <c r="EV32" s="72">
        <v>0</v>
      </c>
      <c r="EW32" s="72">
        <v>0</v>
      </c>
      <c r="EX32" s="72">
        <v>0</v>
      </c>
      <c r="EY32" s="72">
        <v>0</v>
      </c>
      <c r="EZ32" s="72">
        <v>0</v>
      </c>
      <c r="FA32" s="72">
        <v>0</v>
      </c>
      <c r="FB32" s="72">
        <v>0</v>
      </c>
      <c r="FC32" s="72">
        <v>0</v>
      </c>
      <c r="FD32" s="72">
        <v>0</v>
      </c>
      <c r="FE32" s="72">
        <v>0</v>
      </c>
      <c r="FF32" s="72">
        <v>871.14310392818163</v>
      </c>
      <c r="FG32" s="72">
        <v>0</v>
      </c>
      <c r="FH32" s="72">
        <v>0</v>
      </c>
      <c r="FI32" s="72">
        <v>0</v>
      </c>
      <c r="FJ32" s="72">
        <v>0</v>
      </c>
      <c r="FK32" s="72">
        <v>0</v>
      </c>
      <c r="FL32" s="72">
        <v>0</v>
      </c>
      <c r="FM32" s="72">
        <v>0</v>
      </c>
      <c r="FN32" s="72">
        <v>0</v>
      </c>
      <c r="FO32" s="72">
        <v>0</v>
      </c>
      <c r="FP32" s="72">
        <v>0</v>
      </c>
      <c r="FQ32" s="72">
        <v>0</v>
      </c>
      <c r="FR32" s="72">
        <v>0</v>
      </c>
      <c r="FS32" s="72">
        <v>0</v>
      </c>
      <c r="FT32" s="72">
        <v>0</v>
      </c>
      <c r="FU32" s="72">
        <v>0</v>
      </c>
      <c r="FV32" s="72">
        <v>0</v>
      </c>
      <c r="FW32" s="72">
        <v>0</v>
      </c>
      <c r="FX32" s="72">
        <v>0</v>
      </c>
      <c r="FY32" s="72">
        <v>0</v>
      </c>
      <c r="FZ32" s="72">
        <v>0</v>
      </c>
      <c r="GA32" s="72">
        <v>0</v>
      </c>
      <c r="GB32" s="72">
        <v>0</v>
      </c>
      <c r="GC32" s="72">
        <v>0</v>
      </c>
      <c r="GD32" s="72">
        <v>0</v>
      </c>
      <c r="GE32" s="72">
        <v>0</v>
      </c>
      <c r="GF32" s="72">
        <v>0</v>
      </c>
      <c r="GG32" s="72">
        <v>0</v>
      </c>
      <c r="GH32" s="72">
        <v>0</v>
      </c>
      <c r="GI32" s="72">
        <v>0</v>
      </c>
      <c r="GJ32" s="72">
        <v>0</v>
      </c>
      <c r="GK32" s="72">
        <v>0</v>
      </c>
      <c r="GL32" s="72">
        <v>0</v>
      </c>
      <c r="GM32" s="72">
        <v>0</v>
      </c>
      <c r="GN32" s="72">
        <v>0</v>
      </c>
      <c r="GO32" s="72">
        <v>0</v>
      </c>
      <c r="GP32" s="72">
        <v>0</v>
      </c>
      <c r="GQ32" s="72">
        <v>0</v>
      </c>
      <c r="GR32" s="72">
        <f t="shared" si="0"/>
        <v>17007.204716269527</v>
      </c>
      <c r="GS32" s="72">
        <f>SUM(AC$5:AC$202)</f>
        <v>17007.204716269523</v>
      </c>
      <c r="GT32" s="73">
        <v>0</v>
      </c>
    </row>
    <row r="33" spans="1:202" outlineLevel="1" x14ac:dyDescent="0.2">
      <c r="A33" s="66" t="s">
        <v>286</v>
      </c>
      <c r="B33" s="72">
        <v>0</v>
      </c>
      <c r="C33" s="72">
        <v>0</v>
      </c>
      <c r="D33" s="72">
        <v>0</v>
      </c>
      <c r="E33" s="72">
        <v>0</v>
      </c>
      <c r="F33" s="72">
        <v>0</v>
      </c>
      <c r="G33" s="72">
        <v>0</v>
      </c>
      <c r="H33" s="72">
        <v>0</v>
      </c>
      <c r="I33" s="72">
        <v>0</v>
      </c>
      <c r="J33" s="72">
        <v>0</v>
      </c>
      <c r="K33" s="72">
        <v>0</v>
      </c>
      <c r="L33" s="72">
        <v>0</v>
      </c>
      <c r="M33" s="72">
        <v>0</v>
      </c>
      <c r="N33" s="72">
        <v>0</v>
      </c>
      <c r="O33" s="72">
        <v>0</v>
      </c>
      <c r="P33" s="72">
        <v>0</v>
      </c>
      <c r="Q33" s="72">
        <v>0</v>
      </c>
      <c r="R33" s="72">
        <v>0</v>
      </c>
      <c r="S33" s="72">
        <v>0</v>
      </c>
      <c r="T33" s="72">
        <v>0</v>
      </c>
      <c r="U33" s="72">
        <v>0</v>
      </c>
      <c r="V33" s="72">
        <v>0</v>
      </c>
      <c r="W33" s="72">
        <v>0</v>
      </c>
      <c r="X33" s="72">
        <v>0</v>
      </c>
      <c r="Y33" s="72">
        <v>0</v>
      </c>
      <c r="Z33" s="72">
        <v>0</v>
      </c>
      <c r="AA33" s="72">
        <v>0</v>
      </c>
      <c r="AB33" s="72">
        <v>0</v>
      </c>
      <c r="AC33" s="72">
        <v>0</v>
      </c>
      <c r="AD33" s="72">
        <v>0</v>
      </c>
      <c r="AE33" s="72">
        <v>0</v>
      </c>
      <c r="AF33" s="72">
        <v>0</v>
      </c>
      <c r="AG33" s="72">
        <v>0</v>
      </c>
      <c r="AH33" s="72">
        <v>0</v>
      </c>
      <c r="AI33" s="72">
        <v>0</v>
      </c>
      <c r="AJ33" s="72">
        <v>0</v>
      </c>
      <c r="AK33" s="72">
        <v>0</v>
      </c>
      <c r="AL33" s="72">
        <v>0</v>
      </c>
      <c r="AM33" s="72">
        <v>0</v>
      </c>
      <c r="AN33" s="72">
        <v>0</v>
      </c>
      <c r="AO33" s="72">
        <v>0</v>
      </c>
      <c r="AP33" s="72">
        <v>0</v>
      </c>
      <c r="AQ33" s="72">
        <v>0</v>
      </c>
      <c r="AR33" s="72">
        <v>0</v>
      </c>
      <c r="AS33" s="72">
        <v>0</v>
      </c>
      <c r="AT33" s="72">
        <v>0</v>
      </c>
      <c r="AU33" s="72">
        <v>0</v>
      </c>
      <c r="AV33" s="72">
        <v>0</v>
      </c>
      <c r="AW33" s="72">
        <v>0</v>
      </c>
      <c r="AX33" s="72">
        <v>0</v>
      </c>
      <c r="AY33" s="72">
        <v>0</v>
      </c>
      <c r="AZ33" s="72">
        <v>0</v>
      </c>
      <c r="BA33" s="72">
        <v>0</v>
      </c>
      <c r="BB33" s="72">
        <v>0</v>
      </c>
      <c r="BC33" s="72">
        <v>0</v>
      </c>
      <c r="BD33" s="72">
        <v>0</v>
      </c>
      <c r="BE33" s="72">
        <v>0</v>
      </c>
      <c r="BF33" s="72">
        <v>0</v>
      </c>
      <c r="BG33" s="72">
        <v>0</v>
      </c>
      <c r="BH33" s="72">
        <v>0</v>
      </c>
      <c r="BI33" s="72">
        <v>0</v>
      </c>
      <c r="BJ33" s="72">
        <v>0</v>
      </c>
      <c r="BK33" s="72">
        <v>0</v>
      </c>
      <c r="BL33" s="72">
        <v>0</v>
      </c>
      <c r="BM33" s="72">
        <v>0</v>
      </c>
      <c r="BN33" s="72">
        <v>0</v>
      </c>
      <c r="BO33" s="72">
        <v>0</v>
      </c>
      <c r="BP33" s="72">
        <v>0</v>
      </c>
      <c r="BQ33" s="72">
        <v>0</v>
      </c>
      <c r="BR33" s="72">
        <v>0</v>
      </c>
      <c r="BS33" s="72">
        <v>0</v>
      </c>
      <c r="BT33" s="72">
        <v>0</v>
      </c>
      <c r="BU33" s="72">
        <v>0</v>
      </c>
      <c r="BV33" s="72">
        <v>0</v>
      </c>
      <c r="BW33" s="72">
        <v>0</v>
      </c>
      <c r="BX33" s="72">
        <v>0</v>
      </c>
      <c r="BY33" s="72">
        <v>0</v>
      </c>
      <c r="BZ33" s="72">
        <v>0</v>
      </c>
      <c r="CA33" s="72">
        <v>0</v>
      </c>
      <c r="CB33" s="72">
        <v>0</v>
      </c>
      <c r="CC33" s="72">
        <v>0</v>
      </c>
      <c r="CD33" s="72">
        <v>0</v>
      </c>
      <c r="CE33" s="72">
        <v>0</v>
      </c>
      <c r="CF33" s="72">
        <v>0</v>
      </c>
      <c r="CG33" s="72">
        <v>0</v>
      </c>
      <c r="CH33" s="72">
        <v>0</v>
      </c>
      <c r="CI33" s="72">
        <v>0</v>
      </c>
      <c r="CJ33" s="72">
        <v>0</v>
      </c>
      <c r="CK33" s="72">
        <v>0</v>
      </c>
      <c r="CL33" s="72">
        <v>0</v>
      </c>
      <c r="CM33" s="72">
        <v>0</v>
      </c>
      <c r="CN33" s="72">
        <v>0</v>
      </c>
      <c r="CO33" s="72">
        <v>0</v>
      </c>
      <c r="CP33" s="72">
        <v>0</v>
      </c>
      <c r="CQ33" s="72">
        <v>0</v>
      </c>
      <c r="CR33" s="72">
        <v>0</v>
      </c>
      <c r="CS33" s="72">
        <v>0</v>
      </c>
      <c r="CT33" s="72">
        <v>0</v>
      </c>
      <c r="CU33" s="72">
        <v>0</v>
      </c>
      <c r="CV33" s="72">
        <v>0</v>
      </c>
      <c r="CW33" s="72">
        <v>0</v>
      </c>
      <c r="CX33" s="72">
        <v>0</v>
      </c>
      <c r="CY33" s="72">
        <v>0</v>
      </c>
      <c r="CZ33" s="72">
        <v>0</v>
      </c>
      <c r="DA33" s="72">
        <v>42.963063552469734</v>
      </c>
      <c r="DB33" s="72">
        <v>0</v>
      </c>
      <c r="DC33" s="72">
        <v>0</v>
      </c>
      <c r="DD33" s="72">
        <v>0</v>
      </c>
      <c r="DE33" s="72">
        <v>0</v>
      </c>
      <c r="DF33" s="72">
        <v>0</v>
      </c>
      <c r="DG33" s="72">
        <v>0</v>
      </c>
      <c r="DH33" s="72">
        <v>0</v>
      </c>
      <c r="DI33" s="72">
        <v>0</v>
      </c>
      <c r="DJ33" s="72">
        <v>0</v>
      </c>
      <c r="DK33" s="72">
        <v>0</v>
      </c>
      <c r="DL33" s="72">
        <v>0</v>
      </c>
      <c r="DM33" s="72">
        <v>0</v>
      </c>
      <c r="DN33" s="72">
        <v>0</v>
      </c>
      <c r="DO33" s="72">
        <v>0</v>
      </c>
      <c r="DP33" s="72">
        <v>0</v>
      </c>
      <c r="DQ33" s="72">
        <v>0</v>
      </c>
      <c r="DR33" s="72">
        <v>0</v>
      </c>
      <c r="DS33" s="72">
        <v>0</v>
      </c>
      <c r="DT33" s="72">
        <v>196.47374803054757</v>
      </c>
      <c r="DU33" s="72">
        <v>0</v>
      </c>
      <c r="DV33" s="72">
        <v>0</v>
      </c>
      <c r="DW33" s="72">
        <v>197.32650389492147</v>
      </c>
      <c r="DX33" s="72">
        <v>0</v>
      </c>
      <c r="DY33" s="72">
        <v>0</v>
      </c>
      <c r="DZ33" s="72">
        <v>0</v>
      </c>
      <c r="EA33" s="72">
        <v>0</v>
      </c>
      <c r="EB33" s="72">
        <v>106.07955258336652</v>
      </c>
      <c r="EC33" s="72">
        <v>11280.123069333011</v>
      </c>
      <c r="ED33" s="72">
        <v>0</v>
      </c>
      <c r="EE33" s="72">
        <v>0</v>
      </c>
      <c r="EF33" s="72">
        <v>0</v>
      </c>
      <c r="EG33" s="72">
        <v>0</v>
      </c>
      <c r="EH33" s="72">
        <v>0</v>
      </c>
      <c r="EI33" s="72">
        <v>0</v>
      </c>
      <c r="EJ33" s="72">
        <v>0</v>
      </c>
      <c r="EK33" s="72">
        <v>0</v>
      </c>
      <c r="EL33" s="72">
        <v>0</v>
      </c>
      <c r="EM33" s="72">
        <v>0</v>
      </c>
      <c r="EN33" s="72">
        <v>0</v>
      </c>
      <c r="EO33" s="72">
        <v>0</v>
      </c>
      <c r="EP33" s="72">
        <v>0</v>
      </c>
      <c r="EQ33" s="72">
        <v>0</v>
      </c>
      <c r="ER33" s="72">
        <v>0</v>
      </c>
      <c r="ES33" s="72">
        <v>0</v>
      </c>
      <c r="ET33" s="72">
        <v>0</v>
      </c>
      <c r="EU33" s="72">
        <v>0</v>
      </c>
      <c r="EV33" s="72">
        <v>0</v>
      </c>
      <c r="EW33" s="72">
        <v>0</v>
      </c>
      <c r="EX33" s="72">
        <v>0</v>
      </c>
      <c r="EY33" s="72">
        <v>0</v>
      </c>
      <c r="EZ33" s="72">
        <v>0</v>
      </c>
      <c r="FA33" s="72">
        <v>0</v>
      </c>
      <c r="FB33" s="72">
        <v>0</v>
      </c>
      <c r="FC33" s="72">
        <v>0</v>
      </c>
      <c r="FD33" s="72">
        <v>0</v>
      </c>
      <c r="FE33" s="72">
        <v>0</v>
      </c>
      <c r="FF33" s="72">
        <v>1705.643044483847</v>
      </c>
      <c r="FG33" s="72">
        <v>0</v>
      </c>
      <c r="FH33" s="72">
        <v>0</v>
      </c>
      <c r="FI33" s="72">
        <v>0</v>
      </c>
      <c r="FJ33" s="72">
        <v>0</v>
      </c>
      <c r="FK33" s="72">
        <v>0</v>
      </c>
      <c r="FL33" s="72">
        <v>0</v>
      </c>
      <c r="FM33" s="72">
        <v>0</v>
      </c>
      <c r="FN33" s="72">
        <v>0</v>
      </c>
      <c r="FO33" s="72">
        <v>0</v>
      </c>
      <c r="FP33" s="72">
        <v>0</v>
      </c>
      <c r="FQ33" s="72">
        <v>0</v>
      </c>
      <c r="FR33" s="72">
        <v>0</v>
      </c>
      <c r="FS33" s="72">
        <v>0</v>
      </c>
      <c r="FT33" s="72">
        <v>0</v>
      </c>
      <c r="FU33" s="72">
        <v>0</v>
      </c>
      <c r="FV33" s="72">
        <v>0</v>
      </c>
      <c r="FW33" s="72">
        <v>0</v>
      </c>
      <c r="FX33" s="72">
        <v>0</v>
      </c>
      <c r="FY33" s="72">
        <v>0</v>
      </c>
      <c r="FZ33" s="72">
        <v>0</v>
      </c>
      <c r="GA33" s="72">
        <v>0</v>
      </c>
      <c r="GB33" s="72">
        <v>0</v>
      </c>
      <c r="GC33" s="72">
        <v>0</v>
      </c>
      <c r="GD33" s="72">
        <v>0</v>
      </c>
      <c r="GE33" s="72">
        <v>0</v>
      </c>
      <c r="GF33" s="72">
        <v>0</v>
      </c>
      <c r="GG33" s="72">
        <v>0</v>
      </c>
      <c r="GH33" s="72">
        <v>0</v>
      </c>
      <c r="GI33" s="72">
        <v>0</v>
      </c>
      <c r="GJ33" s="72">
        <v>0</v>
      </c>
      <c r="GK33" s="72">
        <v>0</v>
      </c>
      <c r="GL33" s="72">
        <v>0</v>
      </c>
      <c r="GM33" s="72">
        <v>0</v>
      </c>
      <c r="GN33" s="72">
        <v>0</v>
      </c>
      <c r="GO33" s="72">
        <v>0</v>
      </c>
      <c r="GP33" s="72">
        <v>0</v>
      </c>
      <c r="GQ33" s="72">
        <v>0</v>
      </c>
      <c r="GR33" s="72">
        <f t="shared" si="0"/>
        <v>13528.608981878162</v>
      </c>
      <c r="GS33" s="72">
        <f>SUM(AD$5:AD$202)</f>
        <v>13528.608981878164</v>
      </c>
      <c r="GT33" s="73">
        <v>0</v>
      </c>
    </row>
    <row r="34" spans="1:202" outlineLevel="1" x14ac:dyDescent="0.2">
      <c r="A34" s="66" t="s">
        <v>291</v>
      </c>
      <c r="B34" s="72">
        <v>0</v>
      </c>
      <c r="C34" s="72">
        <v>0</v>
      </c>
      <c r="D34" s="72">
        <v>0</v>
      </c>
      <c r="E34" s="72">
        <v>0</v>
      </c>
      <c r="F34" s="72">
        <v>0</v>
      </c>
      <c r="G34" s="72">
        <v>0</v>
      </c>
      <c r="H34" s="72">
        <v>0</v>
      </c>
      <c r="I34" s="72">
        <v>0</v>
      </c>
      <c r="J34" s="72">
        <v>0</v>
      </c>
      <c r="K34" s="72">
        <v>0</v>
      </c>
      <c r="L34" s="72">
        <v>0</v>
      </c>
      <c r="M34" s="72">
        <v>0</v>
      </c>
      <c r="N34" s="72">
        <v>0</v>
      </c>
      <c r="O34" s="72">
        <v>0</v>
      </c>
      <c r="P34" s="72">
        <v>0</v>
      </c>
      <c r="Q34" s="72">
        <v>0</v>
      </c>
      <c r="R34" s="72">
        <v>0</v>
      </c>
      <c r="S34" s="72">
        <v>0</v>
      </c>
      <c r="T34" s="72">
        <v>0</v>
      </c>
      <c r="U34" s="72">
        <v>0</v>
      </c>
      <c r="V34" s="72">
        <v>0</v>
      </c>
      <c r="W34" s="72">
        <v>0</v>
      </c>
      <c r="X34" s="72">
        <v>0</v>
      </c>
      <c r="Y34" s="72">
        <v>0</v>
      </c>
      <c r="Z34" s="72">
        <v>0</v>
      </c>
      <c r="AA34" s="72">
        <v>0</v>
      </c>
      <c r="AB34" s="72">
        <v>0</v>
      </c>
      <c r="AC34" s="72">
        <v>0</v>
      </c>
      <c r="AD34" s="72">
        <v>0</v>
      </c>
      <c r="AE34" s="72">
        <v>0</v>
      </c>
      <c r="AF34" s="72">
        <v>0</v>
      </c>
      <c r="AG34" s="72">
        <v>0</v>
      </c>
      <c r="AH34" s="72">
        <v>0</v>
      </c>
      <c r="AI34" s="72">
        <v>0</v>
      </c>
      <c r="AJ34" s="72">
        <v>0</v>
      </c>
      <c r="AK34" s="72">
        <v>0</v>
      </c>
      <c r="AL34" s="72">
        <v>0</v>
      </c>
      <c r="AM34" s="72">
        <v>0</v>
      </c>
      <c r="AN34" s="72">
        <v>0</v>
      </c>
      <c r="AO34" s="72">
        <v>0</v>
      </c>
      <c r="AP34" s="72">
        <v>0</v>
      </c>
      <c r="AQ34" s="72">
        <v>0</v>
      </c>
      <c r="AR34" s="72">
        <v>0</v>
      </c>
      <c r="AS34" s="72">
        <v>0</v>
      </c>
      <c r="AT34" s="72">
        <v>0</v>
      </c>
      <c r="AU34" s="72">
        <v>0</v>
      </c>
      <c r="AV34" s="72">
        <v>0</v>
      </c>
      <c r="AW34" s="72">
        <v>0</v>
      </c>
      <c r="AX34" s="72">
        <v>0</v>
      </c>
      <c r="AY34" s="72">
        <v>0</v>
      </c>
      <c r="AZ34" s="72">
        <v>0</v>
      </c>
      <c r="BA34" s="72">
        <v>0</v>
      </c>
      <c r="BB34" s="72">
        <v>0</v>
      </c>
      <c r="BC34" s="72">
        <v>0</v>
      </c>
      <c r="BD34" s="72">
        <v>0</v>
      </c>
      <c r="BE34" s="72">
        <v>0</v>
      </c>
      <c r="BF34" s="72">
        <v>0</v>
      </c>
      <c r="BG34" s="72">
        <v>0</v>
      </c>
      <c r="BH34" s="72">
        <v>0</v>
      </c>
      <c r="BI34" s="72">
        <v>0</v>
      </c>
      <c r="BJ34" s="72">
        <v>0</v>
      </c>
      <c r="BK34" s="72">
        <v>0</v>
      </c>
      <c r="BL34" s="72">
        <v>0</v>
      </c>
      <c r="BM34" s="72">
        <v>0</v>
      </c>
      <c r="BN34" s="72">
        <v>0</v>
      </c>
      <c r="BO34" s="72">
        <v>0</v>
      </c>
      <c r="BP34" s="72">
        <v>0</v>
      </c>
      <c r="BQ34" s="72">
        <v>0</v>
      </c>
      <c r="BR34" s="72">
        <v>0</v>
      </c>
      <c r="BS34" s="72">
        <v>0</v>
      </c>
      <c r="BT34" s="72">
        <v>0</v>
      </c>
      <c r="BU34" s="72">
        <v>0</v>
      </c>
      <c r="BV34" s="72">
        <v>0</v>
      </c>
      <c r="BW34" s="72">
        <v>0</v>
      </c>
      <c r="BX34" s="72">
        <v>0</v>
      </c>
      <c r="BY34" s="72">
        <v>0</v>
      </c>
      <c r="BZ34" s="72">
        <v>0</v>
      </c>
      <c r="CA34" s="72">
        <v>0</v>
      </c>
      <c r="CB34" s="72">
        <v>0</v>
      </c>
      <c r="CC34" s="72">
        <v>0</v>
      </c>
      <c r="CD34" s="72">
        <v>0</v>
      </c>
      <c r="CE34" s="72">
        <v>0</v>
      </c>
      <c r="CF34" s="72">
        <v>0</v>
      </c>
      <c r="CG34" s="72">
        <v>0</v>
      </c>
      <c r="CH34" s="72">
        <v>0</v>
      </c>
      <c r="CI34" s="72">
        <v>0</v>
      </c>
      <c r="CJ34" s="72">
        <v>0</v>
      </c>
      <c r="CK34" s="72">
        <v>0</v>
      </c>
      <c r="CL34" s="72">
        <v>0</v>
      </c>
      <c r="CM34" s="72">
        <v>4644.5657267168472</v>
      </c>
      <c r="CN34" s="72">
        <v>0</v>
      </c>
      <c r="CO34" s="72">
        <v>0</v>
      </c>
      <c r="CP34" s="72">
        <v>0</v>
      </c>
      <c r="CQ34" s="72">
        <v>0</v>
      </c>
      <c r="CR34" s="72">
        <v>989.61898608956403</v>
      </c>
      <c r="CS34" s="72">
        <v>0</v>
      </c>
      <c r="CT34" s="72">
        <v>0</v>
      </c>
      <c r="CU34" s="72">
        <v>0</v>
      </c>
      <c r="CV34" s="72">
        <v>0</v>
      </c>
      <c r="CW34" s="72">
        <v>0</v>
      </c>
      <c r="CX34" s="72">
        <v>0</v>
      </c>
      <c r="CY34" s="72">
        <v>0</v>
      </c>
      <c r="CZ34" s="72">
        <v>0</v>
      </c>
      <c r="DA34" s="72">
        <v>0</v>
      </c>
      <c r="DB34" s="72">
        <v>0</v>
      </c>
      <c r="DC34" s="72">
        <v>0</v>
      </c>
      <c r="DD34" s="72">
        <v>0</v>
      </c>
      <c r="DE34" s="72">
        <v>3322.2282826267242</v>
      </c>
      <c r="DF34" s="72">
        <v>350.50669801109569</v>
      </c>
      <c r="DG34" s="72">
        <v>0</v>
      </c>
      <c r="DH34" s="72">
        <v>2051.911691288341</v>
      </c>
      <c r="DI34" s="72">
        <v>0</v>
      </c>
      <c r="DJ34" s="72">
        <v>0</v>
      </c>
      <c r="DK34" s="72">
        <v>0</v>
      </c>
      <c r="DL34" s="72">
        <v>0</v>
      </c>
      <c r="DM34" s="72">
        <v>0</v>
      </c>
      <c r="DN34" s="72">
        <v>0</v>
      </c>
      <c r="DO34" s="72">
        <v>0</v>
      </c>
      <c r="DP34" s="72">
        <v>0</v>
      </c>
      <c r="DQ34" s="72">
        <v>0</v>
      </c>
      <c r="DR34" s="72">
        <v>0</v>
      </c>
      <c r="DS34" s="72">
        <v>15.242443327890253</v>
      </c>
      <c r="DT34" s="72">
        <v>280.50379141207799</v>
      </c>
      <c r="DU34" s="72">
        <v>17159.25945041528</v>
      </c>
      <c r="DV34" s="72">
        <v>0</v>
      </c>
      <c r="DW34" s="72">
        <v>64.057984174555244</v>
      </c>
      <c r="DX34" s="72">
        <v>144.09281275628308</v>
      </c>
      <c r="DY34" s="72">
        <v>0</v>
      </c>
      <c r="DZ34" s="72">
        <v>0</v>
      </c>
      <c r="EA34" s="72">
        <v>1539.3422059733982</v>
      </c>
      <c r="EB34" s="72">
        <v>0</v>
      </c>
      <c r="EC34" s="72">
        <v>0</v>
      </c>
      <c r="ED34" s="72">
        <v>215541.42452279467</v>
      </c>
      <c r="EE34" s="72">
        <v>32716.172787442709</v>
      </c>
      <c r="EF34" s="72">
        <v>0</v>
      </c>
      <c r="EG34" s="72">
        <v>116.27662043806089</v>
      </c>
      <c r="EH34" s="72">
        <v>0</v>
      </c>
      <c r="EI34" s="72">
        <v>8164.7169762914646</v>
      </c>
      <c r="EJ34" s="72">
        <v>0</v>
      </c>
      <c r="EK34" s="72">
        <v>0</v>
      </c>
      <c r="EL34" s="72">
        <v>0</v>
      </c>
      <c r="EM34" s="72">
        <v>0</v>
      </c>
      <c r="EN34" s="72">
        <v>0</v>
      </c>
      <c r="EO34" s="72">
        <v>0</v>
      </c>
      <c r="EP34" s="72">
        <v>0</v>
      </c>
      <c r="EQ34" s="72">
        <v>0</v>
      </c>
      <c r="ER34" s="72">
        <v>0</v>
      </c>
      <c r="ES34" s="72">
        <v>0</v>
      </c>
      <c r="ET34" s="72">
        <v>0</v>
      </c>
      <c r="EU34" s="72">
        <v>0</v>
      </c>
      <c r="EV34" s="72">
        <v>0</v>
      </c>
      <c r="EW34" s="72">
        <v>0</v>
      </c>
      <c r="EX34" s="72">
        <v>0</v>
      </c>
      <c r="EY34" s="72">
        <v>0</v>
      </c>
      <c r="EZ34" s="72">
        <v>0</v>
      </c>
      <c r="FA34" s="72">
        <v>0</v>
      </c>
      <c r="FB34" s="72">
        <v>0</v>
      </c>
      <c r="FC34" s="72">
        <v>0</v>
      </c>
      <c r="FD34" s="72">
        <v>0</v>
      </c>
      <c r="FE34" s="72">
        <v>0</v>
      </c>
      <c r="FF34" s="72">
        <v>5498.70844722949</v>
      </c>
      <c r="FG34" s="72">
        <v>0</v>
      </c>
      <c r="FH34" s="72">
        <v>0</v>
      </c>
      <c r="FI34" s="72">
        <v>0</v>
      </c>
      <c r="FJ34" s="72">
        <v>0</v>
      </c>
      <c r="FK34" s="72">
        <v>0</v>
      </c>
      <c r="FL34" s="72">
        <v>0</v>
      </c>
      <c r="FM34" s="72">
        <v>0</v>
      </c>
      <c r="FN34" s="72">
        <v>0</v>
      </c>
      <c r="FO34" s="72">
        <v>0</v>
      </c>
      <c r="FP34" s="72">
        <v>0</v>
      </c>
      <c r="FQ34" s="72">
        <v>0</v>
      </c>
      <c r="FR34" s="72">
        <v>0</v>
      </c>
      <c r="FS34" s="72">
        <v>0</v>
      </c>
      <c r="FT34" s="72">
        <v>0</v>
      </c>
      <c r="FU34" s="72">
        <v>0</v>
      </c>
      <c r="FV34" s="72">
        <v>0</v>
      </c>
      <c r="FW34" s="72">
        <v>0</v>
      </c>
      <c r="FX34" s="72">
        <v>0</v>
      </c>
      <c r="FY34" s="72">
        <v>0</v>
      </c>
      <c r="FZ34" s="72">
        <v>0</v>
      </c>
      <c r="GA34" s="72">
        <v>0</v>
      </c>
      <c r="GB34" s="72">
        <v>0</v>
      </c>
      <c r="GC34" s="72">
        <v>0</v>
      </c>
      <c r="GD34" s="72">
        <v>0</v>
      </c>
      <c r="GE34" s="72">
        <v>0</v>
      </c>
      <c r="GF34" s="72">
        <v>0</v>
      </c>
      <c r="GG34" s="72">
        <v>0</v>
      </c>
      <c r="GH34" s="72">
        <v>0</v>
      </c>
      <c r="GI34" s="72">
        <v>0</v>
      </c>
      <c r="GJ34" s="72">
        <v>0</v>
      </c>
      <c r="GK34" s="72">
        <v>0</v>
      </c>
      <c r="GL34" s="72">
        <v>0</v>
      </c>
      <c r="GM34" s="72">
        <v>0</v>
      </c>
      <c r="GN34" s="72">
        <v>0</v>
      </c>
      <c r="GO34" s="72">
        <v>0</v>
      </c>
      <c r="GP34" s="72">
        <v>0</v>
      </c>
      <c r="GQ34" s="72">
        <v>0</v>
      </c>
      <c r="GR34" s="72">
        <f t="shared" si="0"/>
        <v>292598.62942698842</v>
      </c>
      <c r="GS34" s="72">
        <f>SUM(AE$5:AE$202)</f>
        <v>292598.62942698837</v>
      </c>
      <c r="GT34" s="73">
        <v>0</v>
      </c>
    </row>
    <row r="35" spans="1:202" outlineLevel="1" x14ac:dyDescent="0.2">
      <c r="A35" s="66" t="s">
        <v>295</v>
      </c>
      <c r="B35" s="72">
        <v>0</v>
      </c>
      <c r="C35" s="72">
        <v>0</v>
      </c>
      <c r="D35" s="72">
        <v>0</v>
      </c>
      <c r="E35" s="72">
        <v>0</v>
      </c>
      <c r="F35" s="72">
        <v>0</v>
      </c>
      <c r="G35" s="72">
        <v>0</v>
      </c>
      <c r="H35" s="72">
        <v>0</v>
      </c>
      <c r="I35" s="72">
        <v>0</v>
      </c>
      <c r="J35" s="72">
        <v>0</v>
      </c>
      <c r="K35" s="72">
        <v>0</v>
      </c>
      <c r="L35" s="72">
        <v>0</v>
      </c>
      <c r="M35" s="72">
        <v>0</v>
      </c>
      <c r="N35" s="72">
        <v>0</v>
      </c>
      <c r="O35" s="72">
        <v>0</v>
      </c>
      <c r="P35" s="72">
        <v>0</v>
      </c>
      <c r="Q35" s="72">
        <v>0</v>
      </c>
      <c r="R35" s="72">
        <v>0</v>
      </c>
      <c r="S35" s="72">
        <v>0</v>
      </c>
      <c r="T35" s="72">
        <v>0</v>
      </c>
      <c r="U35" s="72">
        <v>0</v>
      </c>
      <c r="V35" s="72">
        <v>0</v>
      </c>
      <c r="W35" s="72">
        <v>0</v>
      </c>
      <c r="X35" s="72">
        <v>0</v>
      </c>
      <c r="Y35" s="72">
        <v>0</v>
      </c>
      <c r="Z35" s="72">
        <v>0</v>
      </c>
      <c r="AA35" s="72">
        <v>0</v>
      </c>
      <c r="AB35" s="72">
        <v>0</v>
      </c>
      <c r="AC35" s="72">
        <v>0</v>
      </c>
      <c r="AD35" s="72">
        <v>0</v>
      </c>
      <c r="AE35" s="72">
        <v>0</v>
      </c>
      <c r="AF35" s="72">
        <v>0</v>
      </c>
      <c r="AG35" s="72">
        <v>0</v>
      </c>
      <c r="AH35" s="72">
        <v>0</v>
      </c>
      <c r="AI35" s="72">
        <v>0</v>
      </c>
      <c r="AJ35" s="72">
        <v>0</v>
      </c>
      <c r="AK35" s="72">
        <v>0</v>
      </c>
      <c r="AL35" s="72">
        <v>0</v>
      </c>
      <c r="AM35" s="72">
        <v>0</v>
      </c>
      <c r="AN35" s="72">
        <v>0</v>
      </c>
      <c r="AO35" s="72">
        <v>0</v>
      </c>
      <c r="AP35" s="72">
        <v>0</v>
      </c>
      <c r="AQ35" s="72">
        <v>0</v>
      </c>
      <c r="AR35" s="72">
        <v>0</v>
      </c>
      <c r="AS35" s="72">
        <v>0</v>
      </c>
      <c r="AT35" s="72">
        <v>0</v>
      </c>
      <c r="AU35" s="72">
        <v>0</v>
      </c>
      <c r="AV35" s="72">
        <v>0</v>
      </c>
      <c r="AW35" s="72">
        <v>0</v>
      </c>
      <c r="AX35" s="72">
        <v>0</v>
      </c>
      <c r="AY35" s="72">
        <v>0</v>
      </c>
      <c r="AZ35" s="72">
        <v>0</v>
      </c>
      <c r="BA35" s="72">
        <v>0</v>
      </c>
      <c r="BB35" s="72">
        <v>0</v>
      </c>
      <c r="BC35" s="72">
        <v>0</v>
      </c>
      <c r="BD35" s="72">
        <v>0</v>
      </c>
      <c r="BE35" s="72">
        <v>0</v>
      </c>
      <c r="BF35" s="72">
        <v>0</v>
      </c>
      <c r="BG35" s="72">
        <v>0</v>
      </c>
      <c r="BH35" s="72">
        <v>0</v>
      </c>
      <c r="BI35" s="72">
        <v>0</v>
      </c>
      <c r="BJ35" s="72">
        <v>0</v>
      </c>
      <c r="BK35" s="72">
        <v>0</v>
      </c>
      <c r="BL35" s="72">
        <v>0</v>
      </c>
      <c r="BM35" s="72">
        <v>0</v>
      </c>
      <c r="BN35" s="72">
        <v>0</v>
      </c>
      <c r="BO35" s="72">
        <v>0</v>
      </c>
      <c r="BP35" s="72">
        <v>0</v>
      </c>
      <c r="BQ35" s="72">
        <v>0</v>
      </c>
      <c r="BR35" s="72">
        <v>0</v>
      </c>
      <c r="BS35" s="72">
        <v>0</v>
      </c>
      <c r="BT35" s="72">
        <v>0</v>
      </c>
      <c r="BU35" s="72">
        <v>0</v>
      </c>
      <c r="BV35" s="72">
        <v>0</v>
      </c>
      <c r="BW35" s="72">
        <v>0</v>
      </c>
      <c r="BX35" s="72">
        <v>0</v>
      </c>
      <c r="BY35" s="72">
        <v>0</v>
      </c>
      <c r="BZ35" s="72">
        <v>0</v>
      </c>
      <c r="CA35" s="72">
        <v>0</v>
      </c>
      <c r="CB35" s="72">
        <v>0</v>
      </c>
      <c r="CC35" s="72">
        <v>0</v>
      </c>
      <c r="CD35" s="72">
        <v>0</v>
      </c>
      <c r="CE35" s="72">
        <v>0</v>
      </c>
      <c r="CF35" s="72">
        <v>0</v>
      </c>
      <c r="CG35" s="72">
        <v>0</v>
      </c>
      <c r="CH35" s="72">
        <v>0</v>
      </c>
      <c r="CI35" s="72">
        <v>0</v>
      </c>
      <c r="CJ35" s="72">
        <v>0</v>
      </c>
      <c r="CK35" s="72">
        <v>0</v>
      </c>
      <c r="CL35" s="72">
        <v>0</v>
      </c>
      <c r="CM35" s="72">
        <v>0</v>
      </c>
      <c r="CN35" s="72">
        <v>0</v>
      </c>
      <c r="CO35" s="72">
        <v>0</v>
      </c>
      <c r="CP35" s="72">
        <v>0</v>
      </c>
      <c r="CQ35" s="72">
        <v>0</v>
      </c>
      <c r="CR35" s="72">
        <v>0</v>
      </c>
      <c r="CS35" s="72">
        <v>0</v>
      </c>
      <c r="CT35" s="72">
        <v>8.9668373295349575</v>
      </c>
      <c r="CU35" s="72">
        <v>0</v>
      </c>
      <c r="CV35" s="72">
        <v>0</v>
      </c>
      <c r="CW35" s="72">
        <v>0</v>
      </c>
      <c r="CX35" s="72">
        <v>0</v>
      </c>
      <c r="CY35" s="72">
        <v>0</v>
      </c>
      <c r="CZ35" s="72">
        <v>0</v>
      </c>
      <c r="DA35" s="72">
        <v>0</v>
      </c>
      <c r="DB35" s="72">
        <v>0</v>
      </c>
      <c r="DC35" s="72">
        <v>0</v>
      </c>
      <c r="DD35" s="72">
        <v>0</v>
      </c>
      <c r="DE35" s="72">
        <v>0</v>
      </c>
      <c r="DF35" s="72">
        <v>0</v>
      </c>
      <c r="DG35" s="72">
        <v>0</v>
      </c>
      <c r="DH35" s="72">
        <v>0</v>
      </c>
      <c r="DI35" s="72">
        <v>0</v>
      </c>
      <c r="DJ35" s="72">
        <v>0</v>
      </c>
      <c r="DK35" s="72">
        <v>0</v>
      </c>
      <c r="DL35" s="72">
        <v>0</v>
      </c>
      <c r="DM35" s="72">
        <v>0</v>
      </c>
      <c r="DN35" s="72">
        <v>0</v>
      </c>
      <c r="DO35" s="72">
        <v>0</v>
      </c>
      <c r="DP35" s="72">
        <v>0</v>
      </c>
      <c r="DQ35" s="72">
        <v>0</v>
      </c>
      <c r="DR35" s="72">
        <v>0</v>
      </c>
      <c r="DS35" s="72">
        <v>0</v>
      </c>
      <c r="DT35" s="72">
        <v>0</v>
      </c>
      <c r="DU35" s="72">
        <v>0</v>
      </c>
      <c r="DV35" s="72">
        <v>0</v>
      </c>
      <c r="DW35" s="72">
        <v>0</v>
      </c>
      <c r="DX35" s="72">
        <v>835.58661531073608</v>
      </c>
      <c r="DY35" s="72">
        <v>0</v>
      </c>
      <c r="DZ35" s="72">
        <v>0</v>
      </c>
      <c r="EA35" s="72">
        <v>24.159725294158804</v>
      </c>
      <c r="EB35" s="72">
        <v>0</v>
      </c>
      <c r="EC35" s="72">
        <v>0</v>
      </c>
      <c r="ED35" s="72">
        <v>0</v>
      </c>
      <c r="EE35" s="72">
        <v>31.176210742779947</v>
      </c>
      <c r="EF35" s="72">
        <v>3782.4539809592684</v>
      </c>
      <c r="EG35" s="72">
        <v>6723.4619912763783</v>
      </c>
      <c r="EH35" s="72">
        <v>5429.0836978025127</v>
      </c>
      <c r="EI35" s="72">
        <v>1100.6133663961336</v>
      </c>
      <c r="EJ35" s="72">
        <v>0</v>
      </c>
      <c r="EK35" s="72">
        <v>0</v>
      </c>
      <c r="EL35" s="72">
        <v>0</v>
      </c>
      <c r="EM35" s="72">
        <v>0</v>
      </c>
      <c r="EN35" s="72">
        <v>0</v>
      </c>
      <c r="EO35" s="72">
        <v>0</v>
      </c>
      <c r="EP35" s="72">
        <v>0</v>
      </c>
      <c r="EQ35" s="72">
        <v>0</v>
      </c>
      <c r="ER35" s="72">
        <v>0</v>
      </c>
      <c r="ES35" s="72">
        <v>0</v>
      </c>
      <c r="ET35" s="72">
        <v>0</v>
      </c>
      <c r="EU35" s="72">
        <v>0</v>
      </c>
      <c r="EV35" s="72">
        <v>0</v>
      </c>
      <c r="EW35" s="72">
        <v>0</v>
      </c>
      <c r="EX35" s="72">
        <v>0</v>
      </c>
      <c r="EY35" s="72">
        <v>0</v>
      </c>
      <c r="EZ35" s="72">
        <v>0</v>
      </c>
      <c r="FA35" s="72">
        <v>0</v>
      </c>
      <c r="FB35" s="72">
        <v>0</v>
      </c>
      <c r="FC35" s="72">
        <v>0</v>
      </c>
      <c r="FD35" s="72">
        <v>0</v>
      </c>
      <c r="FE35" s="72">
        <v>0</v>
      </c>
      <c r="FF35" s="72">
        <v>6079.9212037607249</v>
      </c>
      <c r="FG35" s="72">
        <v>0</v>
      </c>
      <c r="FH35" s="72">
        <v>0</v>
      </c>
      <c r="FI35" s="72">
        <v>0</v>
      </c>
      <c r="FJ35" s="72">
        <v>0</v>
      </c>
      <c r="FK35" s="72">
        <v>0</v>
      </c>
      <c r="FL35" s="72">
        <v>0</v>
      </c>
      <c r="FM35" s="72">
        <v>0</v>
      </c>
      <c r="FN35" s="72">
        <v>0</v>
      </c>
      <c r="FO35" s="72">
        <v>0</v>
      </c>
      <c r="FP35" s="72">
        <v>0</v>
      </c>
      <c r="FQ35" s="72">
        <v>0</v>
      </c>
      <c r="FR35" s="72">
        <v>0</v>
      </c>
      <c r="FS35" s="72">
        <v>0</v>
      </c>
      <c r="FT35" s="72">
        <v>0</v>
      </c>
      <c r="FU35" s="72">
        <v>0</v>
      </c>
      <c r="FV35" s="72">
        <v>0</v>
      </c>
      <c r="FW35" s="72">
        <v>0</v>
      </c>
      <c r="FX35" s="72">
        <v>0</v>
      </c>
      <c r="FY35" s="72">
        <v>0</v>
      </c>
      <c r="FZ35" s="72">
        <v>0</v>
      </c>
      <c r="GA35" s="72">
        <v>0</v>
      </c>
      <c r="GB35" s="72">
        <v>0</v>
      </c>
      <c r="GC35" s="72">
        <v>0</v>
      </c>
      <c r="GD35" s="72">
        <v>0</v>
      </c>
      <c r="GE35" s="72">
        <v>0</v>
      </c>
      <c r="GF35" s="72">
        <v>0</v>
      </c>
      <c r="GG35" s="72">
        <v>0</v>
      </c>
      <c r="GH35" s="72">
        <v>0</v>
      </c>
      <c r="GI35" s="72">
        <v>0</v>
      </c>
      <c r="GJ35" s="72">
        <v>0</v>
      </c>
      <c r="GK35" s="72">
        <v>0</v>
      </c>
      <c r="GL35" s="72">
        <v>0</v>
      </c>
      <c r="GM35" s="72">
        <v>0</v>
      </c>
      <c r="GN35" s="72">
        <v>0</v>
      </c>
      <c r="GO35" s="72">
        <v>0</v>
      </c>
      <c r="GP35" s="72">
        <v>0</v>
      </c>
      <c r="GQ35" s="72">
        <v>0</v>
      </c>
      <c r="GR35" s="72">
        <f t="shared" si="0"/>
        <v>24015.423628872228</v>
      </c>
      <c r="GS35" s="72">
        <f>SUM(AF$5:AF$202)</f>
        <v>24015.423628872228</v>
      </c>
      <c r="GT35" s="73">
        <v>0</v>
      </c>
    </row>
    <row r="36" spans="1:202" outlineLevel="1" x14ac:dyDescent="0.2">
      <c r="A36" s="66" t="s">
        <v>300</v>
      </c>
      <c r="B36" s="72">
        <v>0</v>
      </c>
      <c r="C36" s="72">
        <v>0</v>
      </c>
      <c r="D36" s="72">
        <v>0</v>
      </c>
      <c r="E36" s="72">
        <v>0</v>
      </c>
      <c r="F36" s="72">
        <v>0</v>
      </c>
      <c r="G36" s="72">
        <v>0</v>
      </c>
      <c r="H36" s="72">
        <v>0</v>
      </c>
      <c r="I36" s="72">
        <v>0</v>
      </c>
      <c r="J36" s="72">
        <v>0</v>
      </c>
      <c r="K36" s="72">
        <v>0</v>
      </c>
      <c r="L36" s="72">
        <v>0</v>
      </c>
      <c r="M36" s="72">
        <v>0</v>
      </c>
      <c r="N36" s="72">
        <v>0</v>
      </c>
      <c r="O36" s="72">
        <v>0</v>
      </c>
      <c r="P36" s="72">
        <v>0</v>
      </c>
      <c r="Q36" s="72">
        <v>0</v>
      </c>
      <c r="R36" s="72">
        <v>0</v>
      </c>
      <c r="S36" s="72">
        <v>0</v>
      </c>
      <c r="T36" s="72">
        <v>0</v>
      </c>
      <c r="U36" s="72">
        <v>0</v>
      </c>
      <c r="V36" s="72">
        <v>0</v>
      </c>
      <c r="W36" s="72">
        <v>0</v>
      </c>
      <c r="X36" s="72">
        <v>0</v>
      </c>
      <c r="Y36" s="72">
        <v>0</v>
      </c>
      <c r="Z36" s="72">
        <v>0</v>
      </c>
      <c r="AA36" s="72">
        <v>0</v>
      </c>
      <c r="AB36" s="72">
        <v>0</v>
      </c>
      <c r="AC36" s="72">
        <v>0</v>
      </c>
      <c r="AD36" s="72">
        <v>0</v>
      </c>
      <c r="AE36" s="72">
        <v>0</v>
      </c>
      <c r="AF36" s="72">
        <v>0</v>
      </c>
      <c r="AG36" s="72">
        <v>0</v>
      </c>
      <c r="AH36" s="72">
        <v>0</v>
      </c>
      <c r="AI36" s="72">
        <v>0</v>
      </c>
      <c r="AJ36" s="72">
        <v>0</v>
      </c>
      <c r="AK36" s="72">
        <v>0</v>
      </c>
      <c r="AL36" s="72">
        <v>0</v>
      </c>
      <c r="AM36" s="72">
        <v>0</v>
      </c>
      <c r="AN36" s="72">
        <v>0</v>
      </c>
      <c r="AO36" s="72">
        <v>0</v>
      </c>
      <c r="AP36" s="72">
        <v>0</v>
      </c>
      <c r="AQ36" s="72">
        <v>0</v>
      </c>
      <c r="AR36" s="72">
        <v>0</v>
      </c>
      <c r="AS36" s="72">
        <v>0</v>
      </c>
      <c r="AT36" s="72">
        <v>0</v>
      </c>
      <c r="AU36" s="72">
        <v>0</v>
      </c>
      <c r="AV36" s="72">
        <v>0</v>
      </c>
      <c r="AW36" s="72">
        <v>0</v>
      </c>
      <c r="AX36" s="72">
        <v>0</v>
      </c>
      <c r="AY36" s="72">
        <v>0</v>
      </c>
      <c r="AZ36" s="72">
        <v>0</v>
      </c>
      <c r="BA36" s="72">
        <v>0</v>
      </c>
      <c r="BB36" s="72">
        <v>0</v>
      </c>
      <c r="BC36" s="72">
        <v>0</v>
      </c>
      <c r="BD36" s="72">
        <v>0</v>
      </c>
      <c r="BE36" s="72">
        <v>0</v>
      </c>
      <c r="BF36" s="72">
        <v>0</v>
      </c>
      <c r="BG36" s="72">
        <v>0</v>
      </c>
      <c r="BH36" s="72">
        <v>0</v>
      </c>
      <c r="BI36" s="72">
        <v>0</v>
      </c>
      <c r="BJ36" s="72">
        <v>0</v>
      </c>
      <c r="BK36" s="72">
        <v>0</v>
      </c>
      <c r="BL36" s="72">
        <v>0</v>
      </c>
      <c r="BM36" s="72">
        <v>0</v>
      </c>
      <c r="BN36" s="72">
        <v>0</v>
      </c>
      <c r="BO36" s="72">
        <v>0</v>
      </c>
      <c r="BP36" s="72">
        <v>0</v>
      </c>
      <c r="BQ36" s="72">
        <v>0</v>
      </c>
      <c r="BR36" s="72">
        <v>0</v>
      </c>
      <c r="BS36" s="72">
        <v>0</v>
      </c>
      <c r="BT36" s="72">
        <v>0</v>
      </c>
      <c r="BU36" s="72">
        <v>0</v>
      </c>
      <c r="BV36" s="72">
        <v>0</v>
      </c>
      <c r="BW36" s="72">
        <v>0</v>
      </c>
      <c r="BX36" s="72">
        <v>0</v>
      </c>
      <c r="BY36" s="72">
        <v>0</v>
      </c>
      <c r="BZ36" s="72">
        <v>0</v>
      </c>
      <c r="CA36" s="72">
        <v>0</v>
      </c>
      <c r="CB36" s="72">
        <v>0</v>
      </c>
      <c r="CC36" s="72">
        <v>0</v>
      </c>
      <c r="CD36" s="72">
        <v>0</v>
      </c>
      <c r="CE36" s="72">
        <v>0</v>
      </c>
      <c r="CF36" s="72">
        <v>0</v>
      </c>
      <c r="CG36" s="72">
        <v>0</v>
      </c>
      <c r="CH36" s="72">
        <v>0</v>
      </c>
      <c r="CI36" s="72">
        <v>0</v>
      </c>
      <c r="CJ36" s="72">
        <v>0</v>
      </c>
      <c r="CK36" s="72">
        <v>0</v>
      </c>
      <c r="CL36" s="72">
        <v>0</v>
      </c>
      <c r="CM36" s="72">
        <v>41.781095163293642</v>
      </c>
      <c r="CN36" s="72">
        <v>0</v>
      </c>
      <c r="CO36" s="72">
        <v>0</v>
      </c>
      <c r="CP36" s="72">
        <v>0</v>
      </c>
      <c r="CQ36" s="72">
        <v>0</v>
      </c>
      <c r="CR36" s="72">
        <v>0</v>
      </c>
      <c r="CS36" s="72">
        <v>0</v>
      </c>
      <c r="CT36" s="72">
        <v>708.79616827372024</v>
      </c>
      <c r="CU36" s="72">
        <v>0</v>
      </c>
      <c r="CV36" s="72">
        <v>0</v>
      </c>
      <c r="CW36" s="72">
        <v>0</v>
      </c>
      <c r="CX36" s="72">
        <v>0</v>
      </c>
      <c r="CY36" s="72">
        <v>0</v>
      </c>
      <c r="CZ36" s="72">
        <v>0</v>
      </c>
      <c r="DA36" s="72">
        <v>0</v>
      </c>
      <c r="DB36" s="72">
        <v>0</v>
      </c>
      <c r="DC36" s="72">
        <v>0</v>
      </c>
      <c r="DD36" s="72">
        <v>0</v>
      </c>
      <c r="DE36" s="72">
        <v>0</v>
      </c>
      <c r="DF36" s="72">
        <v>0</v>
      </c>
      <c r="DG36" s="72">
        <v>0</v>
      </c>
      <c r="DH36" s="72">
        <v>0</v>
      </c>
      <c r="DI36" s="72">
        <v>0</v>
      </c>
      <c r="DJ36" s="72">
        <v>0</v>
      </c>
      <c r="DK36" s="72">
        <v>0</v>
      </c>
      <c r="DL36" s="72">
        <v>14755.589734318155</v>
      </c>
      <c r="DM36" s="72">
        <v>0</v>
      </c>
      <c r="DN36" s="72">
        <v>0</v>
      </c>
      <c r="DO36" s="72">
        <v>0</v>
      </c>
      <c r="DP36" s="72">
        <v>0</v>
      </c>
      <c r="DQ36" s="72">
        <v>0</v>
      </c>
      <c r="DR36" s="72">
        <v>0</v>
      </c>
      <c r="DS36" s="72">
        <v>754.28338719269334</v>
      </c>
      <c r="DT36" s="72">
        <v>0</v>
      </c>
      <c r="DU36" s="72">
        <v>0</v>
      </c>
      <c r="DV36" s="72">
        <v>0</v>
      </c>
      <c r="DW36" s="72">
        <v>0</v>
      </c>
      <c r="DX36" s="72">
        <v>0</v>
      </c>
      <c r="DY36" s="72">
        <v>0</v>
      </c>
      <c r="DZ36" s="72">
        <v>0</v>
      </c>
      <c r="EA36" s="72">
        <v>0</v>
      </c>
      <c r="EB36" s="72">
        <v>0</v>
      </c>
      <c r="EC36" s="72">
        <v>5.2948518068275217</v>
      </c>
      <c r="ED36" s="72">
        <v>0</v>
      </c>
      <c r="EE36" s="72">
        <v>0</v>
      </c>
      <c r="EF36" s="72">
        <v>0</v>
      </c>
      <c r="EG36" s="72">
        <v>0</v>
      </c>
      <c r="EH36" s="72">
        <v>0</v>
      </c>
      <c r="EI36" s="72">
        <v>0</v>
      </c>
      <c r="EJ36" s="72">
        <v>0</v>
      </c>
      <c r="EK36" s="72">
        <v>0</v>
      </c>
      <c r="EL36" s="72">
        <v>0</v>
      </c>
      <c r="EM36" s="72">
        <v>0</v>
      </c>
      <c r="EN36" s="72">
        <v>0</v>
      </c>
      <c r="EO36" s="72">
        <v>0</v>
      </c>
      <c r="EP36" s="72">
        <v>0</v>
      </c>
      <c r="EQ36" s="72">
        <v>0</v>
      </c>
      <c r="ER36" s="72">
        <v>0</v>
      </c>
      <c r="ES36" s="72">
        <v>0</v>
      </c>
      <c r="ET36" s="72">
        <v>0</v>
      </c>
      <c r="EU36" s="72">
        <v>0</v>
      </c>
      <c r="EV36" s="72">
        <v>0</v>
      </c>
      <c r="EW36" s="72">
        <v>0</v>
      </c>
      <c r="EX36" s="72">
        <v>0</v>
      </c>
      <c r="EY36" s="72">
        <v>0</v>
      </c>
      <c r="EZ36" s="72">
        <v>0</v>
      </c>
      <c r="FA36" s="72">
        <v>0</v>
      </c>
      <c r="FB36" s="72">
        <v>0</v>
      </c>
      <c r="FC36" s="72">
        <v>0</v>
      </c>
      <c r="FD36" s="72">
        <v>0</v>
      </c>
      <c r="FE36" s="72">
        <v>0</v>
      </c>
      <c r="FF36" s="72">
        <v>1246.0123933354066</v>
      </c>
      <c r="FG36" s="72">
        <v>0</v>
      </c>
      <c r="FH36" s="72">
        <v>0</v>
      </c>
      <c r="FI36" s="72">
        <v>0</v>
      </c>
      <c r="FJ36" s="72">
        <v>0</v>
      </c>
      <c r="FK36" s="72">
        <v>0</v>
      </c>
      <c r="FL36" s="72">
        <v>0</v>
      </c>
      <c r="FM36" s="72">
        <v>0</v>
      </c>
      <c r="FN36" s="72">
        <v>0</v>
      </c>
      <c r="FO36" s="72">
        <v>0</v>
      </c>
      <c r="FP36" s="72">
        <v>0</v>
      </c>
      <c r="FQ36" s="72">
        <v>0</v>
      </c>
      <c r="FR36" s="72">
        <v>0</v>
      </c>
      <c r="FS36" s="72">
        <v>0</v>
      </c>
      <c r="FT36" s="72">
        <v>0</v>
      </c>
      <c r="FU36" s="72">
        <v>0</v>
      </c>
      <c r="FV36" s="72">
        <v>0</v>
      </c>
      <c r="FW36" s="72">
        <v>0</v>
      </c>
      <c r="FX36" s="72">
        <v>0</v>
      </c>
      <c r="FY36" s="72">
        <v>0</v>
      </c>
      <c r="FZ36" s="72">
        <v>0</v>
      </c>
      <c r="GA36" s="72">
        <v>0</v>
      </c>
      <c r="GB36" s="72">
        <v>0</v>
      </c>
      <c r="GC36" s="72">
        <v>0</v>
      </c>
      <c r="GD36" s="72">
        <v>0</v>
      </c>
      <c r="GE36" s="72">
        <v>0</v>
      </c>
      <c r="GF36" s="72">
        <v>0</v>
      </c>
      <c r="GG36" s="72">
        <v>0</v>
      </c>
      <c r="GH36" s="72">
        <v>0</v>
      </c>
      <c r="GI36" s="72">
        <v>0</v>
      </c>
      <c r="GJ36" s="72">
        <v>0</v>
      </c>
      <c r="GK36" s="72">
        <v>0</v>
      </c>
      <c r="GL36" s="72">
        <v>0</v>
      </c>
      <c r="GM36" s="72">
        <v>0</v>
      </c>
      <c r="GN36" s="72">
        <v>0</v>
      </c>
      <c r="GO36" s="72">
        <v>0</v>
      </c>
      <c r="GP36" s="72">
        <v>0</v>
      </c>
      <c r="GQ36" s="72">
        <v>0</v>
      </c>
      <c r="GR36" s="72">
        <f t="shared" si="0"/>
        <v>17511.757630090098</v>
      </c>
      <c r="GS36" s="72">
        <f>SUM(AG$5:AG$202)</f>
        <v>17511.757630090098</v>
      </c>
      <c r="GT36" s="73">
        <v>0</v>
      </c>
    </row>
    <row r="37" spans="1:202" outlineLevel="1" x14ac:dyDescent="0.2">
      <c r="A37" s="66" t="s">
        <v>305</v>
      </c>
      <c r="B37" s="72">
        <v>0</v>
      </c>
      <c r="C37" s="72">
        <v>0</v>
      </c>
      <c r="D37" s="72">
        <v>0</v>
      </c>
      <c r="E37" s="72">
        <v>0</v>
      </c>
      <c r="F37" s="72">
        <v>0</v>
      </c>
      <c r="G37" s="72">
        <v>0</v>
      </c>
      <c r="H37" s="72">
        <v>0</v>
      </c>
      <c r="I37" s="72">
        <v>0</v>
      </c>
      <c r="J37" s="72">
        <v>0</v>
      </c>
      <c r="K37" s="72">
        <v>0</v>
      </c>
      <c r="L37" s="72">
        <v>0</v>
      </c>
      <c r="M37" s="72">
        <v>0</v>
      </c>
      <c r="N37" s="72">
        <v>0</v>
      </c>
      <c r="O37" s="72">
        <v>0</v>
      </c>
      <c r="P37" s="72">
        <v>0</v>
      </c>
      <c r="Q37" s="72">
        <v>0</v>
      </c>
      <c r="R37" s="72">
        <v>0</v>
      </c>
      <c r="S37" s="72">
        <v>0</v>
      </c>
      <c r="T37" s="72">
        <v>0</v>
      </c>
      <c r="U37" s="72">
        <v>0</v>
      </c>
      <c r="V37" s="72">
        <v>0</v>
      </c>
      <c r="W37" s="72">
        <v>0</v>
      </c>
      <c r="X37" s="72">
        <v>0</v>
      </c>
      <c r="Y37" s="72">
        <v>0</v>
      </c>
      <c r="Z37" s="72">
        <v>0</v>
      </c>
      <c r="AA37" s="72">
        <v>0</v>
      </c>
      <c r="AB37" s="72">
        <v>0</v>
      </c>
      <c r="AC37" s="72">
        <v>0</v>
      </c>
      <c r="AD37" s="72">
        <v>0</v>
      </c>
      <c r="AE37" s="72">
        <v>0</v>
      </c>
      <c r="AF37" s="72">
        <v>0</v>
      </c>
      <c r="AG37" s="72">
        <v>0</v>
      </c>
      <c r="AH37" s="72">
        <v>0</v>
      </c>
      <c r="AI37" s="72">
        <v>0</v>
      </c>
      <c r="AJ37" s="72">
        <v>0</v>
      </c>
      <c r="AK37" s="72">
        <v>0</v>
      </c>
      <c r="AL37" s="72">
        <v>0</v>
      </c>
      <c r="AM37" s="72">
        <v>0</v>
      </c>
      <c r="AN37" s="72">
        <v>0</v>
      </c>
      <c r="AO37" s="72">
        <v>0</v>
      </c>
      <c r="AP37" s="72">
        <v>0</v>
      </c>
      <c r="AQ37" s="72">
        <v>0</v>
      </c>
      <c r="AR37" s="72">
        <v>0</v>
      </c>
      <c r="AS37" s="72">
        <v>0</v>
      </c>
      <c r="AT37" s="72">
        <v>0</v>
      </c>
      <c r="AU37" s="72">
        <v>0</v>
      </c>
      <c r="AV37" s="72">
        <v>0</v>
      </c>
      <c r="AW37" s="72">
        <v>0</v>
      </c>
      <c r="AX37" s="72">
        <v>0</v>
      </c>
      <c r="AY37" s="72">
        <v>0</v>
      </c>
      <c r="AZ37" s="72">
        <v>0</v>
      </c>
      <c r="BA37" s="72">
        <v>0</v>
      </c>
      <c r="BB37" s="72">
        <v>0</v>
      </c>
      <c r="BC37" s="72">
        <v>0</v>
      </c>
      <c r="BD37" s="72">
        <v>0</v>
      </c>
      <c r="BE37" s="72">
        <v>0</v>
      </c>
      <c r="BF37" s="72">
        <v>0</v>
      </c>
      <c r="BG37" s="72">
        <v>0</v>
      </c>
      <c r="BH37" s="72">
        <v>0</v>
      </c>
      <c r="BI37" s="72">
        <v>0</v>
      </c>
      <c r="BJ37" s="72">
        <v>0</v>
      </c>
      <c r="BK37" s="72">
        <v>0</v>
      </c>
      <c r="BL37" s="72">
        <v>0</v>
      </c>
      <c r="BM37" s="72">
        <v>0</v>
      </c>
      <c r="BN37" s="72">
        <v>0</v>
      </c>
      <c r="BO37" s="72">
        <v>0</v>
      </c>
      <c r="BP37" s="72">
        <v>0</v>
      </c>
      <c r="BQ37" s="72">
        <v>0</v>
      </c>
      <c r="BR37" s="72">
        <v>0</v>
      </c>
      <c r="BS37" s="72">
        <v>0</v>
      </c>
      <c r="BT37" s="72">
        <v>0</v>
      </c>
      <c r="BU37" s="72">
        <v>0</v>
      </c>
      <c r="BV37" s="72">
        <v>0</v>
      </c>
      <c r="BW37" s="72">
        <v>2.9426840451690599</v>
      </c>
      <c r="BX37" s="72">
        <v>0</v>
      </c>
      <c r="BY37" s="72">
        <v>0</v>
      </c>
      <c r="BZ37" s="72">
        <v>0</v>
      </c>
      <c r="CA37" s="72">
        <v>0</v>
      </c>
      <c r="CB37" s="72">
        <v>0</v>
      </c>
      <c r="CC37" s="72">
        <v>0</v>
      </c>
      <c r="CD37" s="72">
        <v>0</v>
      </c>
      <c r="CE37" s="72">
        <v>0</v>
      </c>
      <c r="CF37" s="72">
        <v>0</v>
      </c>
      <c r="CG37" s="72">
        <v>0</v>
      </c>
      <c r="CH37" s="72">
        <v>0</v>
      </c>
      <c r="CI37" s="72">
        <v>0</v>
      </c>
      <c r="CJ37" s="72">
        <v>0</v>
      </c>
      <c r="CK37" s="72">
        <v>0</v>
      </c>
      <c r="CL37" s="72">
        <v>0</v>
      </c>
      <c r="CM37" s="72">
        <v>97.291207100829951</v>
      </c>
      <c r="CN37" s="72">
        <v>0</v>
      </c>
      <c r="CO37" s="72">
        <v>0</v>
      </c>
      <c r="CP37" s="72">
        <v>0</v>
      </c>
      <c r="CQ37" s="72">
        <v>0</v>
      </c>
      <c r="CR37" s="72">
        <v>0</v>
      </c>
      <c r="CS37" s="72">
        <v>0</v>
      </c>
      <c r="CT37" s="72">
        <v>0</v>
      </c>
      <c r="CU37" s="72">
        <v>0</v>
      </c>
      <c r="CV37" s="72">
        <v>5.0794972851056306</v>
      </c>
      <c r="CW37" s="72">
        <v>0</v>
      </c>
      <c r="CX37" s="72">
        <v>0</v>
      </c>
      <c r="CY37" s="72">
        <v>0</v>
      </c>
      <c r="CZ37" s="72">
        <v>0</v>
      </c>
      <c r="DA37" s="72">
        <v>0</v>
      </c>
      <c r="DB37" s="72">
        <v>0</v>
      </c>
      <c r="DC37" s="72">
        <v>0</v>
      </c>
      <c r="DD37" s="72">
        <v>0</v>
      </c>
      <c r="DE37" s="72">
        <v>2319.7550538186874</v>
      </c>
      <c r="DF37" s="72">
        <v>0</v>
      </c>
      <c r="DG37" s="72">
        <v>0</v>
      </c>
      <c r="DH37" s="72">
        <v>0</v>
      </c>
      <c r="DI37" s="72">
        <v>0</v>
      </c>
      <c r="DJ37" s="72">
        <v>0</v>
      </c>
      <c r="DK37" s="72">
        <v>0</v>
      </c>
      <c r="DL37" s="72">
        <v>0</v>
      </c>
      <c r="DM37" s="72">
        <v>18901.731697609815</v>
      </c>
      <c r="DN37" s="72">
        <v>8276.9438019741792</v>
      </c>
      <c r="DO37" s="72">
        <v>22283.50992208191</v>
      </c>
      <c r="DP37" s="72">
        <v>0</v>
      </c>
      <c r="DQ37" s="72">
        <v>0</v>
      </c>
      <c r="DR37" s="72">
        <v>45.559522066329926</v>
      </c>
      <c r="DS37" s="72">
        <v>0</v>
      </c>
      <c r="DT37" s="72">
        <v>1037.7470026474007</v>
      </c>
      <c r="DU37" s="72">
        <v>0</v>
      </c>
      <c r="DV37" s="72">
        <v>0</v>
      </c>
      <c r="DW37" s="72">
        <v>80.748386052204566</v>
      </c>
      <c r="DX37" s="72">
        <v>259.73238881844401</v>
      </c>
      <c r="DY37" s="72">
        <v>0</v>
      </c>
      <c r="DZ37" s="72">
        <v>0</v>
      </c>
      <c r="EA37" s="72">
        <v>244.18113690557223</v>
      </c>
      <c r="EB37" s="72">
        <v>0</v>
      </c>
      <c r="EC37" s="72">
        <v>237.70905834230285</v>
      </c>
      <c r="ED37" s="72">
        <v>0</v>
      </c>
      <c r="EE37" s="72">
        <v>32.470652017501699</v>
      </c>
      <c r="EF37" s="72">
        <v>0</v>
      </c>
      <c r="EG37" s="72">
        <v>0</v>
      </c>
      <c r="EH37" s="72">
        <v>0</v>
      </c>
      <c r="EI37" s="72">
        <v>0</v>
      </c>
      <c r="EJ37" s="72">
        <v>0</v>
      </c>
      <c r="EK37" s="72">
        <v>0</v>
      </c>
      <c r="EL37" s="72">
        <v>0</v>
      </c>
      <c r="EM37" s="72">
        <v>0</v>
      </c>
      <c r="EN37" s="72">
        <v>0</v>
      </c>
      <c r="EO37" s="72">
        <v>0</v>
      </c>
      <c r="EP37" s="72">
        <v>0</v>
      </c>
      <c r="EQ37" s="72">
        <v>0</v>
      </c>
      <c r="ER37" s="72">
        <v>0</v>
      </c>
      <c r="ES37" s="72">
        <v>0</v>
      </c>
      <c r="ET37" s="72">
        <v>0</v>
      </c>
      <c r="EU37" s="72">
        <v>0</v>
      </c>
      <c r="EV37" s="72">
        <v>0</v>
      </c>
      <c r="EW37" s="72">
        <v>0</v>
      </c>
      <c r="EX37" s="72">
        <v>0</v>
      </c>
      <c r="EY37" s="72">
        <v>0</v>
      </c>
      <c r="EZ37" s="72">
        <v>0</v>
      </c>
      <c r="FA37" s="72">
        <v>0</v>
      </c>
      <c r="FB37" s="72">
        <v>0</v>
      </c>
      <c r="FC37" s="72">
        <v>0</v>
      </c>
      <c r="FD37" s="72">
        <v>0</v>
      </c>
      <c r="FE37" s="72">
        <v>0</v>
      </c>
      <c r="FF37" s="72">
        <v>1184.1651331687235</v>
      </c>
      <c r="FG37" s="72">
        <v>0</v>
      </c>
      <c r="FH37" s="72">
        <v>0</v>
      </c>
      <c r="FI37" s="72">
        <v>0</v>
      </c>
      <c r="FJ37" s="72">
        <v>0</v>
      </c>
      <c r="FK37" s="72">
        <v>0</v>
      </c>
      <c r="FL37" s="72">
        <v>0</v>
      </c>
      <c r="FM37" s="72">
        <v>0</v>
      </c>
      <c r="FN37" s="72">
        <v>0</v>
      </c>
      <c r="FO37" s="72">
        <v>0</v>
      </c>
      <c r="FP37" s="72">
        <v>0</v>
      </c>
      <c r="FQ37" s="72">
        <v>0</v>
      </c>
      <c r="FR37" s="72">
        <v>0</v>
      </c>
      <c r="FS37" s="72">
        <v>0</v>
      </c>
      <c r="FT37" s="72">
        <v>0</v>
      </c>
      <c r="FU37" s="72">
        <v>0</v>
      </c>
      <c r="FV37" s="72">
        <v>0</v>
      </c>
      <c r="FW37" s="72">
        <v>0</v>
      </c>
      <c r="FX37" s="72">
        <v>0</v>
      </c>
      <c r="FY37" s="72">
        <v>0</v>
      </c>
      <c r="FZ37" s="72">
        <v>0</v>
      </c>
      <c r="GA37" s="72">
        <v>0</v>
      </c>
      <c r="GB37" s="72">
        <v>0</v>
      </c>
      <c r="GC37" s="72">
        <v>0</v>
      </c>
      <c r="GD37" s="72">
        <v>0</v>
      </c>
      <c r="GE37" s="72">
        <v>0</v>
      </c>
      <c r="GF37" s="72">
        <v>0</v>
      </c>
      <c r="GG37" s="72">
        <v>0</v>
      </c>
      <c r="GH37" s="72">
        <v>0</v>
      </c>
      <c r="GI37" s="72">
        <v>0</v>
      </c>
      <c r="GJ37" s="72">
        <v>0</v>
      </c>
      <c r="GK37" s="72">
        <v>0</v>
      </c>
      <c r="GL37" s="72">
        <v>0</v>
      </c>
      <c r="GM37" s="72">
        <v>0</v>
      </c>
      <c r="GN37" s="72">
        <v>0</v>
      </c>
      <c r="GO37" s="72">
        <v>0</v>
      </c>
      <c r="GP37" s="72">
        <v>0</v>
      </c>
      <c r="GQ37" s="72">
        <v>0</v>
      </c>
      <c r="GR37" s="72">
        <f t="shared" si="0"/>
        <v>55009.56714393419</v>
      </c>
      <c r="GS37" s="72">
        <f>SUM(AH$5:AH$202)</f>
        <v>55009.567143934168</v>
      </c>
      <c r="GT37" s="73">
        <v>0</v>
      </c>
    </row>
    <row r="38" spans="1:202" outlineLevel="1" x14ac:dyDescent="0.2">
      <c r="A38" s="66" t="s">
        <v>309</v>
      </c>
      <c r="B38" s="72">
        <v>0</v>
      </c>
      <c r="C38" s="72">
        <v>0</v>
      </c>
      <c r="D38" s="72">
        <v>0</v>
      </c>
      <c r="E38" s="72">
        <v>0</v>
      </c>
      <c r="F38" s="72">
        <v>0</v>
      </c>
      <c r="G38" s="72">
        <v>0</v>
      </c>
      <c r="H38" s="72">
        <v>0</v>
      </c>
      <c r="I38" s="72">
        <v>0</v>
      </c>
      <c r="J38" s="72">
        <v>0</v>
      </c>
      <c r="K38" s="72">
        <v>0</v>
      </c>
      <c r="L38" s="72">
        <v>0</v>
      </c>
      <c r="M38" s="72">
        <v>0</v>
      </c>
      <c r="N38" s="72">
        <v>0</v>
      </c>
      <c r="O38" s="72">
        <v>0</v>
      </c>
      <c r="P38" s="72">
        <v>0</v>
      </c>
      <c r="Q38" s="72">
        <v>0</v>
      </c>
      <c r="R38" s="72">
        <v>0</v>
      </c>
      <c r="S38" s="72">
        <v>0</v>
      </c>
      <c r="T38" s="72">
        <v>0</v>
      </c>
      <c r="U38" s="72">
        <v>0</v>
      </c>
      <c r="V38" s="72">
        <v>0</v>
      </c>
      <c r="W38" s="72">
        <v>0</v>
      </c>
      <c r="X38" s="72">
        <v>0</v>
      </c>
      <c r="Y38" s="72">
        <v>0</v>
      </c>
      <c r="Z38" s="72">
        <v>0</v>
      </c>
      <c r="AA38" s="72">
        <v>0</v>
      </c>
      <c r="AB38" s="72">
        <v>0</v>
      </c>
      <c r="AC38" s="72">
        <v>0</v>
      </c>
      <c r="AD38" s="72">
        <v>0</v>
      </c>
      <c r="AE38" s="72">
        <v>0</v>
      </c>
      <c r="AF38" s="72">
        <v>0</v>
      </c>
      <c r="AG38" s="72">
        <v>0</v>
      </c>
      <c r="AH38" s="72">
        <v>0</v>
      </c>
      <c r="AI38" s="72">
        <v>0</v>
      </c>
      <c r="AJ38" s="72">
        <v>0</v>
      </c>
      <c r="AK38" s="72">
        <v>0</v>
      </c>
      <c r="AL38" s="72">
        <v>0</v>
      </c>
      <c r="AM38" s="72">
        <v>0</v>
      </c>
      <c r="AN38" s="72">
        <v>0</v>
      </c>
      <c r="AO38" s="72">
        <v>0</v>
      </c>
      <c r="AP38" s="72">
        <v>0</v>
      </c>
      <c r="AQ38" s="72">
        <v>0</v>
      </c>
      <c r="AR38" s="72">
        <v>0</v>
      </c>
      <c r="AS38" s="72">
        <v>0</v>
      </c>
      <c r="AT38" s="72">
        <v>0</v>
      </c>
      <c r="AU38" s="72">
        <v>0</v>
      </c>
      <c r="AV38" s="72">
        <v>0</v>
      </c>
      <c r="AW38" s="72">
        <v>0</v>
      </c>
      <c r="AX38" s="72">
        <v>0</v>
      </c>
      <c r="AY38" s="72">
        <v>0</v>
      </c>
      <c r="AZ38" s="72">
        <v>0</v>
      </c>
      <c r="BA38" s="72">
        <v>0</v>
      </c>
      <c r="BB38" s="72">
        <v>0</v>
      </c>
      <c r="BC38" s="72">
        <v>0</v>
      </c>
      <c r="BD38" s="72">
        <v>0</v>
      </c>
      <c r="BE38" s="72">
        <v>0</v>
      </c>
      <c r="BF38" s="72">
        <v>0</v>
      </c>
      <c r="BG38" s="72">
        <v>0</v>
      </c>
      <c r="BH38" s="72">
        <v>0</v>
      </c>
      <c r="BI38" s="72">
        <v>0</v>
      </c>
      <c r="BJ38" s="72">
        <v>0</v>
      </c>
      <c r="BK38" s="72">
        <v>0</v>
      </c>
      <c r="BL38" s="72">
        <v>0</v>
      </c>
      <c r="BM38" s="72">
        <v>0</v>
      </c>
      <c r="BN38" s="72">
        <v>0</v>
      </c>
      <c r="BO38" s="72">
        <v>0</v>
      </c>
      <c r="BP38" s="72">
        <v>0</v>
      </c>
      <c r="BQ38" s="72">
        <v>0</v>
      </c>
      <c r="BR38" s="72">
        <v>0</v>
      </c>
      <c r="BS38" s="72">
        <v>0</v>
      </c>
      <c r="BT38" s="72">
        <v>0</v>
      </c>
      <c r="BU38" s="72">
        <v>246453.17637714153</v>
      </c>
      <c r="BV38" s="72">
        <v>0</v>
      </c>
      <c r="BW38" s="72">
        <v>0</v>
      </c>
      <c r="BX38" s="72">
        <v>0</v>
      </c>
      <c r="BY38" s="72">
        <v>0</v>
      </c>
      <c r="BZ38" s="72">
        <v>0</v>
      </c>
      <c r="CA38" s="72">
        <v>0</v>
      </c>
      <c r="CB38" s="72">
        <v>0</v>
      </c>
      <c r="CC38" s="72">
        <v>0</v>
      </c>
      <c r="CD38" s="72">
        <v>0</v>
      </c>
      <c r="CE38" s="72">
        <v>0</v>
      </c>
      <c r="CF38" s="72">
        <v>0</v>
      </c>
      <c r="CG38" s="72">
        <v>0</v>
      </c>
      <c r="CH38" s="72">
        <v>0</v>
      </c>
      <c r="CI38" s="72">
        <v>0</v>
      </c>
      <c r="CJ38" s="72">
        <v>0</v>
      </c>
      <c r="CK38" s="72">
        <v>0</v>
      </c>
      <c r="CL38" s="72">
        <v>0</v>
      </c>
      <c r="CM38" s="72">
        <v>0</v>
      </c>
      <c r="CN38" s="72">
        <v>0</v>
      </c>
      <c r="CO38" s="72">
        <v>0</v>
      </c>
      <c r="CP38" s="72">
        <v>0</v>
      </c>
      <c r="CQ38" s="72">
        <v>0</v>
      </c>
      <c r="CR38" s="72">
        <v>0</v>
      </c>
      <c r="CS38" s="72">
        <v>0</v>
      </c>
      <c r="CT38" s="72">
        <v>0</v>
      </c>
      <c r="CU38" s="72">
        <v>0</v>
      </c>
      <c r="CV38" s="72">
        <v>0</v>
      </c>
      <c r="CW38" s="72">
        <v>0</v>
      </c>
      <c r="CX38" s="72">
        <v>0</v>
      </c>
      <c r="CY38" s="72">
        <v>0</v>
      </c>
      <c r="CZ38" s="72">
        <v>0</v>
      </c>
      <c r="DA38" s="72">
        <v>0</v>
      </c>
      <c r="DB38" s="72">
        <v>0</v>
      </c>
      <c r="DC38" s="72">
        <v>0</v>
      </c>
      <c r="DD38" s="72">
        <v>0</v>
      </c>
      <c r="DE38" s="72">
        <v>0</v>
      </c>
      <c r="DF38" s="72">
        <v>0</v>
      </c>
      <c r="DG38" s="72">
        <v>0</v>
      </c>
      <c r="DH38" s="72">
        <v>0</v>
      </c>
      <c r="DI38" s="72">
        <v>0</v>
      </c>
      <c r="DJ38" s="72">
        <v>0</v>
      </c>
      <c r="DK38" s="72">
        <v>0</v>
      </c>
      <c r="DL38" s="72">
        <v>0</v>
      </c>
      <c r="DM38" s="72">
        <v>0</v>
      </c>
      <c r="DN38" s="72">
        <v>0</v>
      </c>
      <c r="DO38" s="72">
        <v>0</v>
      </c>
      <c r="DP38" s="72">
        <v>0</v>
      </c>
      <c r="DQ38" s="72">
        <v>0</v>
      </c>
      <c r="DR38" s="72">
        <v>0</v>
      </c>
      <c r="DS38" s="72">
        <v>0</v>
      </c>
      <c r="DT38" s="72">
        <v>0</v>
      </c>
      <c r="DU38" s="72">
        <v>0</v>
      </c>
      <c r="DV38" s="72">
        <v>0</v>
      </c>
      <c r="DW38" s="72">
        <v>0</v>
      </c>
      <c r="DX38" s="72">
        <v>0</v>
      </c>
      <c r="DY38" s="72">
        <v>0</v>
      </c>
      <c r="DZ38" s="72">
        <v>0</v>
      </c>
      <c r="EA38" s="72">
        <v>0</v>
      </c>
      <c r="EB38" s="72">
        <v>0</v>
      </c>
      <c r="EC38" s="72">
        <v>0</v>
      </c>
      <c r="ED38" s="72">
        <v>0</v>
      </c>
      <c r="EE38" s="72">
        <v>0</v>
      </c>
      <c r="EF38" s="72">
        <v>0</v>
      </c>
      <c r="EG38" s="72">
        <v>0</v>
      </c>
      <c r="EH38" s="72">
        <v>0</v>
      </c>
      <c r="EI38" s="72">
        <v>0</v>
      </c>
      <c r="EJ38" s="72">
        <v>0</v>
      </c>
      <c r="EK38" s="72">
        <v>0</v>
      </c>
      <c r="EL38" s="72">
        <v>0</v>
      </c>
      <c r="EM38" s="72">
        <v>0</v>
      </c>
      <c r="EN38" s="72">
        <v>0</v>
      </c>
      <c r="EO38" s="72">
        <v>0</v>
      </c>
      <c r="EP38" s="72">
        <v>0</v>
      </c>
      <c r="EQ38" s="72">
        <v>0</v>
      </c>
      <c r="ER38" s="72">
        <v>0</v>
      </c>
      <c r="ES38" s="72">
        <v>28332.010975322366</v>
      </c>
      <c r="ET38" s="72">
        <v>0</v>
      </c>
      <c r="EU38" s="72">
        <v>0</v>
      </c>
      <c r="EV38" s="72">
        <v>0</v>
      </c>
      <c r="EW38" s="72">
        <v>0</v>
      </c>
      <c r="EX38" s="72">
        <v>0</v>
      </c>
      <c r="EY38" s="72">
        <v>0</v>
      </c>
      <c r="EZ38" s="72">
        <v>0</v>
      </c>
      <c r="FA38" s="72">
        <v>0</v>
      </c>
      <c r="FB38" s="72">
        <v>0</v>
      </c>
      <c r="FC38" s="72">
        <v>0</v>
      </c>
      <c r="FD38" s="72">
        <v>0</v>
      </c>
      <c r="FE38" s="72">
        <v>0</v>
      </c>
      <c r="FF38" s="72">
        <v>0</v>
      </c>
      <c r="FG38" s="72">
        <v>0</v>
      </c>
      <c r="FH38" s="72">
        <v>0</v>
      </c>
      <c r="FI38" s="72">
        <v>0</v>
      </c>
      <c r="FJ38" s="72">
        <v>0</v>
      </c>
      <c r="FK38" s="72">
        <v>0</v>
      </c>
      <c r="FL38" s="72">
        <v>0</v>
      </c>
      <c r="FM38" s="72">
        <v>0</v>
      </c>
      <c r="FN38" s="72">
        <v>0</v>
      </c>
      <c r="FO38" s="72">
        <v>0</v>
      </c>
      <c r="FP38" s="72">
        <v>0</v>
      </c>
      <c r="FQ38" s="72">
        <v>0</v>
      </c>
      <c r="FR38" s="72">
        <v>0</v>
      </c>
      <c r="FS38" s="72">
        <v>0</v>
      </c>
      <c r="FT38" s="72">
        <v>0</v>
      </c>
      <c r="FU38" s="72">
        <v>0</v>
      </c>
      <c r="FV38" s="72">
        <v>0</v>
      </c>
      <c r="FW38" s="72">
        <v>0</v>
      </c>
      <c r="FX38" s="72">
        <v>0</v>
      </c>
      <c r="FY38" s="72">
        <v>0</v>
      </c>
      <c r="FZ38" s="72">
        <v>0</v>
      </c>
      <c r="GA38" s="72">
        <v>0</v>
      </c>
      <c r="GB38" s="72">
        <v>0</v>
      </c>
      <c r="GC38" s="72">
        <v>0</v>
      </c>
      <c r="GD38" s="72">
        <v>0</v>
      </c>
      <c r="GE38" s="72">
        <v>0</v>
      </c>
      <c r="GF38" s="72">
        <v>0</v>
      </c>
      <c r="GG38" s="72">
        <v>0</v>
      </c>
      <c r="GH38" s="72">
        <v>0</v>
      </c>
      <c r="GI38" s="72">
        <v>0</v>
      </c>
      <c r="GJ38" s="72">
        <v>0</v>
      </c>
      <c r="GK38" s="72">
        <v>0</v>
      </c>
      <c r="GL38" s="72">
        <v>0</v>
      </c>
      <c r="GM38" s="72">
        <v>0</v>
      </c>
      <c r="GN38" s="72">
        <v>0</v>
      </c>
      <c r="GO38" s="72">
        <v>0</v>
      </c>
      <c r="GP38" s="72">
        <v>0</v>
      </c>
      <c r="GQ38" s="72">
        <v>0</v>
      </c>
      <c r="GR38" s="72">
        <f t="shared" si="0"/>
        <v>274785.18735246389</v>
      </c>
      <c r="GS38" s="72">
        <f>SUM(AI$5:AI$202)</f>
        <v>274785.18735246384</v>
      </c>
      <c r="GT38" s="73">
        <v>0</v>
      </c>
    </row>
    <row r="39" spans="1:202" outlineLevel="1" x14ac:dyDescent="0.2">
      <c r="A39" s="66" t="s">
        <v>313</v>
      </c>
      <c r="B39" s="72">
        <v>0</v>
      </c>
      <c r="C39" s="72">
        <v>0</v>
      </c>
      <c r="D39" s="72">
        <v>0</v>
      </c>
      <c r="E39" s="72">
        <v>0</v>
      </c>
      <c r="F39" s="72">
        <v>0</v>
      </c>
      <c r="G39" s="72">
        <v>0</v>
      </c>
      <c r="H39" s="72">
        <v>0</v>
      </c>
      <c r="I39" s="72">
        <v>0</v>
      </c>
      <c r="J39" s="72">
        <v>0</v>
      </c>
      <c r="K39" s="72">
        <v>0</v>
      </c>
      <c r="L39" s="72">
        <v>0</v>
      </c>
      <c r="M39" s="72">
        <v>0</v>
      </c>
      <c r="N39" s="72">
        <v>0</v>
      </c>
      <c r="O39" s="72">
        <v>0</v>
      </c>
      <c r="P39" s="72">
        <v>0</v>
      </c>
      <c r="Q39" s="72">
        <v>0</v>
      </c>
      <c r="R39" s="72">
        <v>0</v>
      </c>
      <c r="S39" s="72">
        <v>0</v>
      </c>
      <c r="T39" s="72">
        <v>0</v>
      </c>
      <c r="U39" s="72">
        <v>0</v>
      </c>
      <c r="V39" s="72">
        <v>0</v>
      </c>
      <c r="W39" s="72">
        <v>0</v>
      </c>
      <c r="X39" s="72">
        <v>0</v>
      </c>
      <c r="Y39" s="72">
        <v>0</v>
      </c>
      <c r="Z39" s="72">
        <v>0</v>
      </c>
      <c r="AA39" s="72">
        <v>0</v>
      </c>
      <c r="AB39" s="72">
        <v>0</v>
      </c>
      <c r="AC39" s="72">
        <v>0</v>
      </c>
      <c r="AD39" s="72">
        <v>0</v>
      </c>
      <c r="AE39" s="72">
        <v>0</v>
      </c>
      <c r="AF39" s="72">
        <v>0</v>
      </c>
      <c r="AG39" s="72">
        <v>0</v>
      </c>
      <c r="AH39" s="72">
        <v>0</v>
      </c>
      <c r="AI39" s="72">
        <v>0</v>
      </c>
      <c r="AJ39" s="72">
        <v>0</v>
      </c>
      <c r="AK39" s="72">
        <v>0</v>
      </c>
      <c r="AL39" s="72">
        <v>0</v>
      </c>
      <c r="AM39" s="72">
        <v>0</v>
      </c>
      <c r="AN39" s="72">
        <v>0</v>
      </c>
      <c r="AO39" s="72">
        <v>0</v>
      </c>
      <c r="AP39" s="72">
        <v>0</v>
      </c>
      <c r="AQ39" s="72">
        <v>0</v>
      </c>
      <c r="AR39" s="72">
        <v>0</v>
      </c>
      <c r="AS39" s="72">
        <v>0</v>
      </c>
      <c r="AT39" s="72">
        <v>0</v>
      </c>
      <c r="AU39" s="72">
        <v>0</v>
      </c>
      <c r="AV39" s="72">
        <v>0</v>
      </c>
      <c r="AW39" s="72">
        <v>0</v>
      </c>
      <c r="AX39" s="72">
        <v>0</v>
      </c>
      <c r="AY39" s="72">
        <v>0</v>
      </c>
      <c r="AZ39" s="72">
        <v>0</v>
      </c>
      <c r="BA39" s="72">
        <v>0</v>
      </c>
      <c r="BB39" s="72">
        <v>0</v>
      </c>
      <c r="BC39" s="72">
        <v>0</v>
      </c>
      <c r="BD39" s="72">
        <v>0</v>
      </c>
      <c r="BE39" s="72">
        <v>0</v>
      </c>
      <c r="BF39" s="72">
        <v>0</v>
      </c>
      <c r="BG39" s="72">
        <v>0</v>
      </c>
      <c r="BH39" s="72">
        <v>0</v>
      </c>
      <c r="BI39" s="72">
        <v>0</v>
      </c>
      <c r="BJ39" s="72">
        <v>0</v>
      </c>
      <c r="BK39" s="72">
        <v>0</v>
      </c>
      <c r="BL39" s="72">
        <v>0</v>
      </c>
      <c r="BM39" s="72">
        <v>0</v>
      </c>
      <c r="BN39" s="72">
        <v>0</v>
      </c>
      <c r="BO39" s="72">
        <v>0</v>
      </c>
      <c r="BP39" s="72">
        <v>0</v>
      </c>
      <c r="BQ39" s="72">
        <v>0</v>
      </c>
      <c r="BR39" s="72">
        <v>0</v>
      </c>
      <c r="BS39" s="72">
        <v>0</v>
      </c>
      <c r="BT39" s="72">
        <v>0</v>
      </c>
      <c r="BU39" s="72">
        <v>3163.0249159128157</v>
      </c>
      <c r="BV39" s="72">
        <v>57412.136062697908</v>
      </c>
      <c r="BW39" s="72">
        <v>0</v>
      </c>
      <c r="BX39" s="72">
        <v>0</v>
      </c>
      <c r="BY39" s="72">
        <v>0</v>
      </c>
      <c r="BZ39" s="72">
        <v>0</v>
      </c>
      <c r="CA39" s="72">
        <v>0</v>
      </c>
      <c r="CB39" s="72">
        <v>0</v>
      </c>
      <c r="CC39" s="72">
        <v>0</v>
      </c>
      <c r="CD39" s="72">
        <v>0</v>
      </c>
      <c r="CE39" s="72">
        <v>0</v>
      </c>
      <c r="CF39" s="72">
        <v>0</v>
      </c>
      <c r="CG39" s="72">
        <v>0</v>
      </c>
      <c r="CH39" s="72">
        <v>0</v>
      </c>
      <c r="CI39" s="72">
        <v>0</v>
      </c>
      <c r="CJ39" s="72">
        <v>0</v>
      </c>
      <c r="CK39" s="72">
        <v>0</v>
      </c>
      <c r="CL39" s="72">
        <v>0</v>
      </c>
      <c r="CM39" s="72">
        <v>0</v>
      </c>
      <c r="CN39" s="72">
        <v>0</v>
      </c>
      <c r="CO39" s="72">
        <v>0</v>
      </c>
      <c r="CP39" s="72">
        <v>0</v>
      </c>
      <c r="CQ39" s="72">
        <v>0</v>
      </c>
      <c r="CR39" s="72">
        <v>0</v>
      </c>
      <c r="CS39" s="72">
        <v>0</v>
      </c>
      <c r="CT39" s="72">
        <v>0</v>
      </c>
      <c r="CU39" s="72">
        <v>0</v>
      </c>
      <c r="CV39" s="72">
        <v>0</v>
      </c>
      <c r="CW39" s="72">
        <v>0</v>
      </c>
      <c r="CX39" s="72">
        <v>0</v>
      </c>
      <c r="CY39" s="72">
        <v>0</v>
      </c>
      <c r="CZ39" s="72">
        <v>0</v>
      </c>
      <c r="DA39" s="72">
        <v>0</v>
      </c>
      <c r="DB39" s="72">
        <v>0</v>
      </c>
      <c r="DC39" s="72">
        <v>0</v>
      </c>
      <c r="DD39" s="72">
        <v>0</v>
      </c>
      <c r="DE39" s="72">
        <v>0</v>
      </c>
      <c r="DF39" s="72">
        <v>0</v>
      </c>
      <c r="DG39" s="72">
        <v>0</v>
      </c>
      <c r="DH39" s="72">
        <v>0</v>
      </c>
      <c r="DI39" s="72">
        <v>0</v>
      </c>
      <c r="DJ39" s="72">
        <v>0</v>
      </c>
      <c r="DK39" s="72">
        <v>0</v>
      </c>
      <c r="DL39" s="72">
        <v>0</v>
      </c>
      <c r="DM39" s="72">
        <v>0</v>
      </c>
      <c r="DN39" s="72">
        <v>0</v>
      </c>
      <c r="DO39" s="72">
        <v>0</v>
      </c>
      <c r="DP39" s="72">
        <v>0</v>
      </c>
      <c r="DQ39" s="72">
        <v>0</v>
      </c>
      <c r="DR39" s="72">
        <v>0</v>
      </c>
      <c r="DS39" s="72">
        <v>0</v>
      </c>
      <c r="DT39" s="72">
        <v>0</v>
      </c>
      <c r="DU39" s="72">
        <v>0</v>
      </c>
      <c r="DV39" s="72">
        <v>0</v>
      </c>
      <c r="DW39" s="72">
        <v>0</v>
      </c>
      <c r="DX39" s="72">
        <v>0</v>
      </c>
      <c r="DY39" s="72">
        <v>0</v>
      </c>
      <c r="DZ39" s="72">
        <v>0</v>
      </c>
      <c r="EA39" s="72">
        <v>0</v>
      </c>
      <c r="EB39" s="72">
        <v>0</v>
      </c>
      <c r="EC39" s="72">
        <v>0</v>
      </c>
      <c r="ED39" s="72">
        <v>0</v>
      </c>
      <c r="EE39" s="72">
        <v>0</v>
      </c>
      <c r="EF39" s="72">
        <v>0</v>
      </c>
      <c r="EG39" s="72">
        <v>0</v>
      </c>
      <c r="EH39" s="72">
        <v>0</v>
      </c>
      <c r="EI39" s="72">
        <v>0</v>
      </c>
      <c r="EJ39" s="72">
        <v>0</v>
      </c>
      <c r="EK39" s="72">
        <v>0</v>
      </c>
      <c r="EL39" s="72">
        <v>0</v>
      </c>
      <c r="EM39" s="72">
        <v>0</v>
      </c>
      <c r="EN39" s="72">
        <v>0</v>
      </c>
      <c r="EO39" s="72">
        <v>0</v>
      </c>
      <c r="EP39" s="72">
        <v>0</v>
      </c>
      <c r="EQ39" s="72">
        <v>0</v>
      </c>
      <c r="ER39" s="72">
        <v>0</v>
      </c>
      <c r="ES39" s="72">
        <v>0</v>
      </c>
      <c r="ET39" s="72">
        <v>3207.9258476772634</v>
      </c>
      <c r="EU39" s="72">
        <v>0</v>
      </c>
      <c r="EV39" s="72">
        <v>0</v>
      </c>
      <c r="EW39" s="72">
        <v>0</v>
      </c>
      <c r="EX39" s="72">
        <v>0</v>
      </c>
      <c r="EY39" s="72">
        <v>0</v>
      </c>
      <c r="EZ39" s="72">
        <v>0</v>
      </c>
      <c r="FA39" s="72">
        <v>0</v>
      </c>
      <c r="FB39" s="72">
        <v>0</v>
      </c>
      <c r="FC39" s="72">
        <v>0</v>
      </c>
      <c r="FD39" s="72">
        <v>0</v>
      </c>
      <c r="FE39" s="72">
        <v>0</v>
      </c>
      <c r="FF39" s="72">
        <v>0</v>
      </c>
      <c r="FG39" s="72">
        <v>0</v>
      </c>
      <c r="FH39" s="72">
        <v>0</v>
      </c>
      <c r="FI39" s="72">
        <v>0</v>
      </c>
      <c r="FJ39" s="72">
        <v>0</v>
      </c>
      <c r="FK39" s="72">
        <v>0</v>
      </c>
      <c r="FL39" s="72">
        <v>0</v>
      </c>
      <c r="FM39" s="72">
        <v>0</v>
      </c>
      <c r="FN39" s="72">
        <v>0</v>
      </c>
      <c r="FO39" s="72">
        <v>0</v>
      </c>
      <c r="FP39" s="72">
        <v>0</v>
      </c>
      <c r="FQ39" s="72">
        <v>0</v>
      </c>
      <c r="FR39" s="72">
        <v>0</v>
      </c>
      <c r="FS39" s="72">
        <v>0</v>
      </c>
      <c r="FT39" s="72">
        <v>0</v>
      </c>
      <c r="FU39" s="72">
        <v>0</v>
      </c>
      <c r="FV39" s="72">
        <v>0</v>
      </c>
      <c r="FW39" s="72">
        <v>0</v>
      </c>
      <c r="FX39" s="72">
        <v>0</v>
      </c>
      <c r="FY39" s="72">
        <v>0</v>
      </c>
      <c r="FZ39" s="72">
        <v>0</v>
      </c>
      <c r="GA39" s="72">
        <v>0</v>
      </c>
      <c r="GB39" s="72">
        <v>0</v>
      </c>
      <c r="GC39" s="72">
        <v>0</v>
      </c>
      <c r="GD39" s="72">
        <v>0</v>
      </c>
      <c r="GE39" s="72">
        <v>0</v>
      </c>
      <c r="GF39" s="72">
        <v>0</v>
      </c>
      <c r="GG39" s="72">
        <v>0</v>
      </c>
      <c r="GH39" s="72">
        <v>0</v>
      </c>
      <c r="GI39" s="72">
        <v>0</v>
      </c>
      <c r="GJ39" s="72">
        <v>0</v>
      </c>
      <c r="GK39" s="72">
        <v>0</v>
      </c>
      <c r="GL39" s="72">
        <v>0</v>
      </c>
      <c r="GM39" s="72">
        <v>0</v>
      </c>
      <c r="GN39" s="72">
        <v>0</v>
      </c>
      <c r="GO39" s="72">
        <v>0</v>
      </c>
      <c r="GP39" s="72">
        <v>0</v>
      </c>
      <c r="GQ39" s="72">
        <v>0</v>
      </c>
      <c r="GR39" s="72">
        <f t="shared" si="0"/>
        <v>63783.086826287989</v>
      </c>
      <c r="GS39" s="72">
        <f>SUM(AJ$5:AJ$202)</f>
        <v>63783.086826287989</v>
      </c>
      <c r="GT39" s="73">
        <v>0</v>
      </c>
    </row>
    <row r="40" spans="1:202" outlineLevel="1" x14ac:dyDescent="0.2">
      <c r="A40" s="66" t="s">
        <v>318</v>
      </c>
      <c r="B40" s="72">
        <v>0</v>
      </c>
      <c r="C40" s="72">
        <v>0</v>
      </c>
      <c r="D40" s="72">
        <v>0</v>
      </c>
      <c r="E40" s="72">
        <v>0</v>
      </c>
      <c r="F40" s="72">
        <v>0</v>
      </c>
      <c r="G40" s="72">
        <v>0</v>
      </c>
      <c r="H40" s="72">
        <v>0</v>
      </c>
      <c r="I40" s="72">
        <v>0</v>
      </c>
      <c r="J40" s="72">
        <v>0</v>
      </c>
      <c r="K40" s="72">
        <v>0</v>
      </c>
      <c r="L40" s="72">
        <v>0</v>
      </c>
      <c r="M40" s="72">
        <v>0</v>
      </c>
      <c r="N40" s="72">
        <v>0</v>
      </c>
      <c r="O40" s="72">
        <v>0</v>
      </c>
      <c r="P40" s="72">
        <v>0</v>
      </c>
      <c r="Q40" s="72">
        <v>0</v>
      </c>
      <c r="R40" s="72">
        <v>0</v>
      </c>
      <c r="S40" s="72">
        <v>0</v>
      </c>
      <c r="T40" s="72">
        <v>0</v>
      </c>
      <c r="U40" s="72">
        <v>0</v>
      </c>
      <c r="V40" s="72">
        <v>0</v>
      </c>
      <c r="W40" s="72">
        <v>0</v>
      </c>
      <c r="X40" s="72">
        <v>0</v>
      </c>
      <c r="Y40" s="72">
        <v>0</v>
      </c>
      <c r="Z40" s="72">
        <v>0</v>
      </c>
      <c r="AA40" s="72">
        <v>0</v>
      </c>
      <c r="AB40" s="72">
        <v>0</v>
      </c>
      <c r="AC40" s="72">
        <v>0</v>
      </c>
      <c r="AD40" s="72">
        <v>0</v>
      </c>
      <c r="AE40" s="72">
        <v>0</v>
      </c>
      <c r="AF40" s="72">
        <v>0</v>
      </c>
      <c r="AG40" s="72">
        <v>0</v>
      </c>
      <c r="AH40" s="72">
        <v>0</v>
      </c>
      <c r="AI40" s="72">
        <v>0</v>
      </c>
      <c r="AJ40" s="72">
        <v>0</v>
      </c>
      <c r="AK40" s="72">
        <v>0</v>
      </c>
      <c r="AL40" s="72">
        <v>0</v>
      </c>
      <c r="AM40" s="72">
        <v>0</v>
      </c>
      <c r="AN40" s="72">
        <v>0</v>
      </c>
      <c r="AO40" s="72">
        <v>0</v>
      </c>
      <c r="AP40" s="72">
        <v>0</v>
      </c>
      <c r="AQ40" s="72">
        <v>0</v>
      </c>
      <c r="AR40" s="72">
        <v>0</v>
      </c>
      <c r="AS40" s="72">
        <v>0</v>
      </c>
      <c r="AT40" s="72">
        <v>0</v>
      </c>
      <c r="AU40" s="72">
        <v>0</v>
      </c>
      <c r="AV40" s="72">
        <v>0</v>
      </c>
      <c r="AW40" s="72">
        <v>0</v>
      </c>
      <c r="AX40" s="72">
        <v>0</v>
      </c>
      <c r="AY40" s="72">
        <v>0</v>
      </c>
      <c r="AZ40" s="72">
        <v>0</v>
      </c>
      <c r="BA40" s="72">
        <v>0</v>
      </c>
      <c r="BB40" s="72">
        <v>0</v>
      </c>
      <c r="BC40" s="72">
        <v>0</v>
      </c>
      <c r="BD40" s="72">
        <v>0</v>
      </c>
      <c r="BE40" s="72">
        <v>0</v>
      </c>
      <c r="BF40" s="72">
        <v>0</v>
      </c>
      <c r="BG40" s="72">
        <v>0</v>
      </c>
      <c r="BH40" s="72">
        <v>0</v>
      </c>
      <c r="BI40" s="72">
        <v>0</v>
      </c>
      <c r="BJ40" s="72">
        <v>0</v>
      </c>
      <c r="BK40" s="72">
        <v>0</v>
      </c>
      <c r="BL40" s="72">
        <v>0</v>
      </c>
      <c r="BM40" s="72">
        <v>0</v>
      </c>
      <c r="BN40" s="72">
        <v>0</v>
      </c>
      <c r="BO40" s="72">
        <v>0</v>
      </c>
      <c r="BP40" s="72">
        <v>0</v>
      </c>
      <c r="BQ40" s="72">
        <v>0</v>
      </c>
      <c r="BR40" s="72">
        <v>0</v>
      </c>
      <c r="BS40" s="72">
        <v>0</v>
      </c>
      <c r="BT40" s="72">
        <v>0</v>
      </c>
      <c r="BU40" s="72">
        <v>0</v>
      </c>
      <c r="BV40" s="72">
        <v>0</v>
      </c>
      <c r="BW40" s="72">
        <v>0</v>
      </c>
      <c r="BX40" s="72">
        <v>0</v>
      </c>
      <c r="BY40" s="72">
        <v>0</v>
      </c>
      <c r="BZ40" s="72">
        <v>0</v>
      </c>
      <c r="CA40" s="72">
        <v>0</v>
      </c>
      <c r="CB40" s="72">
        <v>0</v>
      </c>
      <c r="CC40" s="72">
        <v>0</v>
      </c>
      <c r="CD40" s="72">
        <v>0</v>
      </c>
      <c r="CE40" s="72">
        <v>0</v>
      </c>
      <c r="CF40" s="72">
        <v>0</v>
      </c>
      <c r="CG40" s="72">
        <v>0</v>
      </c>
      <c r="CH40" s="72">
        <v>0</v>
      </c>
      <c r="CI40" s="72">
        <v>0</v>
      </c>
      <c r="CJ40" s="72">
        <v>0</v>
      </c>
      <c r="CK40" s="72">
        <v>0</v>
      </c>
      <c r="CL40" s="72">
        <v>0</v>
      </c>
      <c r="CM40" s="72">
        <v>0</v>
      </c>
      <c r="CN40" s="72">
        <v>0</v>
      </c>
      <c r="CO40" s="72">
        <v>0</v>
      </c>
      <c r="CP40" s="72">
        <v>0</v>
      </c>
      <c r="CQ40" s="72">
        <v>0</v>
      </c>
      <c r="CR40" s="72">
        <v>0</v>
      </c>
      <c r="CS40" s="72">
        <v>0</v>
      </c>
      <c r="CT40" s="72">
        <v>0</v>
      </c>
      <c r="CU40" s="72">
        <v>0</v>
      </c>
      <c r="CV40" s="72">
        <v>0</v>
      </c>
      <c r="CW40" s="72">
        <v>0</v>
      </c>
      <c r="CX40" s="72">
        <v>0</v>
      </c>
      <c r="CY40" s="72">
        <v>0</v>
      </c>
      <c r="CZ40" s="72">
        <v>0</v>
      </c>
      <c r="DA40" s="72">
        <v>0</v>
      </c>
      <c r="DB40" s="72">
        <v>0</v>
      </c>
      <c r="DC40" s="72">
        <v>0</v>
      </c>
      <c r="DD40" s="72">
        <v>0</v>
      </c>
      <c r="DE40" s="72">
        <v>0</v>
      </c>
      <c r="DF40" s="72">
        <v>0</v>
      </c>
      <c r="DG40" s="72">
        <v>0</v>
      </c>
      <c r="DH40" s="72">
        <v>0</v>
      </c>
      <c r="DI40" s="72">
        <v>0</v>
      </c>
      <c r="DJ40" s="72">
        <v>0</v>
      </c>
      <c r="DK40" s="72">
        <v>0</v>
      </c>
      <c r="DL40" s="72">
        <v>0</v>
      </c>
      <c r="DM40" s="72">
        <v>0</v>
      </c>
      <c r="DN40" s="72">
        <v>0</v>
      </c>
      <c r="DO40" s="72">
        <v>0</v>
      </c>
      <c r="DP40" s="72">
        <v>0</v>
      </c>
      <c r="DQ40" s="72">
        <v>0</v>
      </c>
      <c r="DR40" s="72">
        <v>0</v>
      </c>
      <c r="DS40" s="72">
        <v>0</v>
      </c>
      <c r="DT40" s="72">
        <v>0</v>
      </c>
      <c r="DU40" s="72">
        <v>0</v>
      </c>
      <c r="DV40" s="72">
        <v>0</v>
      </c>
      <c r="DW40" s="72">
        <v>0</v>
      </c>
      <c r="DX40" s="72">
        <v>0</v>
      </c>
      <c r="DY40" s="72">
        <v>0</v>
      </c>
      <c r="DZ40" s="72">
        <v>0</v>
      </c>
      <c r="EA40" s="72">
        <v>0</v>
      </c>
      <c r="EB40" s="72">
        <v>0</v>
      </c>
      <c r="EC40" s="72">
        <v>0</v>
      </c>
      <c r="ED40" s="72">
        <v>0</v>
      </c>
      <c r="EE40" s="72">
        <v>0</v>
      </c>
      <c r="EF40" s="72">
        <v>0</v>
      </c>
      <c r="EG40" s="72">
        <v>0</v>
      </c>
      <c r="EH40" s="72">
        <v>0</v>
      </c>
      <c r="EI40" s="72">
        <v>0</v>
      </c>
      <c r="EJ40" s="72">
        <v>396817.1738277041</v>
      </c>
      <c r="EK40" s="72">
        <v>0</v>
      </c>
      <c r="EL40" s="72">
        <v>0</v>
      </c>
      <c r="EM40" s="72">
        <v>0</v>
      </c>
      <c r="EN40" s="72">
        <v>0</v>
      </c>
      <c r="EO40" s="72">
        <v>0</v>
      </c>
      <c r="EP40" s="72">
        <v>0</v>
      </c>
      <c r="EQ40" s="72">
        <v>0</v>
      </c>
      <c r="ER40" s="72">
        <v>0</v>
      </c>
      <c r="ES40" s="72">
        <v>0</v>
      </c>
      <c r="ET40" s="72">
        <v>0</v>
      </c>
      <c r="EU40" s="72">
        <v>0</v>
      </c>
      <c r="EV40" s="72">
        <v>0</v>
      </c>
      <c r="EW40" s="72">
        <v>0</v>
      </c>
      <c r="EX40" s="72">
        <v>0</v>
      </c>
      <c r="EY40" s="72">
        <v>0</v>
      </c>
      <c r="EZ40" s="72">
        <v>0</v>
      </c>
      <c r="FA40" s="72">
        <v>4299.9467216191188</v>
      </c>
      <c r="FB40" s="72">
        <v>0</v>
      </c>
      <c r="FC40" s="72">
        <v>0</v>
      </c>
      <c r="FD40" s="72">
        <v>11590.502085626656</v>
      </c>
      <c r="FE40" s="72">
        <v>0</v>
      </c>
      <c r="FF40" s="72">
        <v>0</v>
      </c>
      <c r="FG40" s="72">
        <v>0</v>
      </c>
      <c r="FH40" s="72">
        <v>0</v>
      </c>
      <c r="FI40" s="72">
        <v>0</v>
      </c>
      <c r="FJ40" s="72">
        <v>0</v>
      </c>
      <c r="FK40" s="72">
        <v>0</v>
      </c>
      <c r="FL40" s="72">
        <v>0</v>
      </c>
      <c r="FM40" s="72">
        <v>0</v>
      </c>
      <c r="FN40" s="72">
        <v>0</v>
      </c>
      <c r="FO40" s="72">
        <v>0</v>
      </c>
      <c r="FP40" s="72">
        <v>0</v>
      </c>
      <c r="FQ40" s="72">
        <v>0</v>
      </c>
      <c r="FR40" s="72">
        <v>0</v>
      </c>
      <c r="FS40" s="72">
        <v>0</v>
      </c>
      <c r="FT40" s="72">
        <v>0</v>
      </c>
      <c r="FU40" s="72">
        <v>0</v>
      </c>
      <c r="FV40" s="72">
        <v>0</v>
      </c>
      <c r="FW40" s="72">
        <v>0</v>
      </c>
      <c r="FX40" s="72">
        <v>0</v>
      </c>
      <c r="FY40" s="72">
        <v>0</v>
      </c>
      <c r="FZ40" s="72">
        <v>0</v>
      </c>
      <c r="GA40" s="72">
        <v>0</v>
      </c>
      <c r="GB40" s="72">
        <v>0</v>
      </c>
      <c r="GC40" s="72">
        <v>0</v>
      </c>
      <c r="GD40" s="72">
        <v>0</v>
      </c>
      <c r="GE40" s="72">
        <v>0</v>
      </c>
      <c r="GF40" s="72">
        <v>0</v>
      </c>
      <c r="GG40" s="72">
        <v>0</v>
      </c>
      <c r="GH40" s="72">
        <v>0</v>
      </c>
      <c r="GI40" s="72">
        <v>0</v>
      </c>
      <c r="GJ40" s="72">
        <v>0</v>
      </c>
      <c r="GK40" s="72">
        <v>0</v>
      </c>
      <c r="GL40" s="72">
        <v>0</v>
      </c>
      <c r="GM40" s="72">
        <v>0</v>
      </c>
      <c r="GN40" s="72">
        <v>0</v>
      </c>
      <c r="GO40" s="72">
        <v>0</v>
      </c>
      <c r="GP40" s="72">
        <v>0</v>
      </c>
      <c r="GQ40" s="72">
        <v>0</v>
      </c>
      <c r="GR40" s="72">
        <f t="shared" si="0"/>
        <v>412707.62263494986</v>
      </c>
      <c r="GS40" s="72">
        <f>SUM(AK$5:AK$202)</f>
        <v>412707.62263494986</v>
      </c>
      <c r="GT40" s="73">
        <v>0</v>
      </c>
    </row>
    <row r="41" spans="1:202" outlineLevel="1" x14ac:dyDescent="0.2">
      <c r="A41" s="66" t="s">
        <v>324</v>
      </c>
      <c r="B41" s="72">
        <v>0</v>
      </c>
      <c r="C41" s="72">
        <v>0</v>
      </c>
      <c r="D41" s="72">
        <v>0</v>
      </c>
      <c r="E41" s="72">
        <v>0</v>
      </c>
      <c r="F41" s="72">
        <v>0</v>
      </c>
      <c r="G41" s="72">
        <v>0</v>
      </c>
      <c r="H41" s="72">
        <v>0</v>
      </c>
      <c r="I41" s="72">
        <v>0</v>
      </c>
      <c r="J41" s="72">
        <v>0</v>
      </c>
      <c r="K41" s="72">
        <v>0</v>
      </c>
      <c r="L41" s="72">
        <v>0</v>
      </c>
      <c r="M41" s="72">
        <v>0</v>
      </c>
      <c r="N41" s="72">
        <v>0</v>
      </c>
      <c r="O41" s="72">
        <v>0</v>
      </c>
      <c r="P41" s="72">
        <v>0</v>
      </c>
      <c r="Q41" s="72">
        <v>0</v>
      </c>
      <c r="R41" s="72">
        <v>0</v>
      </c>
      <c r="S41" s="72">
        <v>0</v>
      </c>
      <c r="T41" s="72">
        <v>0</v>
      </c>
      <c r="U41" s="72">
        <v>0</v>
      </c>
      <c r="V41" s="72">
        <v>0</v>
      </c>
      <c r="W41" s="72">
        <v>0</v>
      </c>
      <c r="X41" s="72">
        <v>0</v>
      </c>
      <c r="Y41" s="72">
        <v>0</v>
      </c>
      <c r="Z41" s="72">
        <v>0</v>
      </c>
      <c r="AA41" s="72">
        <v>0</v>
      </c>
      <c r="AB41" s="72">
        <v>0</v>
      </c>
      <c r="AC41" s="72">
        <v>0</v>
      </c>
      <c r="AD41" s="72">
        <v>0</v>
      </c>
      <c r="AE41" s="72">
        <v>0</v>
      </c>
      <c r="AF41" s="72">
        <v>0</v>
      </c>
      <c r="AG41" s="72">
        <v>0</v>
      </c>
      <c r="AH41" s="72">
        <v>0</v>
      </c>
      <c r="AI41" s="72">
        <v>0</v>
      </c>
      <c r="AJ41" s="72">
        <v>0</v>
      </c>
      <c r="AK41" s="72">
        <v>0</v>
      </c>
      <c r="AL41" s="72">
        <v>0</v>
      </c>
      <c r="AM41" s="72">
        <v>0</v>
      </c>
      <c r="AN41" s="72">
        <v>0</v>
      </c>
      <c r="AO41" s="72">
        <v>0</v>
      </c>
      <c r="AP41" s="72">
        <v>0</v>
      </c>
      <c r="AQ41" s="72">
        <v>0</v>
      </c>
      <c r="AR41" s="72">
        <v>0</v>
      </c>
      <c r="AS41" s="72">
        <v>0</v>
      </c>
      <c r="AT41" s="72">
        <v>0</v>
      </c>
      <c r="AU41" s="72">
        <v>0</v>
      </c>
      <c r="AV41" s="72">
        <v>0</v>
      </c>
      <c r="AW41" s="72">
        <v>0</v>
      </c>
      <c r="AX41" s="72">
        <v>0</v>
      </c>
      <c r="AY41" s="72">
        <v>0</v>
      </c>
      <c r="AZ41" s="72">
        <v>0</v>
      </c>
      <c r="BA41" s="72">
        <v>0</v>
      </c>
      <c r="BB41" s="72">
        <v>0</v>
      </c>
      <c r="BC41" s="72">
        <v>0</v>
      </c>
      <c r="BD41" s="72">
        <v>0</v>
      </c>
      <c r="BE41" s="72">
        <v>0</v>
      </c>
      <c r="BF41" s="72">
        <v>0</v>
      </c>
      <c r="BG41" s="72">
        <v>0</v>
      </c>
      <c r="BH41" s="72">
        <v>0</v>
      </c>
      <c r="BI41" s="72">
        <v>0</v>
      </c>
      <c r="BJ41" s="72">
        <v>0</v>
      </c>
      <c r="BK41" s="72">
        <v>0</v>
      </c>
      <c r="BL41" s="72">
        <v>0</v>
      </c>
      <c r="BM41" s="72">
        <v>0</v>
      </c>
      <c r="BN41" s="72">
        <v>0</v>
      </c>
      <c r="BO41" s="72">
        <v>0</v>
      </c>
      <c r="BP41" s="72">
        <v>0</v>
      </c>
      <c r="BQ41" s="72">
        <v>0</v>
      </c>
      <c r="BR41" s="72">
        <v>0</v>
      </c>
      <c r="BS41" s="72">
        <v>0</v>
      </c>
      <c r="BT41" s="72">
        <v>0</v>
      </c>
      <c r="BU41" s="72">
        <v>0</v>
      </c>
      <c r="BV41" s="72">
        <v>0</v>
      </c>
      <c r="BW41" s="72">
        <v>0</v>
      </c>
      <c r="BX41" s="72">
        <v>0</v>
      </c>
      <c r="BY41" s="72">
        <v>0</v>
      </c>
      <c r="BZ41" s="72">
        <v>0</v>
      </c>
      <c r="CA41" s="72">
        <v>0</v>
      </c>
      <c r="CB41" s="72">
        <v>0</v>
      </c>
      <c r="CC41" s="72">
        <v>0</v>
      </c>
      <c r="CD41" s="72">
        <v>0</v>
      </c>
      <c r="CE41" s="72">
        <v>0</v>
      </c>
      <c r="CF41" s="72">
        <v>0</v>
      </c>
      <c r="CG41" s="72">
        <v>0</v>
      </c>
      <c r="CH41" s="72">
        <v>0</v>
      </c>
      <c r="CI41" s="72">
        <v>0</v>
      </c>
      <c r="CJ41" s="72">
        <v>0</v>
      </c>
      <c r="CK41" s="72">
        <v>0</v>
      </c>
      <c r="CL41" s="72">
        <v>0</v>
      </c>
      <c r="CM41" s="72">
        <v>0</v>
      </c>
      <c r="CN41" s="72">
        <v>0</v>
      </c>
      <c r="CO41" s="72">
        <v>0</v>
      </c>
      <c r="CP41" s="72">
        <v>0</v>
      </c>
      <c r="CQ41" s="72">
        <v>0</v>
      </c>
      <c r="CR41" s="72">
        <v>0</v>
      </c>
      <c r="CS41" s="72">
        <v>0</v>
      </c>
      <c r="CT41" s="72">
        <v>0</v>
      </c>
      <c r="CU41" s="72">
        <v>0</v>
      </c>
      <c r="CV41" s="72">
        <v>0</v>
      </c>
      <c r="CW41" s="72">
        <v>0</v>
      </c>
      <c r="CX41" s="72">
        <v>0</v>
      </c>
      <c r="CY41" s="72">
        <v>0</v>
      </c>
      <c r="CZ41" s="72">
        <v>0</v>
      </c>
      <c r="DA41" s="72">
        <v>0</v>
      </c>
      <c r="DB41" s="72">
        <v>0</v>
      </c>
      <c r="DC41" s="72">
        <v>0</v>
      </c>
      <c r="DD41" s="72">
        <v>0</v>
      </c>
      <c r="DE41" s="72">
        <v>0</v>
      </c>
      <c r="DF41" s="72">
        <v>0</v>
      </c>
      <c r="DG41" s="72">
        <v>0</v>
      </c>
      <c r="DH41" s="72">
        <v>0</v>
      </c>
      <c r="DI41" s="72">
        <v>0</v>
      </c>
      <c r="DJ41" s="72">
        <v>0</v>
      </c>
      <c r="DK41" s="72">
        <v>0</v>
      </c>
      <c r="DL41" s="72">
        <v>0</v>
      </c>
      <c r="DM41" s="72">
        <v>0</v>
      </c>
      <c r="DN41" s="72">
        <v>0</v>
      </c>
      <c r="DO41" s="72">
        <v>0</v>
      </c>
      <c r="DP41" s="72">
        <v>0</v>
      </c>
      <c r="DQ41" s="72">
        <v>0</v>
      </c>
      <c r="DR41" s="72">
        <v>0</v>
      </c>
      <c r="DS41" s="72">
        <v>0</v>
      </c>
      <c r="DT41" s="72">
        <v>0</v>
      </c>
      <c r="DU41" s="72">
        <v>0</v>
      </c>
      <c r="DV41" s="72">
        <v>0</v>
      </c>
      <c r="DW41" s="72">
        <v>0</v>
      </c>
      <c r="DX41" s="72">
        <v>0</v>
      </c>
      <c r="DY41" s="72">
        <v>0</v>
      </c>
      <c r="DZ41" s="72">
        <v>0</v>
      </c>
      <c r="EA41" s="72">
        <v>0</v>
      </c>
      <c r="EB41" s="72">
        <v>0</v>
      </c>
      <c r="EC41" s="72">
        <v>0</v>
      </c>
      <c r="ED41" s="72">
        <v>0</v>
      </c>
      <c r="EE41" s="72">
        <v>0</v>
      </c>
      <c r="EF41" s="72">
        <v>0</v>
      </c>
      <c r="EG41" s="72">
        <v>0</v>
      </c>
      <c r="EH41" s="72">
        <v>0</v>
      </c>
      <c r="EI41" s="72">
        <v>0</v>
      </c>
      <c r="EJ41" s="72">
        <v>0</v>
      </c>
      <c r="EK41" s="72">
        <v>361761.83178402006</v>
      </c>
      <c r="EL41" s="72">
        <v>0</v>
      </c>
      <c r="EM41" s="72">
        <v>0</v>
      </c>
      <c r="EN41" s="72">
        <v>0</v>
      </c>
      <c r="EO41" s="72">
        <v>0</v>
      </c>
      <c r="EP41" s="72">
        <v>0</v>
      </c>
      <c r="EQ41" s="72">
        <v>0</v>
      </c>
      <c r="ER41" s="72">
        <v>0</v>
      </c>
      <c r="ES41" s="72">
        <v>0</v>
      </c>
      <c r="ET41" s="72">
        <v>0</v>
      </c>
      <c r="EU41" s="72">
        <v>0</v>
      </c>
      <c r="EV41" s="72">
        <v>0</v>
      </c>
      <c r="EW41" s="72">
        <v>0</v>
      </c>
      <c r="EX41" s="72">
        <v>0</v>
      </c>
      <c r="EY41" s="72">
        <v>0</v>
      </c>
      <c r="EZ41" s="72">
        <v>0</v>
      </c>
      <c r="FA41" s="72">
        <v>0</v>
      </c>
      <c r="FB41" s="72">
        <v>0</v>
      </c>
      <c r="FC41" s="72">
        <v>0</v>
      </c>
      <c r="FD41" s="72">
        <v>0</v>
      </c>
      <c r="FE41" s="72">
        <v>0</v>
      </c>
      <c r="FF41" s="72">
        <v>107211.06717772971</v>
      </c>
      <c r="FG41" s="72">
        <v>0</v>
      </c>
      <c r="FH41" s="72">
        <v>0</v>
      </c>
      <c r="FI41" s="72">
        <v>0</v>
      </c>
      <c r="FJ41" s="72">
        <v>0</v>
      </c>
      <c r="FK41" s="72">
        <v>0</v>
      </c>
      <c r="FL41" s="72">
        <v>0</v>
      </c>
      <c r="FM41" s="72">
        <v>0</v>
      </c>
      <c r="FN41" s="72">
        <v>0</v>
      </c>
      <c r="FO41" s="72">
        <v>0</v>
      </c>
      <c r="FP41" s="72">
        <v>0</v>
      </c>
      <c r="FQ41" s="72">
        <v>0</v>
      </c>
      <c r="FR41" s="72">
        <v>0</v>
      </c>
      <c r="FS41" s="72">
        <v>0</v>
      </c>
      <c r="FT41" s="72">
        <v>0</v>
      </c>
      <c r="FU41" s="72">
        <v>0</v>
      </c>
      <c r="FV41" s="72">
        <v>0</v>
      </c>
      <c r="FW41" s="72">
        <v>0</v>
      </c>
      <c r="FX41" s="72">
        <v>0</v>
      </c>
      <c r="FY41" s="72">
        <v>0</v>
      </c>
      <c r="FZ41" s="72">
        <v>0</v>
      </c>
      <c r="GA41" s="72">
        <v>0</v>
      </c>
      <c r="GB41" s="72">
        <v>0</v>
      </c>
      <c r="GC41" s="72">
        <v>0</v>
      </c>
      <c r="GD41" s="72">
        <v>0</v>
      </c>
      <c r="GE41" s="72">
        <v>0</v>
      </c>
      <c r="GF41" s="72">
        <v>0</v>
      </c>
      <c r="GG41" s="72">
        <v>0</v>
      </c>
      <c r="GH41" s="72">
        <v>0</v>
      </c>
      <c r="GI41" s="72">
        <v>0</v>
      </c>
      <c r="GJ41" s="72">
        <v>0</v>
      </c>
      <c r="GK41" s="72">
        <v>0</v>
      </c>
      <c r="GL41" s="72">
        <v>0</v>
      </c>
      <c r="GM41" s="72">
        <v>0</v>
      </c>
      <c r="GN41" s="72">
        <v>0</v>
      </c>
      <c r="GO41" s="72">
        <v>0</v>
      </c>
      <c r="GP41" s="72">
        <v>0</v>
      </c>
      <c r="GQ41" s="72">
        <v>0</v>
      </c>
      <c r="GR41" s="72">
        <f t="shared" si="0"/>
        <v>468972.89896174974</v>
      </c>
      <c r="GS41" s="72">
        <f>SUM(AL$5:AL$202)</f>
        <v>468972.89896174968</v>
      </c>
      <c r="GT41" s="73">
        <v>0</v>
      </c>
    </row>
    <row r="42" spans="1:202" outlineLevel="1" x14ac:dyDescent="0.2">
      <c r="A42" s="66" t="s">
        <v>329</v>
      </c>
      <c r="B42" s="72">
        <v>0</v>
      </c>
      <c r="C42" s="72">
        <v>0</v>
      </c>
      <c r="D42" s="72">
        <v>0</v>
      </c>
      <c r="E42" s="72">
        <v>0</v>
      </c>
      <c r="F42" s="72">
        <v>0</v>
      </c>
      <c r="G42" s="72">
        <v>0</v>
      </c>
      <c r="H42" s="72">
        <v>0</v>
      </c>
      <c r="I42" s="72">
        <v>0</v>
      </c>
      <c r="J42" s="72">
        <v>0</v>
      </c>
      <c r="K42" s="72">
        <v>0</v>
      </c>
      <c r="L42" s="72">
        <v>0</v>
      </c>
      <c r="M42" s="72">
        <v>0</v>
      </c>
      <c r="N42" s="72">
        <v>0</v>
      </c>
      <c r="O42" s="72">
        <v>0</v>
      </c>
      <c r="P42" s="72">
        <v>0</v>
      </c>
      <c r="Q42" s="72">
        <v>0</v>
      </c>
      <c r="R42" s="72">
        <v>0</v>
      </c>
      <c r="S42" s="72">
        <v>0</v>
      </c>
      <c r="T42" s="72">
        <v>0</v>
      </c>
      <c r="U42" s="72">
        <v>0</v>
      </c>
      <c r="V42" s="72">
        <v>0</v>
      </c>
      <c r="W42" s="72">
        <v>0</v>
      </c>
      <c r="X42" s="72">
        <v>0</v>
      </c>
      <c r="Y42" s="72">
        <v>0</v>
      </c>
      <c r="Z42" s="72">
        <v>0</v>
      </c>
      <c r="AA42" s="72">
        <v>0</v>
      </c>
      <c r="AB42" s="72">
        <v>0</v>
      </c>
      <c r="AC42" s="72">
        <v>0</v>
      </c>
      <c r="AD42" s="72">
        <v>0</v>
      </c>
      <c r="AE42" s="72">
        <v>0</v>
      </c>
      <c r="AF42" s="72">
        <v>0</v>
      </c>
      <c r="AG42" s="72">
        <v>0</v>
      </c>
      <c r="AH42" s="72">
        <v>0</v>
      </c>
      <c r="AI42" s="72">
        <v>0</v>
      </c>
      <c r="AJ42" s="72">
        <v>0</v>
      </c>
      <c r="AK42" s="72">
        <v>0</v>
      </c>
      <c r="AL42" s="72">
        <v>0</v>
      </c>
      <c r="AM42" s="72">
        <v>0</v>
      </c>
      <c r="AN42" s="72">
        <v>0</v>
      </c>
      <c r="AO42" s="72">
        <v>0</v>
      </c>
      <c r="AP42" s="72">
        <v>0</v>
      </c>
      <c r="AQ42" s="72">
        <v>0</v>
      </c>
      <c r="AR42" s="72">
        <v>0</v>
      </c>
      <c r="AS42" s="72">
        <v>0</v>
      </c>
      <c r="AT42" s="72">
        <v>0</v>
      </c>
      <c r="AU42" s="72">
        <v>0</v>
      </c>
      <c r="AV42" s="72">
        <v>0</v>
      </c>
      <c r="AW42" s="72">
        <v>0</v>
      </c>
      <c r="AX42" s="72">
        <v>0</v>
      </c>
      <c r="AY42" s="72">
        <v>0</v>
      </c>
      <c r="AZ42" s="72">
        <v>0</v>
      </c>
      <c r="BA42" s="72">
        <v>0</v>
      </c>
      <c r="BB42" s="72">
        <v>0</v>
      </c>
      <c r="BC42" s="72">
        <v>0</v>
      </c>
      <c r="BD42" s="72">
        <v>0</v>
      </c>
      <c r="BE42" s="72">
        <v>0</v>
      </c>
      <c r="BF42" s="72">
        <v>0</v>
      </c>
      <c r="BG42" s="72">
        <v>0</v>
      </c>
      <c r="BH42" s="72">
        <v>0</v>
      </c>
      <c r="BI42" s="72">
        <v>0</v>
      </c>
      <c r="BJ42" s="72">
        <v>0</v>
      </c>
      <c r="BK42" s="72">
        <v>0</v>
      </c>
      <c r="BL42" s="72">
        <v>0</v>
      </c>
      <c r="BM42" s="72">
        <v>0</v>
      </c>
      <c r="BN42" s="72">
        <v>0</v>
      </c>
      <c r="BO42" s="72">
        <v>0</v>
      </c>
      <c r="BP42" s="72">
        <v>0</v>
      </c>
      <c r="BQ42" s="72">
        <v>0</v>
      </c>
      <c r="BR42" s="72">
        <v>0</v>
      </c>
      <c r="BS42" s="72">
        <v>0</v>
      </c>
      <c r="BT42" s="72">
        <v>0</v>
      </c>
      <c r="BU42" s="72">
        <v>0</v>
      </c>
      <c r="BV42" s="72">
        <v>0</v>
      </c>
      <c r="BW42" s="72">
        <v>0</v>
      </c>
      <c r="BX42" s="72">
        <v>0</v>
      </c>
      <c r="BY42" s="72">
        <v>0</v>
      </c>
      <c r="BZ42" s="72">
        <v>0</v>
      </c>
      <c r="CA42" s="72">
        <v>0</v>
      </c>
      <c r="CB42" s="72">
        <v>0</v>
      </c>
      <c r="CC42" s="72">
        <v>0</v>
      </c>
      <c r="CD42" s="72">
        <v>0</v>
      </c>
      <c r="CE42" s="72">
        <v>0</v>
      </c>
      <c r="CF42" s="72">
        <v>0</v>
      </c>
      <c r="CG42" s="72">
        <v>0</v>
      </c>
      <c r="CH42" s="72">
        <v>0</v>
      </c>
      <c r="CI42" s="72">
        <v>0</v>
      </c>
      <c r="CJ42" s="72">
        <v>0</v>
      </c>
      <c r="CK42" s="72">
        <v>0</v>
      </c>
      <c r="CL42" s="72">
        <v>0</v>
      </c>
      <c r="CM42" s="72">
        <v>0</v>
      </c>
      <c r="CN42" s="72">
        <v>0</v>
      </c>
      <c r="CO42" s="72">
        <v>0</v>
      </c>
      <c r="CP42" s="72">
        <v>0</v>
      </c>
      <c r="CQ42" s="72">
        <v>0</v>
      </c>
      <c r="CR42" s="72">
        <v>0</v>
      </c>
      <c r="CS42" s="72">
        <v>0</v>
      </c>
      <c r="CT42" s="72">
        <v>0</v>
      </c>
      <c r="CU42" s="72">
        <v>0</v>
      </c>
      <c r="CV42" s="72">
        <v>0</v>
      </c>
      <c r="CW42" s="72">
        <v>0</v>
      </c>
      <c r="CX42" s="72">
        <v>0</v>
      </c>
      <c r="CY42" s="72">
        <v>0</v>
      </c>
      <c r="CZ42" s="72">
        <v>0</v>
      </c>
      <c r="DA42" s="72">
        <v>0</v>
      </c>
      <c r="DB42" s="72">
        <v>0</v>
      </c>
      <c r="DC42" s="72">
        <v>0</v>
      </c>
      <c r="DD42" s="72">
        <v>0</v>
      </c>
      <c r="DE42" s="72">
        <v>0</v>
      </c>
      <c r="DF42" s="72">
        <v>0</v>
      </c>
      <c r="DG42" s="72">
        <v>0</v>
      </c>
      <c r="DH42" s="72">
        <v>0</v>
      </c>
      <c r="DI42" s="72">
        <v>0</v>
      </c>
      <c r="DJ42" s="72">
        <v>0</v>
      </c>
      <c r="DK42" s="72">
        <v>0</v>
      </c>
      <c r="DL42" s="72">
        <v>0</v>
      </c>
      <c r="DM42" s="72">
        <v>0</v>
      </c>
      <c r="DN42" s="72">
        <v>0</v>
      </c>
      <c r="DO42" s="72">
        <v>0</v>
      </c>
      <c r="DP42" s="72">
        <v>0</v>
      </c>
      <c r="DQ42" s="72">
        <v>0</v>
      </c>
      <c r="DR42" s="72">
        <v>0</v>
      </c>
      <c r="DS42" s="72">
        <v>0</v>
      </c>
      <c r="DT42" s="72">
        <v>0</v>
      </c>
      <c r="DU42" s="72">
        <v>0</v>
      </c>
      <c r="DV42" s="72">
        <v>0</v>
      </c>
      <c r="DW42" s="72">
        <v>0</v>
      </c>
      <c r="DX42" s="72">
        <v>0</v>
      </c>
      <c r="DY42" s="72">
        <v>0</v>
      </c>
      <c r="DZ42" s="72">
        <v>0</v>
      </c>
      <c r="EA42" s="72">
        <v>0</v>
      </c>
      <c r="EB42" s="72">
        <v>0</v>
      </c>
      <c r="EC42" s="72">
        <v>0</v>
      </c>
      <c r="ED42" s="72">
        <v>0</v>
      </c>
      <c r="EE42" s="72">
        <v>0</v>
      </c>
      <c r="EF42" s="72">
        <v>0</v>
      </c>
      <c r="EG42" s="72">
        <v>0</v>
      </c>
      <c r="EH42" s="72">
        <v>0</v>
      </c>
      <c r="EI42" s="72">
        <v>0</v>
      </c>
      <c r="EJ42" s="72">
        <v>0</v>
      </c>
      <c r="EK42" s="72">
        <v>0</v>
      </c>
      <c r="EL42" s="72">
        <v>243962.2794200739</v>
      </c>
      <c r="EM42" s="72">
        <v>0</v>
      </c>
      <c r="EN42" s="72">
        <v>0</v>
      </c>
      <c r="EO42" s="72">
        <v>0</v>
      </c>
      <c r="EP42" s="72">
        <v>0</v>
      </c>
      <c r="EQ42" s="72">
        <v>0</v>
      </c>
      <c r="ER42" s="72">
        <v>0</v>
      </c>
      <c r="ES42" s="72">
        <v>0</v>
      </c>
      <c r="ET42" s="72">
        <v>0</v>
      </c>
      <c r="EU42" s="72">
        <v>0</v>
      </c>
      <c r="EV42" s="72">
        <v>0</v>
      </c>
      <c r="EW42" s="72">
        <v>0</v>
      </c>
      <c r="EX42" s="72">
        <v>0</v>
      </c>
      <c r="EY42" s="72">
        <v>0</v>
      </c>
      <c r="EZ42" s="72">
        <v>0</v>
      </c>
      <c r="FA42" s="72">
        <v>0</v>
      </c>
      <c r="FB42" s="72">
        <v>0</v>
      </c>
      <c r="FC42" s="72">
        <v>0</v>
      </c>
      <c r="FD42" s="72">
        <v>0</v>
      </c>
      <c r="FE42" s="72">
        <v>0</v>
      </c>
      <c r="FF42" s="72">
        <v>55233.603711654752</v>
      </c>
      <c r="FG42" s="72">
        <v>0</v>
      </c>
      <c r="FH42" s="72">
        <v>0</v>
      </c>
      <c r="FI42" s="72">
        <v>0</v>
      </c>
      <c r="FJ42" s="72">
        <v>0</v>
      </c>
      <c r="FK42" s="72">
        <v>0</v>
      </c>
      <c r="FL42" s="72">
        <v>0</v>
      </c>
      <c r="FM42" s="72">
        <v>0</v>
      </c>
      <c r="FN42" s="72">
        <v>0</v>
      </c>
      <c r="FO42" s="72">
        <v>0</v>
      </c>
      <c r="FP42" s="72">
        <v>0</v>
      </c>
      <c r="FQ42" s="72">
        <v>0</v>
      </c>
      <c r="FR42" s="72">
        <v>0</v>
      </c>
      <c r="FS42" s="72">
        <v>0</v>
      </c>
      <c r="FT42" s="72">
        <v>0</v>
      </c>
      <c r="FU42" s="72">
        <v>0</v>
      </c>
      <c r="FV42" s="72">
        <v>0</v>
      </c>
      <c r="FW42" s="72">
        <v>0</v>
      </c>
      <c r="FX42" s="72">
        <v>0</v>
      </c>
      <c r="FY42" s="72">
        <v>0</v>
      </c>
      <c r="FZ42" s="72">
        <v>0</v>
      </c>
      <c r="GA42" s="72">
        <v>0</v>
      </c>
      <c r="GB42" s="72">
        <v>0</v>
      </c>
      <c r="GC42" s="72">
        <v>0</v>
      </c>
      <c r="GD42" s="72">
        <v>0</v>
      </c>
      <c r="GE42" s="72">
        <v>0</v>
      </c>
      <c r="GF42" s="72">
        <v>0</v>
      </c>
      <c r="GG42" s="72">
        <v>0</v>
      </c>
      <c r="GH42" s="72">
        <v>0</v>
      </c>
      <c r="GI42" s="72">
        <v>0</v>
      </c>
      <c r="GJ42" s="72">
        <v>0</v>
      </c>
      <c r="GK42" s="72">
        <v>0</v>
      </c>
      <c r="GL42" s="72">
        <v>0</v>
      </c>
      <c r="GM42" s="72">
        <v>0</v>
      </c>
      <c r="GN42" s="72">
        <v>0</v>
      </c>
      <c r="GO42" s="72">
        <v>0</v>
      </c>
      <c r="GP42" s="72">
        <v>0</v>
      </c>
      <c r="GQ42" s="72">
        <v>0</v>
      </c>
      <c r="GR42" s="72">
        <f t="shared" si="0"/>
        <v>299195.88313172862</v>
      </c>
      <c r="GS42" s="72">
        <f>SUM(AM$5:AM$202)</f>
        <v>299195.88313172862</v>
      </c>
      <c r="GT42" s="73">
        <v>0</v>
      </c>
    </row>
    <row r="43" spans="1:202" outlineLevel="1" x14ac:dyDescent="0.2">
      <c r="A43" s="66" t="s">
        <v>334</v>
      </c>
      <c r="B43" s="72">
        <v>0</v>
      </c>
      <c r="C43" s="72">
        <v>0</v>
      </c>
      <c r="D43" s="72">
        <v>0</v>
      </c>
      <c r="E43" s="72">
        <v>0</v>
      </c>
      <c r="F43" s="72">
        <v>0</v>
      </c>
      <c r="G43" s="72">
        <v>0</v>
      </c>
      <c r="H43" s="72">
        <v>0</v>
      </c>
      <c r="I43" s="72">
        <v>0</v>
      </c>
      <c r="J43" s="72">
        <v>0</v>
      </c>
      <c r="K43" s="72">
        <v>0</v>
      </c>
      <c r="L43" s="72">
        <v>0</v>
      </c>
      <c r="M43" s="72">
        <v>0</v>
      </c>
      <c r="N43" s="72">
        <v>0</v>
      </c>
      <c r="O43" s="72">
        <v>0</v>
      </c>
      <c r="P43" s="72">
        <v>0</v>
      </c>
      <c r="Q43" s="72">
        <v>0</v>
      </c>
      <c r="R43" s="72">
        <v>0</v>
      </c>
      <c r="S43" s="72">
        <v>0</v>
      </c>
      <c r="T43" s="72">
        <v>0</v>
      </c>
      <c r="U43" s="72">
        <v>0</v>
      </c>
      <c r="V43" s="72">
        <v>0</v>
      </c>
      <c r="W43" s="72">
        <v>0</v>
      </c>
      <c r="X43" s="72">
        <v>0</v>
      </c>
      <c r="Y43" s="72">
        <v>0</v>
      </c>
      <c r="Z43" s="72">
        <v>0</v>
      </c>
      <c r="AA43" s="72">
        <v>0</v>
      </c>
      <c r="AB43" s="72">
        <v>0</v>
      </c>
      <c r="AC43" s="72">
        <v>0</v>
      </c>
      <c r="AD43" s="72">
        <v>0</v>
      </c>
      <c r="AE43" s="72">
        <v>0</v>
      </c>
      <c r="AF43" s="72">
        <v>0</v>
      </c>
      <c r="AG43" s="72">
        <v>0</v>
      </c>
      <c r="AH43" s="72">
        <v>0</v>
      </c>
      <c r="AI43" s="72">
        <v>0</v>
      </c>
      <c r="AJ43" s="72">
        <v>0</v>
      </c>
      <c r="AK43" s="72">
        <v>0</v>
      </c>
      <c r="AL43" s="72">
        <v>0</v>
      </c>
      <c r="AM43" s="72">
        <v>0</v>
      </c>
      <c r="AN43" s="72">
        <v>0</v>
      </c>
      <c r="AO43" s="72">
        <v>0</v>
      </c>
      <c r="AP43" s="72">
        <v>0</v>
      </c>
      <c r="AQ43" s="72">
        <v>0</v>
      </c>
      <c r="AR43" s="72">
        <v>0</v>
      </c>
      <c r="AS43" s="72">
        <v>0</v>
      </c>
      <c r="AT43" s="72">
        <v>0</v>
      </c>
      <c r="AU43" s="72">
        <v>0</v>
      </c>
      <c r="AV43" s="72">
        <v>0</v>
      </c>
      <c r="AW43" s="72">
        <v>0</v>
      </c>
      <c r="AX43" s="72">
        <v>0</v>
      </c>
      <c r="AY43" s="72">
        <v>0</v>
      </c>
      <c r="AZ43" s="72">
        <v>0</v>
      </c>
      <c r="BA43" s="72">
        <v>0</v>
      </c>
      <c r="BB43" s="72">
        <v>0</v>
      </c>
      <c r="BC43" s="72">
        <v>0</v>
      </c>
      <c r="BD43" s="72">
        <v>0</v>
      </c>
      <c r="BE43" s="72">
        <v>0</v>
      </c>
      <c r="BF43" s="72">
        <v>0</v>
      </c>
      <c r="BG43" s="72">
        <v>0</v>
      </c>
      <c r="BH43" s="72">
        <v>0</v>
      </c>
      <c r="BI43" s="72">
        <v>0</v>
      </c>
      <c r="BJ43" s="72">
        <v>0</v>
      </c>
      <c r="BK43" s="72">
        <v>0</v>
      </c>
      <c r="BL43" s="72">
        <v>0</v>
      </c>
      <c r="BM43" s="72">
        <v>0</v>
      </c>
      <c r="BN43" s="72">
        <v>0</v>
      </c>
      <c r="BO43" s="72">
        <v>0</v>
      </c>
      <c r="BP43" s="72">
        <v>0</v>
      </c>
      <c r="BQ43" s="72">
        <v>0</v>
      </c>
      <c r="BR43" s="72">
        <v>0</v>
      </c>
      <c r="BS43" s="72">
        <v>0</v>
      </c>
      <c r="BT43" s="72">
        <v>0</v>
      </c>
      <c r="BU43" s="72">
        <v>0</v>
      </c>
      <c r="BV43" s="72">
        <v>0</v>
      </c>
      <c r="BW43" s="72">
        <v>0</v>
      </c>
      <c r="BX43" s="72">
        <v>0</v>
      </c>
      <c r="BY43" s="72">
        <v>0.14547615358770319</v>
      </c>
      <c r="BZ43" s="72">
        <v>0.44226054665051984</v>
      </c>
      <c r="CA43" s="72">
        <v>0</v>
      </c>
      <c r="CB43" s="72">
        <v>0</v>
      </c>
      <c r="CC43" s="72">
        <v>0</v>
      </c>
      <c r="CD43" s="72">
        <v>0</v>
      </c>
      <c r="CE43" s="72">
        <v>0</v>
      </c>
      <c r="CF43" s="72">
        <v>0</v>
      </c>
      <c r="CG43" s="72">
        <v>0</v>
      </c>
      <c r="CH43" s="72">
        <v>0</v>
      </c>
      <c r="CI43" s="72">
        <v>0</v>
      </c>
      <c r="CJ43" s="72">
        <v>0</v>
      </c>
      <c r="CK43" s="72">
        <v>0</v>
      </c>
      <c r="CL43" s="72">
        <v>0</v>
      </c>
      <c r="CM43" s="72">
        <v>0</v>
      </c>
      <c r="CN43" s="72">
        <v>0</v>
      </c>
      <c r="CO43" s="72">
        <v>0</v>
      </c>
      <c r="CP43" s="72">
        <v>0</v>
      </c>
      <c r="CQ43" s="72">
        <v>0</v>
      </c>
      <c r="CR43" s="72">
        <v>0</v>
      </c>
      <c r="CS43" s="72">
        <v>0</v>
      </c>
      <c r="CT43" s="72">
        <v>0</v>
      </c>
      <c r="CU43" s="72">
        <v>0</v>
      </c>
      <c r="CV43" s="72">
        <v>0</v>
      </c>
      <c r="CW43" s="72">
        <v>0</v>
      </c>
      <c r="CX43" s="72">
        <v>0</v>
      </c>
      <c r="CY43" s="72">
        <v>0</v>
      </c>
      <c r="CZ43" s="72">
        <v>0</v>
      </c>
      <c r="DA43" s="72">
        <v>0</v>
      </c>
      <c r="DB43" s="72">
        <v>0</v>
      </c>
      <c r="DC43" s="72">
        <v>0</v>
      </c>
      <c r="DD43" s="72">
        <v>0</v>
      </c>
      <c r="DE43" s="72">
        <v>0</v>
      </c>
      <c r="DF43" s="72">
        <v>0</v>
      </c>
      <c r="DG43" s="72">
        <v>0</v>
      </c>
      <c r="DH43" s="72">
        <v>0</v>
      </c>
      <c r="DI43" s="72">
        <v>0</v>
      </c>
      <c r="DJ43" s="72">
        <v>0</v>
      </c>
      <c r="DK43" s="72">
        <v>0</v>
      </c>
      <c r="DL43" s="72">
        <v>0</v>
      </c>
      <c r="DM43" s="72">
        <v>0</v>
      </c>
      <c r="DN43" s="72">
        <v>0</v>
      </c>
      <c r="DO43" s="72">
        <v>0</v>
      </c>
      <c r="DP43" s="72">
        <v>0</v>
      </c>
      <c r="DQ43" s="72">
        <v>0</v>
      </c>
      <c r="DR43" s="72">
        <v>0</v>
      </c>
      <c r="DS43" s="72">
        <v>0</v>
      </c>
      <c r="DT43" s="72">
        <v>0</v>
      </c>
      <c r="DU43" s="72">
        <v>0</v>
      </c>
      <c r="DV43" s="72">
        <v>0</v>
      </c>
      <c r="DW43" s="72">
        <v>0</v>
      </c>
      <c r="DX43" s="72">
        <v>0</v>
      </c>
      <c r="DY43" s="72">
        <v>0</v>
      </c>
      <c r="DZ43" s="72">
        <v>0</v>
      </c>
      <c r="EA43" s="72">
        <v>0</v>
      </c>
      <c r="EB43" s="72">
        <v>0</v>
      </c>
      <c r="EC43" s="72">
        <v>0</v>
      </c>
      <c r="ED43" s="72">
        <v>0</v>
      </c>
      <c r="EE43" s="72">
        <v>0</v>
      </c>
      <c r="EF43" s="72">
        <v>0</v>
      </c>
      <c r="EG43" s="72">
        <v>0</v>
      </c>
      <c r="EH43" s="72">
        <v>0</v>
      </c>
      <c r="EI43" s="72">
        <v>0</v>
      </c>
      <c r="EJ43" s="72">
        <v>0</v>
      </c>
      <c r="EK43" s="72">
        <v>33396.534161234573</v>
      </c>
      <c r="EL43" s="72">
        <v>76601.184494353103</v>
      </c>
      <c r="EM43" s="72">
        <v>0</v>
      </c>
      <c r="EN43" s="72">
        <v>0</v>
      </c>
      <c r="EO43" s="72">
        <v>0</v>
      </c>
      <c r="EP43" s="72">
        <v>0</v>
      </c>
      <c r="EQ43" s="72">
        <v>0</v>
      </c>
      <c r="ER43" s="72">
        <v>0</v>
      </c>
      <c r="ES43" s="72">
        <v>0</v>
      </c>
      <c r="ET43" s="72">
        <v>0</v>
      </c>
      <c r="EU43" s="72">
        <v>0</v>
      </c>
      <c r="EV43" s="72">
        <v>0</v>
      </c>
      <c r="EW43" s="72">
        <v>0</v>
      </c>
      <c r="EX43" s="72">
        <v>0</v>
      </c>
      <c r="EY43" s="72">
        <v>0</v>
      </c>
      <c r="EZ43" s="72">
        <v>0</v>
      </c>
      <c r="FA43" s="72">
        <v>0</v>
      </c>
      <c r="FB43" s="72">
        <v>0</v>
      </c>
      <c r="FC43" s="72">
        <v>0</v>
      </c>
      <c r="FD43" s="72">
        <v>0</v>
      </c>
      <c r="FE43" s="72">
        <v>0</v>
      </c>
      <c r="FF43" s="72">
        <v>74519.553882091714</v>
      </c>
      <c r="FG43" s="72">
        <v>0</v>
      </c>
      <c r="FH43" s="72">
        <v>0</v>
      </c>
      <c r="FI43" s="72">
        <v>0</v>
      </c>
      <c r="FJ43" s="72">
        <v>0</v>
      </c>
      <c r="FK43" s="72">
        <v>0</v>
      </c>
      <c r="FL43" s="72">
        <v>0</v>
      </c>
      <c r="FM43" s="72">
        <v>0</v>
      </c>
      <c r="FN43" s="72">
        <v>0</v>
      </c>
      <c r="FO43" s="72">
        <v>0</v>
      </c>
      <c r="FP43" s="72">
        <v>0</v>
      </c>
      <c r="FQ43" s="72">
        <v>0</v>
      </c>
      <c r="FR43" s="72">
        <v>0</v>
      </c>
      <c r="FS43" s="72">
        <v>0</v>
      </c>
      <c r="FT43" s="72">
        <v>0</v>
      </c>
      <c r="FU43" s="72">
        <v>0</v>
      </c>
      <c r="FV43" s="72">
        <v>0</v>
      </c>
      <c r="FW43" s="72">
        <v>0</v>
      </c>
      <c r="FX43" s="72">
        <v>0</v>
      </c>
      <c r="FY43" s="72">
        <v>0</v>
      </c>
      <c r="FZ43" s="72">
        <v>0</v>
      </c>
      <c r="GA43" s="72">
        <v>0</v>
      </c>
      <c r="GB43" s="72">
        <v>0</v>
      </c>
      <c r="GC43" s="72">
        <v>0</v>
      </c>
      <c r="GD43" s="72">
        <v>0</v>
      </c>
      <c r="GE43" s="72">
        <v>0</v>
      </c>
      <c r="GF43" s="72">
        <v>0</v>
      </c>
      <c r="GG43" s="72">
        <v>0</v>
      </c>
      <c r="GH43" s="72">
        <v>0</v>
      </c>
      <c r="GI43" s="72">
        <v>0</v>
      </c>
      <c r="GJ43" s="72">
        <v>0</v>
      </c>
      <c r="GK43" s="72">
        <v>0</v>
      </c>
      <c r="GL43" s="72">
        <v>0</v>
      </c>
      <c r="GM43" s="72">
        <v>0</v>
      </c>
      <c r="GN43" s="72">
        <v>0</v>
      </c>
      <c r="GO43" s="72">
        <v>0</v>
      </c>
      <c r="GP43" s="72">
        <v>0</v>
      </c>
      <c r="GQ43" s="72">
        <v>0</v>
      </c>
      <c r="GR43" s="72">
        <f t="shared" si="0"/>
        <v>184517.86027437964</v>
      </c>
      <c r="GS43" s="72">
        <f>SUM(AN$5:AN$202)</f>
        <v>184517.86027437967</v>
      </c>
      <c r="GT43" s="73">
        <v>0</v>
      </c>
    </row>
    <row r="44" spans="1:202" outlineLevel="1" x14ac:dyDescent="0.2">
      <c r="A44" s="66" t="s">
        <v>339</v>
      </c>
      <c r="B44" s="72">
        <v>0</v>
      </c>
      <c r="C44" s="72">
        <v>0</v>
      </c>
      <c r="D44" s="72">
        <v>0</v>
      </c>
      <c r="E44" s="72">
        <v>0</v>
      </c>
      <c r="F44" s="72">
        <v>0</v>
      </c>
      <c r="G44" s="72">
        <v>0</v>
      </c>
      <c r="H44" s="72">
        <v>0</v>
      </c>
      <c r="I44" s="72">
        <v>0</v>
      </c>
      <c r="J44" s="72">
        <v>0</v>
      </c>
      <c r="K44" s="72">
        <v>0</v>
      </c>
      <c r="L44" s="72">
        <v>0</v>
      </c>
      <c r="M44" s="72">
        <v>0</v>
      </c>
      <c r="N44" s="72">
        <v>0</v>
      </c>
      <c r="O44" s="72">
        <v>0</v>
      </c>
      <c r="P44" s="72">
        <v>0</v>
      </c>
      <c r="Q44" s="72">
        <v>0</v>
      </c>
      <c r="R44" s="72">
        <v>0</v>
      </c>
      <c r="S44" s="72">
        <v>0</v>
      </c>
      <c r="T44" s="72">
        <v>0</v>
      </c>
      <c r="U44" s="72">
        <v>0</v>
      </c>
      <c r="V44" s="72">
        <v>0</v>
      </c>
      <c r="W44" s="72">
        <v>0</v>
      </c>
      <c r="X44" s="72">
        <v>0</v>
      </c>
      <c r="Y44" s="72">
        <v>0</v>
      </c>
      <c r="Z44" s="72">
        <v>0</v>
      </c>
      <c r="AA44" s="72">
        <v>0</v>
      </c>
      <c r="AB44" s="72">
        <v>0</v>
      </c>
      <c r="AC44" s="72">
        <v>0</v>
      </c>
      <c r="AD44" s="72">
        <v>0</v>
      </c>
      <c r="AE44" s="72">
        <v>0</v>
      </c>
      <c r="AF44" s="72">
        <v>0</v>
      </c>
      <c r="AG44" s="72">
        <v>0</v>
      </c>
      <c r="AH44" s="72">
        <v>0</v>
      </c>
      <c r="AI44" s="72">
        <v>0</v>
      </c>
      <c r="AJ44" s="72">
        <v>0</v>
      </c>
      <c r="AK44" s="72">
        <v>0</v>
      </c>
      <c r="AL44" s="72">
        <v>0</v>
      </c>
      <c r="AM44" s="72">
        <v>0</v>
      </c>
      <c r="AN44" s="72">
        <v>0</v>
      </c>
      <c r="AO44" s="72">
        <v>0</v>
      </c>
      <c r="AP44" s="72">
        <v>0</v>
      </c>
      <c r="AQ44" s="72">
        <v>0</v>
      </c>
      <c r="AR44" s="72">
        <v>0</v>
      </c>
      <c r="AS44" s="72">
        <v>0</v>
      </c>
      <c r="AT44" s="72">
        <v>0</v>
      </c>
      <c r="AU44" s="72">
        <v>0</v>
      </c>
      <c r="AV44" s="72">
        <v>0</v>
      </c>
      <c r="AW44" s="72">
        <v>0</v>
      </c>
      <c r="AX44" s="72">
        <v>0</v>
      </c>
      <c r="AY44" s="72">
        <v>0</v>
      </c>
      <c r="AZ44" s="72">
        <v>0</v>
      </c>
      <c r="BA44" s="72">
        <v>0</v>
      </c>
      <c r="BB44" s="72">
        <v>0</v>
      </c>
      <c r="BC44" s="72">
        <v>0</v>
      </c>
      <c r="BD44" s="72">
        <v>0</v>
      </c>
      <c r="BE44" s="72">
        <v>0</v>
      </c>
      <c r="BF44" s="72">
        <v>0</v>
      </c>
      <c r="BG44" s="72">
        <v>0</v>
      </c>
      <c r="BH44" s="72">
        <v>0</v>
      </c>
      <c r="BI44" s="72">
        <v>0</v>
      </c>
      <c r="BJ44" s="72">
        <v>0</v>
      </c>
      <c r="BK44" s="72">
        <v>0</v>
      </c>
      <c r="BL44" s="72">
        <v>0</v>
      </c>
      <c r="BM44" s="72">
        <v>0</v>
      </c>
      <c r="BN44" s="72">
        <v>0</v>
      </c>
      <c r="BO44" s="72">
        <v>0</v>
      </c>
      <c r="BP44" s="72">
        <v>0</v>
      </c>
      <c r="BQ44" s="72">
        <v>0</v>
      </c>
      <c r="BR44" s="72">
        <v>0</v>
      </c>
      <c r="BS44" s="72">
        <v>0</v>
      </c>
      <c r="BT44" s="72">
        <v>0</v>
      </c>
      <c r="BU44" s="72">
        <v>0</v>
      </c>
      <c r="BV44" s="72">
        <v>0</v>
      </c>
      <c r="BW44" s="72">
        <v>0</v>
      </c>
      <c r="BX44" s="72">
        <v>0</v>
      </c>
      <c r="BY44" s="72">
        <v>0</v>
      </c>
      <c r="BZ44" s="72">
        <v>0</v>
      </c>
      <c r="CA44" s="72">
        <v>0</v>
      </c>
      <c r="CB44" s="72">
        <v>0</v>
      </c>
      <c r="CC44" s="72">
        <v>0</v>
      </c>
      <c r="CD44" s="72">
        <v>0</v>
      </c>
      <c r="CE44" s="72">
        <v>0</v>
      </c>
      <c r="CF44" s="72">
        <v>0</v>
      </c>
      <c r="CG44" s="72">
        <v>0</v>
      </c>
      <c r="CH44" s="72">
        <v>0</v>
      </c>
      <c r="CI44" s="72">
        <v>0</v>
      </c>
      <c r="CJ44" s="72">
        <v>0</v>
      </c>
      <c r="CK44" s="72">
        <v>0</v>
      </c>
      <c r="CL44" s="72">
        <v>0</v>
      </c>
      <c r="CM44" s="72">
        <v>0</v>
      </c>
      <c r="CN44" s="72">
        <v>0</v>
      </c>
      <c r="CO44" s="72">
        <v>0</v>
      </c>
      <c r="CP44" s="72">
        <v>0</v>
      </c>
      <c r="CQ44" s="72">
        <v>0</v>
      </c>
      <c r="CR44" s="72">
        <v>0</v>
      </c>
      <c r="CS44" s="72">
        <v>0</v>
      </c>
      <c r="CT44" s="72">
        <v>0</v>
      </c>
      <c r="CU44" s="72">
        <v>0</v>
      </c>
      <c r="CV44" s="72">
        <v>0</v>
      </c>
      <c r="CW44" s="72">
        <v>0</v>
      </c>
      <c r="CX44" s="72">
        <v>0</v>
      </c>
      <c r="CY44" s="72">
        <v>0</v>
      </c>
      <c r="CZ44" s="72">
        <v>0</v>
      </c>
      <c r="DA44" s="72">
        <v>0</v>
      </c>
      <c r="DB44" s="72">
        <v>0</v>
      </c>
      <c r="DC44" s="72">
        <v>0</v>
      </c>
      <c r="DD44" s="72">
        <v>0</v>
      </c>
      <c r="DE44" s="72">
        <v>0</v>
      </c>
      <c r="DF44" s="72">
        <v>0</v>
      </c>
      <c r="DG44" s="72">
        <v>0</v>
      </c>
      <c r="DH44" s="72">
        <v>0</v>
      </c>
      <c r="DI44" s="72">
        <v>0</v>
      </c>
      <c r="DJ44" s="72">
        <v>0</v>
      </c>
      <c r="DK44" s="72">
        <v>0</v>
      </c>
      <c r="DL44" s="72">
        <v>0</v>
      </c>
      <c r="DM44" s="72">
        <v>0</v>
      </c>
      <c r="DN44" s="72">
        <v>0</v>
      </c>
      <c r="DO44" s="72">
        <v>0</v>
      </c>
      <c r="DP44" s="72">
        <v>0</v>
      </c>
      <c r="DQ44" s="72">
        <v>0</v>
      </c>
      <c r="DR44" s="72">
        <v>0</v>
      </c>
      <c r="DS44" s="72">
        <v>0</v>
      </c>
      <c r="DT44" s="72">
        <v>0</v>
      </c>
      <c r="DU44" s="72">
        <v>0</v>
      </c>
      <c r="DV44" s="72">
        <v>0</v>
      </c>
      <c r="DW44" s="72">
        <v>0</v>
      </c>
      <c r="DX44" s="72">
        <v>0</v>
      </c>
      <c r="DY44" s="72">
        <v>0</v>
      </c>
      <c r="DZ44" s="72">
        <v>0</v>
      </c>
      <c r="EA44" s="72">
        <v>0</v>
      </c>
      <c r="EB44" s="72">
        <v>0</v>
      </c>
      <c r="EC44" s="72">
        <v>0</v>
      </c>
      <c r="ED44" s="72">
        <v>0</v>
      </c>
      <c r="EE44" s="72">
        <v>0</v>
      </c>
      <c r="EF44" s="72">
        <v>0</v>
      </c>
      <c r="EG44" s="72">
        <v>0</v>
      </c>
      <c r="EH44" s="72">
        <v>0</v>
      </c>
      <c r="EI44" s="72">
        <v>0</v>
      </c>
      <c r="EJ44" s="72">
        <v>0</v>
      </c>
      <c r="EK44" s="72">
        <v>0</v>
      </c>
      <c r="EL44" s="72">
        <v>0</v>
      </c>
      <c r="EM44" s="72">
        <v>35484.086192006063</v>
      </c>
      <c r="EN44" s="72">
        <v>98117.900490222179</v>
      </c>
      <c r="EO44" s="72">
        <v>0</v>
      </c>
      <c r="EP44" s="72">
        <v>0</v>
      </c>
      <c r="EQ44" s="72">
        <v>0</v>
      </c>
      <c r="ER44" s="72">
        <v>0</v>
      </c>
      <c r="ES44" s="72">
        <v>0</v>
      </c>
      <c r="ET44" s="72">
        <v>0</v>
      </c>
      <c r="EU44" s="72">
        <v>0</v>
      </c>
      <c r="EV44" s="72">
        <v>0</v>
      </c>
      <c r="EW44" s="72">
        <v>0</v>
      </c>
      <c r="EX44" s="72">
        <v>0</v>
      </c>
      <c r="EY44" s="72">
        <v>0</v>
      </c>
      <c r="EZ44" s="72">
        <v>0</v>
      </c>
      <c r="FA44" s="72">
        <v>0</v>
      </c>
      <c r="FB44" s="72">
        <v>0</v>
      </c>
      <c r="FC44" s="72">
        <v>0</v>
      </c>
      <c r="FD44" s="72">
        <v>0</v>
      </c>
      <c r="FE44" s="72">
        <v>0</v>
      </c>
      <c r="FF44" s="72">
        <v>1018.5416583766324</v>
      </c>
      <c r="FG44" s="72">
        <v>0</v>
      </c>
      <c r="FH44" s="72">
        <v>0</v>
      </c>
      <c r="FI44" s="72">
        <v>0</v>
      </c>
      <c r="FJ44" s="72">
        <v>0</v>
      </c>
      <c r="FK44" s="72">
        <v>0</v>
      </c>
      <c r="FL44" s="72">
        <v>21001.010020916754</v>
      </c>
      <c r="FM44" s="72">
        <v>1157.766777147539</v>
      </c>
      <c r="FN44" s="72">
        <v>0</v>
      </c>
      <c r="FO44" s="72">
        <v>0</v>
      </c>
      <c r="FP44" s="72">
        <v>0</v>
      </c>
      <c r="FQ44" s="72">
        <v>0</v>
      </c>
      <c r="FR44" s="72">
        <v>0</v>
      </c>
      <c r="FS44" s="72">
        <v>0</v>
      </c>
      <c r="FT44" s="72">
        <v>0</v>
      </c>
      <c r="FU44" s="72">
        <v>0</v>
      </c>
      <c r="FV44" s="72">
        <v>0</v>
      </c>
      <c r="FW44" s="72">
        <v>0</v>
      </c>
      <c r="FX44" s="72">
        <v>0</v>
      </c>
      <c r="FY44" s="72">
        <v>0</v>
      </c>
      <c r="FZ44" s="72">
        <v>0</v>
      </c>
      <c r="GA44" s="72">
        <v>0</v>
      </c>
      <c r="GB44" s="72">
        <v>0</v>
      </c>
      <c r="GC44" s="72">
        <v>0</v>
      </c>
      <c r="GD44" s="72">
        <v>0</v>
      </c>
      <c r="GE44" s="72">
        <v>0</v>
      </c>
      <c r="GF44" s="72">
        <v>0</v>
      </c>
      <c r="GG44" s="72">
        <v>0</v>
      </c>
      <c r="GH44" s="72">
        <v>0</v>
      </c>
      <c r="GI44" s="72">
        <v>0</v>
      </c>
      <c r="GJ44" s="72">
        <v>0</v>
      </c>
      <c r="GK44" s="72">
        <v>0</v>
      </c>
      <c r="GL44" s="72">
        <v>0</v>
      </c>
      <c r="GM44" s="72">
        <v>0</v>
      </c>
      <c r="GN44" s="72">
        <v>0</v>
      </c>
      <c r="GO44" s="72">
        <v>0</v>
      </c>
      <c r="GP44" s="72">
        <v>0</v>
      </c>
      <c r="GQ44" s="72">
        <v>0</v>
      </c>
      <c r="GR44" s="72">
        <f t="shared" si="0"/>
        <v>156779.30513866918</v>
      </c>
      <c r="GS44" s="72">
        <f>SUM(AO$5:AO$202)</f>
        <v>156779.30513866918</v>
      </c>
      <c r="GT44" s="73">
        <v>0</v>
      </c>
    </row>
    <row r="45" spans="1:202" outlineLevel="1" x14ac:dyDescent="0.2">
      <c r="A45" s="66" t="s">
        <v>344</v>
      </c>
      <c r="B45" s="72">
        <v>0</v>
      </c>
      <c r="C45" s="72">
        <v>0</v>
      </c>
      <c r="D45" s="72">
        <v>0</v>
      </c>
      <c r="E45" s="72">
        <v>0</v>
      </c>
      <c r="F45" s="72">
        <v>0</v>
      </c>
      <c r="G45" s="72">
        <v>0</v>
      </c>
      <c r="H45" s="72">
        <v>0</v>
      </c>
      <c r="I45" s="72">
        <v>0</v>
      </c>
      <c r="J45" s="72">
        <v>0</v>
      </c>
      <c r="K45" s="72">
        <v>0</v>
      </c>
      <c r="L45" s="72">
        <v>0</v>
      </c>
      <c r="M45" s="72">
        <v>0</v>
      </c>
      <c r="N45" s="72">
        <v>0</v>
      </c>
      <c r="O45" s="72">
        <v>0</v>
      </c>
      <c r="P45" s="72">
        <v>0</v>
      </c>
      <c r="Q45" s="72">
        <v>0</v>
      </c>
      <c r="R45" s="72">
        <v>0</v>
      </c>
      <c r="S45" s="72">
        <v>0</v>
      </c>
      <c r="T45" s="72">
        <v>0</v>
      </c>
      <c r="U45" s="72">
        <v>0</v>
      </c>
      <c r="V45" s="72">
        <v>0</v>
      </c>
      <c r="W45" s="72">
        <v>0</v>
      </c>
      <c r="X45" s="72">
        <v>0</v>
      </c>
      <c r="Y45" s="72">
        <v>0</v>
      </c>
      <c r="Z45" s="72">
        <v>0</v>
      </c>
      <c r="AA45" s="72">
        <v>0</v>
      </c>
      <c r="AB45" s="72">
        <v>0</v>
      </c>
      <c r="AC45" s="72">
        <v>0</v>
      </c>
      <c r="AD45" s="72">
        <v>0</v>
      </c>
      <c r="AE45" s="72">
        <v>0</v>
      </c>
      <c r="AF45" s="72">
        <v>0</v>
      </c>
      <c r="AG45" s="72">
        <v>0</v>
      </c>
      <c r="AH45" s="72">
        <v>0</v>
      </c>
      <c r="AI45" s="72">
        <v>0</v>
      </c>
      <c r="AJ45" s="72">
        <v>0</v>
      </c>
      <c r="AK45" s="72">
        <v>0</v>
      </c>
      <c r="AL45" s="72">
        <v>0</v>
      </c>
      <c r="AM45" s="72">
        <v>0</v>
      </c>
      <c r="AN45" s="72">
        <v>0</v>
      </c>
      <c r="AO45" s="72">
        <v>0</v>
      </c>
      <c r="AP45" s="72">
        <v>0</v>
      </c>
      <c r="AQ45" s="72">
        <v>0</v>
      </c>
      <c r="AR45" s="72">
        <v>0</v>
      </c>
      <c r="AS45" s="72">
        <v>0</v>
      </c>
      <c r="AT45" s="72">
        <v>0</v>
      </c>
      <c r="AU45" s="72">
        <v>0</v>
      </c>
      <c r="AV45" s="72">
        <v>0</v>
      </c>
      <c r="AW45" s="72">
        <v>0</v>
      </c>
      <c r="AX45" s="72">
        <v>0</v>
      </c>
      <c r="AY45" s="72">
        <v>0</v>
      </c>
      <c r="AZ45" s="72">
        <v>0</v>
      </c>
      <c r="BA45" s="72">
        <v>0</v>
      </c>
      <c r="BB45" s="72">
        <v>0</v>
      </c>
      <c r="BC45" s="72">
        <v>0</v>
      </c>
      <c r="BD45" s="72">
        <v>0</v>
      </c>
      <c r="BE45" s="72">
        <v>0</v>
      </c>
      <c r="BF45" s="72">
        <v>0</v>
      </c>
      <c r="BG45" s="72">
        <v>0</v>
      </c>
      <c r="BH45" s="72">
        <v>0</v>
      </c>
      <c r="BI45" s="72">
        <v>0</v>
      </c>
      <c r="BJ45" s="72">
        <v>0</v>
      </c>
      <c r="BK45" s="72">
        <v>0</v>
      </c>
      <c r="BL45" s="72">
        <v>0</v>
      </c>
      <c r="BM45" s="72">
        <v>0</v>
      </c>
      <c r="BN45" s="72">
        <v>0</v>
      </c>
      <c r="BO45" s="72">
        <v>0</v>
      </c>
      <c r="BP45" s="72">
        <v>0</v>
      </c>
      <c r="BQ45" s="72">
        <v>0</v>
      </c>
      <c r="BR45" s="72">
        <v>0</v>
      </c>
      <c r="BS45" s="72">
        <v>0</v>
      </c>
      <c r="BT45" s="72">
        <v>0</v>
      </c>
      <c r="BU45" s="72">
        <v>0</v>
      </c>
      <c r="BV45" s="72">
        <v>0</v>
      </c>
      <c r="BW45" s="72">
        <v>0</v>
      </c>
      <c r="BX45" s="72">
        <v>0</v>
      </c>
      <c r="BY45" s="72">
        <v>0</v>
      </c>
      <c r="BZ45" s="72">
        <v>0</v>
      </c>
      <c r="CA45" s="72">
        <v>0</v>
      </c>
      <c r="CB45" s="72">
        <v>0</v>
      </c>
      <c r="CC45" s="72">
        <v>0</v>
      </c>
      <c r="CD45" s="72">
        <v>0</v>
      </c>
      <c r="CE45" s="72">
        <v>0</v>
      </c>
      <c r="CF45" s="72">
        <v>0</v>
      </c>
      <c r="CG45" s="72">
        <v>0</v>
      </c>
      <c r="CH45" s="72">
        <v>0</v>
      </c>
      <c r="CI45" s="72">
        <v>0</v>
      </c>
      <c r="CJ45" s="72">
        <v>0</v>
      </c>
      <c r="CK45" s="72">
        <v>0</v>
      </c>
      <c r="CL45" s="72">
        <v>0</v>
      </c>
      <c r="CM45" s="72">
        <v>0</v>
      </c>
      <c r="CN45" s="72">
        <v>0</v>
      </c>
      <c r="CO45" s="72">
        <v>0</v>
      </c>
      <c r="CP45" s="72">
        <v>0</v>
      </c>
      <c r="CQ45" s="72">
        <v>0</v>
      </c>
      <c r="CR45" s="72">
        <v>0</v>
      </c>
      <c r="CS45" s="72">
        <v>0</v>
      </c>
      <c r="CT45" s="72">
        <v>0</v>
      </c>
      <c r="CU45" s="72">
        <v>0</v>
      </c>
      <c r="CV45" s="72">
        <v>0</v>
      </c>
      <c r="CW45" s="72">
        <v>0</v>
      </c>
      <c r="CX45" s="72">
        <v>0</v>
      </c>
      <c r="CY45" s="72">
        <v>0</v>
      </c>
      <c r="CZ45" s="72">
        <v>0</v>
      </c>
      <c r="DA45" s="72">
        <v>0</v>
      </c>
      <c r="DB45" s="72">
        <v>0</v>
      </c>
      <c r="DC45" s="72">
        <v>0</v>
      </c>
      <c r="DD45" s="72">
        <v>0</v>
      </c>
      <c r="DE45" s="72">
        <v>0</v>
      </c>
      <c r="DF45" s="72">
        <v>0</v>
      </c>
      <c r="DG45" s="72">
        <v>0</v>
      </c>
      <c r="DH45" s="72">
        <v>0</v>
      </c>
      <c r="DI45" s="72">
        <v>0</v>
      </c>
      <c r="DJ45" s="72">
        <v>0</v>
      </c>
      <c r="DK45" s="72">
        <v>0</v>
      </c>
      <c r="DL45" s="72">
        <v>0</v>
      </c>
      <c r="DM45" s="72">
        <v>0</v>
      </c>
      <c r="DN45" s="72">
        <v>0</v>
      </c>
      <c r="DO45" s="72">
        <v>0</v>
      </c>
      <c r="DP45" s="72">
        <v>0</v>
      </c>
      <c r="DQ45" s="72">
        <v>0</v>
      </c>
      <c r="DR45" s="72">
        <v>0</v>
      </c>
      <c r="DS45" s="72">
        <v>0</v>
      </c>
      <c r="DT45" s="72">
        <v>0</v>
      </c>
      <c r="DU45" s="72">
        <v>0</v>
      </c>
      <c r="DV45" s="72">
        <v>0</v>
      </c>
      <c r="DW45" s="72">
        <v>0</v>
      </c>
      <c r="DX45" s="72">
        <v>0</v>
      </c>
      <c r="DY45" s="72">
        <v>0</v>
      </c>
      <c r="DZ45" s="72">
        <v>0</v>
      </c>
      <c r="EA45" s="72">
        <v>0</v>
      </c>
      <c r="EB45" s="72">
        <v>0</v>
      </c>
      <c r="EC45" s="72">
        <v>0</v>
      </c>
      <c r="ED45" s="72">
        <v>0</v>
      </c>
      <c r="EE45" s="72">
        <v>0</v>
      </c>
      <c r="EF45" s="72">
        <v>0</v>
      </c>
      <c r="EG45" s="72">
        <v>0</v>
      </c>
      <c r="EH45" s="72">
        <v>0</v>
      </c>
      <c r="EI45" s="72">
        <v>0</v>
      </c>
      <c r="EJ45" s="72">
        <v>0</v>
      </c>
      <c r="EK45" s="72">
        <v>0</v>
      </c>
      <c r="EL45" s="72">
        <v>0</v>
      </c>
      <c r="EM45" s="72">
        <v>0</v>
      </c>
      <c r="EN45" s="72">
        <v>0</v>
      </c>
      <c r="EO45" s="72">
        <v>74990.696885430836</v>
      </c>
      <c r="EP45" s="72">
        <v>213324.37193685601</v>
      </c>
      <c r="EQ45" s="72">
        <v>6721.5768868634414</v>
      </c>
      <c r="ER45" s="72">
        <v>0</v>
      </c>
      <c r="ES45" s="72">
        <v>0</v>
      </c>
      <c r="ET45" s="72">
        <v>0</v>
      </c>
      <c r="EU45" s="72">
        <v>0</v>
      </c>
      <c r="EV45" s="72">
        <v>0</v>
      </c>
      <c r="EW45" s="72">
        <v>0</v>
      </c>
      <c r="EX45" s="72">
        <v>0</v>
      </c>
      <c r="EY45" s="72">
        <v>0</v>
      </c>
      <c r="EZ45" s="72">
        <v>0</v>
      </c>
      <c r="FA45" s="72">
        <v>0</v>
      </c>
      <c r="FB45" s="72">
        <v>0</v>
      </c>
      <c r="FC45" s="72">
        <v>0</v>
      </c>
      <c r="FD45" s="72">
        <v>0</v>
      </c>
      <c r="FE45" s="72">
        <v>0</v>
      </c>
      <c r="FF45" s="72">
        <v>0</v>
      </c>
      <c r="FG45" s="72">
        <v>0</v>
      </c>
      <c r="FH45" s="72">
        <v>0</v>
      </c>
      <c r="FI45" s="72">
        <v>0</v>
      </c>
      <c r="FJ45" s="72">
        <v>0</v>
      </c>
      <c r="FK45" s="72">
        <v>0</v>
      </c>
      <c r="FL45" s="72">
        <v>0</v>
      </c>
      <c r="FM45" s="72">
        <v>0</v>
      </c>
      <c r="FN45" s="72">
        <v>0</v>
      </c>
      <c r="FO45" s="72">
        <v>0</v>
      </c>
      <c r="FP45" s="72">
        <v>0</v>
      </c>
      <c r="FQ45" s="72">
        <v>0</v>
      </c>
      <c r="FR45" s="72">
        <v>0</v>
      </c>
      <c r="FS45" s="72">
        <v>0</v>
      </c>
      <c r="FT45" s="72">
        <v>0</v>
      </c>
      <c r="FU45" s="72">
        <v>0</v>
      </c>
      <c r="FV45" s="72">
        <v>0</v>
      </c>
      <c r="FW45" s="72">
        <v>0</v>
      </c>
      <c r="FX45" s="72">
        <v>0</v>
      </c>
      <c r="FY45" s="72">
        <v>0</v>
      </c>
      <c r="FZ45" s="72">
        <v>0</v>
      </c>
      <c r="GA45" s="72">
        <v>0</v>
      </c>
      <c r="GB45" s="72">
        <v>0</v>
      </c>
      <c r="GC45" s="72">
        <v>0</v>
      </c>
      <c r="GD45" s="72">
        <v>0</v>
      </c>
      <c r="GE45" s="72">
        <v>0</v>
      </c>
      <c r="GF45" s="72">
        <v>0</v>
      </c>
      <c r="GG45" s="72">
        <v>0</v>
      </c>
      <c r="GH45" s="72">
        <v>0</v>
      </c>
      <c r="GI45" s="72">
        <v>0</v>
      </c>
      <c r="GJ45" s="72">
        <v>0</v>
      </c>
      <c r="GK45" s="72">
        <v>0</v>
      </c>
      <c r="GL45" s="72">
        <v>0</v>
      </c>
      <c r="GM45" s="72">
        <v>0</v>
      </c>
      <c r="GN45" s="72">
        <v>0</v>
      </c>
      <c r="GO45" s="72">
        <v>0</v>
      </c>
      <c r="GP45" s="72">
        <v>0</v>
      </c>
      <c r="GQ45" s="72">
        <v>0</v>
      </c>
      <c r="GR45" s="72">
        <f t="shared" si="0"/>
        <v>295036.6457091503</v>
      </c>
      <c r="GS45" s="72">
        <f>SUM(AP$5:AP$202)</f>
        <v>295036.64570915024</v>
      </c>
      <c r="GT45" s="73">
        <v>0</v>
      </c>
    </row>
    <row r="46" spans="1:202" outlineLevel="1" x14ac:dyDescent="0.2">
      <c r="A46" s="66" t="s">
        <v>349</v>
      </c>
      <c r="B46" s="72">
        <v>0</v>
      </c>
      <c r="C46" s="72">
        <v>0</v>
      </c>
      <c r="D46" s="72">
        <v>0</v>
      </c>
      <c r="E46" s="72">
        <v>0</v>
      </c>
      <c r="F46" s="72">
        <v>0</v>
      </c>
      <c r="G46" s="72">
        <v>0</v>
      </c>
      <c r="H46" s="72">
        <v>0</v>
      </c>
      <c r="I46" s="72">
        <v>0</v>
      </c>
      <c r="J46" s="72">
        <v>0</v>
      </c>
      <c r="K46" s="72">
        <v>0</v>
      </c>
      <c r="L46" s="72">
        <v>0</v>
      </c>
      <c r="M46" s="72">
        <v>0</v>
      </c>
      <c r="N46" s="72">
        <v>0</v>
      </c>
      <c r="O46" s="72">
        <v>0</v>
      </c>
      <c r="P46" s="72">
        <v>0</v>
      </c>
      <c r="Q46" s="72">
        <v>0</v>
      </c>
      <c r="R46" s="72">
        <v>0</v>
      </c>
      <c r="S46" s="72">
        <v>0</v>
      </c>
      <c r="T46" s="72">
        <v>0</v>
      </c>
      <c r="U46" s="72">
        <v>0</v>
      </c>
      <c r="V46" s="72">
        <v>0</v>
      </c>
      <c r="W46" s="72">
        <v>0</v>
      </c>
      <c r="X46" s="72">
        <v>0</v>
      </c>
      <c r="Y46" s="72">
        <v>0</v>
      </c>
      <c r="Z46" s="72">
        <v>0</v>
      </c>
      <c r="AA46" s="72">
        <v>0</v>
      </c>
      <c r="AB46" s="72">
        <v>0</v>
      </c>
      <c r="AC46" s="72">
        <v>0</v>
      </c>
      <c r="AD46" s="72">
        <v>0</v>
      </c>
      <c r="AE46" s="72">
        <v>0</v>
      </c>
      <c r="AF46" s="72">
        <v>0</v>
      </c>
      <c r="AG46" s="72">
        <v>0</v>
      </c>
      <c r="AH46" s="72">
        <v>0</v>
      </c>
      <c r="AI46" s="72">
        <v>0</v>
      </c>
      <c r="AJ46" s="72">
        <v>0</v>
      </c>
      <c r="AK46" s="72">
        <v>0</v>
      </c>
      <c r="AL46" s="72">
        <v>0</v>
      </c>
      <c r="AM46" s="72">
        <v>0</v>
      </c>
      <c r="AN46" s="72">
        <v>0</v>
      </c>
      <c r="AO46" s="72">
        <v>0</v>
      </c>
      <c r="AP46" s="72">
        <v>0</v>
      </c>
      <c r="AQ46" s="72">
        <v>0</v>
      </c>
      <c r="AR46" s="72">
        <v>0</v>
      </c>
      <c r="AS46" s="72">
        <v>0</v>
      </c>
      <c r="AT46" s="72">
        <v>0</v>
      </c>
      <c r="AU46" s="72">
        <v>0</v>
      </c>
      <c r="AV46" s="72">
        <v>0</v>
      </c>
      <c r="AW46" s="72">
        <v>0</v>
      </c>
      <c r="AX46" s="72">
        <v>0</v>
      </c>
      <c r="AY46" s="72">
        <v>0</v>
      </c>
      <c r="AZ46" s="72">
        <v>0</v>
      </c>
      <c r="BA46" s="72">
        <v>0</v>
      </c>
      <c r="BB46" s="72">
        <v>0</v>
      </c>
      <c r="BC46" s="72">
        <v>0</v>
      </c>
      <c r="BD46" s="72">
        <v>0</v>
      </c>
      <c r="BE46" s="72">
        <v>0</v>
      </c>
      <c r="BF46" s="72">
        <v>0</v>
      </c>
      <c r="BG46" s="72">
        <v>0</v>
      </c>
      <c r="BH46" s="72">
        <v>0</v>
      </c>
      <c r="BI46" s="72">
        <v>0</v>
      </c>
      <c r="BJ46" s="72">
        <v>0</v>
      </c>
      <c r="BK46" s="72">
        <v>0</v>
      </c>
      <c r="BL46" s="72">
        <v>0</v>
      </c>
      <c r="BM46" s="72">
        <v>0</v>
      </c>
      <c r="BN46" s="72">
        <v>0</v>
      </c>
      <c r="BO46" s="72">
        <v>0</v>
      </c>
      <c r="BP46" s="72">
        <v>0</v>
      </c>
      <c r="BQ46" s="72">
        <v>0</v>
      </c>
      <c r="BR46" s="72">
        <v>0</v>
      </c>
      <c r="BS46" s="72">
        <v>0</v>
      </c>
      <c r="BT46" s="72">
        <v>0</v>
      </c>
      <c r="BU46" s="72">
        <v>0</v>
      </c>
      <c r="BV46" s="72">
        <v>0</v>
      </c>
      <c r="BW46" s="72">
        <v>0</v>
      </c>
      <c r="BX46" s="72">
        <v>0</v>
      </c>
      <c r="BY46" s="72">
        <v>0</v>
      </c>
      <c r="BZ46" s="72">
        <v>0</v>
      </c>
      <c r="CA46" s="72">
        <v>0</v>
      </c>
      <c r="CB46" s="72">
        <v>0</v>
      </c>
      <c r="CC46" s="72">
        <v>0</v>
      </c>
      <c r="CD46" s="72">
        <v>0</v>
      </c>
      <c r="CE46" s="72">
        <v>0</v>
      </c>
      <c r="CF46" s="72">
        <v>0</v>
      </c>
      <c r="CG46" s="72">
        <v>0</v>
      </c>
      <c r="CH46" s="72">
        <v>0</v>
      </c>
      <c r="CI46" s="72">
        <v>0</v>
      </c>
      <c r="CJ46" s="72">
        <v>0</v>
      </c>
      <c r="CK46" s="72">
        <v>0</v>
      </c>
      <c r="CL46" s="72">
        <v>0</v>
      </c>
      <c r="CM46" s="72">
        <v>0</v>
      </c>
      <c r="CN46" s="72">
        <v>0</v>
      </c>
      <c r="CO46" s="72">
        <v>0</v>
      </c>
      <c r="CP46" s="72">
        <v>0</v>
      </c>
      <c r="CQ46" s="72">
        <v>0</v>
      </c>
      <c r="CR46" s="72">
        <v>0</v>
      </c>
      <c r="CS46" s="72">
        <v>0</v>
      </c>
      <c r="CT46" s="72">
        <v>0</v>
      </c>
      <c r="CU46" s="72">
        <v>0</v>
      </c>
      <c r="CV46" s="72">
        <v>0</v>
      </c>
      <c r="CW46" s="72">
        <v>0</v>
      </c>
      <c r="CX46" s="72">
        <v>0</v>
      </c>
      <c r="CY46" s="72">
        <v>0</v>
      </c>
      <c r="CZ46" s="72">
        <v>0</v>
      </c>
      <c r="DA46" s="72">
        <v>0</v>
      </c>
      <c r="DB46" s="72">
        <v>0</v>
      </c>
      <c r="DC46" s="72">
        <v>0</v>
      </c>
      <c r="DD46" s="72">
        <v>0</v>
      </c>
      <c r="DE46" s="72">
        <v>0</v>
      </c>
      <c r="DF46" s="72">
        <v>0</v>
      </c>
      <c r="DG46" s="72">
        <v>0</v>
      </c>
      <c r="DH46" s="72">
        <v>0</v>
      </c>
      <c r="DI46" s="72">
        <v>0</v>
      </c>
      <c r="DJ46" s="72">
        <v>0</v>
      </c>
      <c r="DK46" s="72">
        <v>0</v>
      </c>
      <c r="DL46" s="72">
        <v>0</v>
      </c>
      <c r="DM46" s="72">
        <v>0</v>
      </c>
      <c r="DN46" s="72">
        <v>0</v>
      </c>
      <c r="DO46" s="72">
        <v>0</v>
      </c>
      <c r="DP46" s="72">
        <v>0</v>
      </c>
      <c r="DQ46" s="72">
        <v>0</v>
      </c>
      <c r="DR46" s="72">
        <v>0</v>
      </c>
      <c r="DS46" s="72">
        <v>0</v>
      </c>
      <c r="DT46" s="72">
        <v>0</v>
      </c>
      <c r="DU46" s="72">
        <v>0</v>
      </c>
      <c r="DV46" s="72">
        <v>0</v>
      </c>
      <c r="DW46" s="72">
        <v>0</v>
      </c>
      <c r="DX46" s="72">
        <v>0</v>
      </c>
      <c r="DY46" s="72">
        <v>0</v>
      </c>
      <c r="DZ46" s="72">
        <v>0</v>
      </c>
      <c r="EA46" s="72">
        <v>0</v>
      </c>
      <c r="EB46" s="72">
        <v>0</v>
      </c>
      <c r="EC46" s="72">
        <v>0</v>
      </c>
      <c r="ED46" s="72">
        <v>0</v>
      </c>
      <c r="EE46" s="72">
        <v>0</v>
      </c>
      <c r="EF46" s="72">
        <v>0</v>
      </c>
      <c r="EG46" s="72">
        <v>0</v>
      </c>
      <c r="EH46" s="72">
        <v>0</v>
      </c>
      <c r="EI46" s="72">
        <v>0</v>
      </c>
      <c r="EJ46" s="72">
        <v>0</v>
      </c>
      <c r="EK46" s="72">
        <v>0</v>
      </c>
      <c r="EL46" s="72">
        <v>0</v>
      </c>
      <c r="EM46" s="72">
        <v>0</v>
      </c>
      <c r="EN46" s="72">
        <v>0</v>
      </c>
      <c r="EO46" s="72">
        <v>3182.1679738061162</v>
      </c>
      <c r="EP46" s="72">
        <v>2650.2234766922575</v>
      </c>
      <c r="EQ46" s="72">
        <v>1063.8889942277162</v>
      </c>
      <c r="ER46" s="72">
        <v>0</v>
      </c>
      <c r="ES46" s="72">
        <v>0</v>
      </c>
      <c r="ET46" s="72">
        <v>0</v>
      </c>
      <c r="EU46" s="72">
        <v>0</v>
      </c>
      <c r="EV46" s="72">
        <v>0</v>
      </c>
      <c r="EW46" s="72">
        <v>0</v>
      </c>
      <c r="EX46" s="72">
        <v>0</v>
      </c>
      <c r="EY46" s="72">
        <v>0</v>
      </c>
      <c r="EZ46" s="72">
        <v>0</v>
      </c>
      <c r="FA46" s="72">
        <v>0</v>
      </c>
      <c r="FB46" s="72">
        <v>0</v>
      </c>
      <c r="FC46" s="72">
        <v>0</v>
      </c>
      <c r="FD46" s="72">
        <v>0</v>
      </c>
      <c r="FE46" s="72">
        <v>0</v>
      </c>
      <c r="FF46" s="72">
        <v>0</v>
      </c>
      <c r="FG46" s="72">
        <v>0</v>
      </c>
      <c r="FH46" s="72">
        <v>0</v>
      </c>
      <c r="FI46" s="72">
        <v>0</v>
      </c>
      <c r="FJ46" s="72">
        <v>0</v>
      </c>
      <c r="FK46" s="72">
        <v>0</v>
      </c>
      <c r="FL46" s="72">
        <v>0</v>
      </c>
      <c r="FM46" s="72">
        <v>0</v>
      </c>
      <c r="FN46" s="72">
        <v>0</v>
      </c>
      <c r="FO46" s="72">
        <v>0</v>
      </c>
      <c r="FP46" s="72">
        <v>0</v>
      </c>
      <c r="FQ46" s="72">
        <v>0</v>
      </c>
      <c r="FR46" s="72">
        <v>0</v>
      </c>
      <c r="FS46" s="72">
        <v>0</v>
      </c>
      <c r="FT46" s="72">
        <v>0</v>
      </c>
      <c r="FU46" s="72">
        <v>0</v>
      </c>
      <c r="FV46" s="72">
        <v>0</v>
      </c>
      <c r="FW46" s="72">
        <v>0</v>
      </c>
      <c r="FX46" s="72">
        <v>0</v>
      </c>
      <c r="FY46" s="72">
        <v>0</v>
      </c>
      <c r="FZ46" s="72">
        <v>0</v>
      </c>
      <c r="GA46" s="72">
        <v>0</v>
      </c>
      <c r="GB46" s="72">
        <v>0</v>
      </c>
      <c r="GC46" s="72">
        <v>0</v>
      </c>
      <c r="GD46" s="72">
        <v>0</v>
      </c>
      <c r="GE46" s="72">
        <v>0</v>
      </c>
      <c r="GF46" s="72">
        <v>0</v>
      </c>
      <c r="GG46" s="72">
        <v>0</v>
      </c>
      <c r="GH46" s="72">
        <v>0</v>
      </c>
      <c r="GI46" s="72">
        <v>0</v>
      </c>
      <c r="GJ46" s="72">
        <v>0</v>
      </c>
      <c r="GK46" s="72">
        <v>0</v>
      </c>
      <c r="GL46" s="72">
        <v>0</v>
      </c>
      <c r="GM46" s="72">
        <v>0</v>
      </c>
      <c r="GN46" s="72">
        <v>0</v>
      </c>
      <c r="GO46" s="72">
        <v>0</v>
      </c>
      <c r="GP46" s="72">
        <v>0</v>
      </c>
      <c r="GQ46" s="72">
        <v>0</v>
      </c>
      <c r="GR46" s="72">
        <f t="shared" si="0"/>
        <v>6896.2804447260896</v>
      </c>
      <c r="GS46" s="72">
        <f>SUM(AQ$5:AQ$202)</f>
        <v>6896.2804447260905</v>
      </c>
      <c r="GT46" s="73">
        <v>0</v>
      </c>
    </row>
    <row r="47" spans="1:202" outlineLevel="1" x14ac:dyDescent="0.2">
      <c r="A47" s="66" t="s">
        <v>355</v>
      </c>
      <c r="B47" s="72">
        <v>0</v>
      </c>
      <c r="C47" s="72">
        <v>0</v>
      </c>
      <c r="D47" s="72">
        <v>0</v>
      </c>
      <c r="E47" s="72">
        <v>0</v>
      </c>
      <c r="F47" s="72">
        <v>0</v>
      </c>
      <c r="G47" s="72">
        <v>0</v>
      </c>
      <c r="H47" s="72">
        <v>0</v>
      </c>
      <c r="I47" s="72">
        <v>0</v>
      </c>
      <c r="J47" s="72">
        <v>0</v>
      </c>
      <c r="K47" s="72">
        <v>0</v>
      </c>
      <c r="L47" s="72">
        <v>0</v>
      </c>
      <c r="M47" s="72">
        <v>0</v>
      </c>
      <c r="N47" s="72">
        <v>0</v>
      </c>
      <c r="O47" s="72">
        <v>0</v>
      </c>
      <c r="P47" s="72">
        <v>0</v>
      </c>
      <c r="Q47" s="72">
        <v>0</v>
      </c>
      <c r="R47" s="72">
        <v>0</v>
      </c>
      <c r="S47" s="72">
        <v>0</v>
      </c>
      <c r="T47" s="72">
        <v>0</v>
      </c>
      <c r="U47" s="72">
        <v>0</v>
      </c>
      <c r="V47" s="72">
        <v>0</v>
      </c>
      <c r="W47" s="72">
        <v>0</v>
      </c>
      <c r="X47" s="72">
        <v>0</v>
      </c>
      <c r="Y47" s="72">
        <v>0</v>
      </c>
      <c r="Z47" s="72">
        <v>0</v>
      </c>
      <c r="AA47" s="72">
        <v>0</v>
      </c>
      <c r="AB47" s="72">
        <v>0</v>
      </c>
      <c r="AC47" s="72">
        <v>0</v>
      </c>
      <c r="AD47" s="72">
        <v>0</v>
      </c>
      <c r="AE47" s="72">
        <v>0</v>
      </c>
      <c r="AF47" s="72">
        <v>0</v>
      </c>
      <c r="AG47" s="72">
        <v>0</v>
      </c>
      <c r="AH47" s="72">
        <v>0</v>
      </c>
      <c r="AI47" s="72">
        <v>0</v>
      </c>
      <c r="AJ47" s="72">
        <v>0</v>
      </c>
      <c r="AK47" s="72">
        <v>0</v>
      </c>
      <c r="AL47" s="72">
        <v>0</v>
      </c>
      <c r="AM47" s="72">
        <v>0</v>
      </c>
      <c r="AN47" s="72">
        <v>0</v>
      </c>
      <c r="AO47" s="72">
        <v>0</v>
      </c>
      <c r="AP47" s="72">
        <v>0</v>
      </c>
      <c r="AQ47" s="72">
        <v>0</v>
      </c>
      <c r="AR47" s="72">
        <v>0</v>
      </c>
      <c r="AS47" s="72">
        <v>0</v>
      </c>
      <c r="AT47" s="72">
        <v>0</v>
      </c>
      <c r="AU47" s="72">
        <v>0</v>
      </c>
      <c r="AV47" s="72">
        <v>0</v>
      </c>
      <c r="AW47" s="72">
        <v>0</v>
      </c>
      <c r="AX47" s="72">
        <v>0</v>
      </c>
      <c r="AY47" s="72">
        <v>0</v>
      </c>
      <c r="AZ47" s="72">
        <v>0</v>
      </c>
      <c r="BA47" s="72">
        <v>0</v>
      </c>
      <c r="BB47" s="72">
        <v>0</v>
      </c>
      <c r="BC47" s="72">
        <v>0</v>
      </c>
      <c r="BD47" s="72">
        <v>0</v>
      </c>
      <c r="BE47" s="72">
        <v>0</v>
      </c>
      <c r="BF47" s="72">
        <v>0</v>
      </c>
      <c r="BG47" s="72">
        <v>0</v>
      </c>
      <c r="BH47" s="72">
        <v>0</v>
      </c>
      <c r="BI47" s="72">
        <v>0</v>
      </c>
      <c r="BJ47" s="72">
        <v>0</v>
      </c>
      <c r="BK47" s="72">
        <v>0</v>
      </c>
      <c r="BL47" s="72">
        <v>0</v>
      </c>
      <c r="BM47" s="72">
        <v>0</v>
      </c>
      <c r="BN47" s="72">
        <v>0</v>
      </c>
      <c r="BO47" s="72">
        <v>0</v>
      </c>
      <c r="BP47" s="72">
        <v>0</v>
      </c>
      <c r="BQ47" s="72">
        <v>0</v>
      </c>
      <c r="BR47" s="72">
        <v>0</v>
      </c>
      <c r="BS47" s="72">
        <v>0</v>
      </c>
      <c r="BT47" s="72">
        <v>0</v>
      </c>
      <c r="BU47" s="72">
        <v>0</v>
      </c>
      <c r="BV47" s="72">
        <v>0</v>
      </c>
      <c r="BW47" s="72">
        <v>0</v>
      </c>
      <c r="BX47" s="72">
        <v>0</v>
      </c>
      <c r="BY47" s="72">
        <v>0</v>
      </c>
      <c r="BZ47" s="72">
        <v>0</v>
      </c>
      <c r="CA47" s="72">
        <v>0</v>
      </c>
      <c r="CB47" s="72">
        <v>0</v>
      </c>
      <c r="CC47" s="72">
        <v>0</v>
      </c>
      <c r="CD47" s="72">
        <v>0</v>
      </c>
      <c r="CE47" s="72">
        <v>0</v>
      </c>
      <c r="CF47" s="72">
        <v>0</v>
      </c>
      <c r="CG47" s="72">
        <v>0</v>
      </c>
      <c r="CH47" s="72">
        <v>0</v>
      </c>
      <c r="CI47" s="72">
        <v>0</v>
      </c>
      <c r="CJ47" s="72">
        <v>0</v>
      </c>
      <c r="CK47" s="72">
        <v>0</v>
      </c>
      <c r="CL47" s="72">
        <v>0</v>
      </c>
      <c r="CM47" s="72">
        <v>0</v>
      </c>
      <c r="CN47" s="72">
        <v>0</v>
      </c>
      <c r="CO47" s="72">
        <v>0</v>
      </c>
      <c r="CP47" s="72">
        <v>0</v>
      </c>
      <c r="CQ47" s="72">
        <v>0</v>
      </c>
      <c r="CR47" s="72">
        <v>0</v>
      </c>
      <c r="CS47" s="72">
        <v>0</v>
      </c>
      <c r="CT47" s="72">
        <v>0</v>
      </c>
      <c r="CU47" s="72">
        <v>0</v>
      </c>
      <c r="CV47" s="72">
        <v>0</v>
      </c>
      <c r="CW47" s="72">
        <v>0</v>
      </c>
      <c r="CX47" s="72">
        <v>0</v>
      </c>
      <c r="CY47" s="72">
        <v>0</v>
      </c>
      <c r="CZ47" s="72">
        <v>0</v>
      </c>
      <c r="DA47" s="72">
        <v>0</v>
      </c>
      <c r="DB47" s="72">
        <v>0</v>
      </c>
      <c r="DC47" s="72">
        <v>0</v>
      </c>
      <c r="DD47" s="72">
        <v>0</v>
      </c>
      <c r="DE47" s="72">
        <v>0</v>
      </c>
      <c r="DF47" s="72">
        <v>0</v>
      </c>
      <c r="DG47" s="72">
        <v>0</v>
      </c>
      <c r="DH47" s="72">
        <v>0</v>
      </c>
      <c r="DI47" s="72">
        <v>0</v>
      </c>
      <c r="DJ47" s="72">
        <v>0</v>
      </c>
      <c r="DK47" s="72">
        <v>0</v>
      </c>
      <c r="DL47" s="72">
        <v>0</v>
      </c>
      <c r="DM47" s="72">
        <v>0</v>
      </c>
      <c r="DN47" s="72">
        <v>0</v>
      </c>
      <c r="DO47" s="72">
        <v>0</v>
      </c>
      <c r="DP47" s="72">
        <v>0</v>
      </c>
      <c r="DQ47" s="72">
        <v>0</v>
      </c>
      <c r="DR47" s="72">
        <v>0</v>
      </c>
      <c r="DS47" s="72">
        <v>0</v>
      </c>
      <c r="DT47" s="72">
        <v>0</v>
      </c>
      <c r="DU47" s="72">
        <v>0</v>
      </c>
      <c r="DV47" s="72">
        <v>0</v>
      </c>
      <c r="DW47" s="72">
        <v>0</v>
      </c>
      <c r="DX47" s="72">
        <v>0</v>
      </c>
      <c r="DY47" s="72">
        <v>0</v>
      </c>
      <c r="DZ47" s="72">
        <v>0</v>
      </c>
      <c r="EA47" s="72">
        <v>0</v>
      </c>
      <c r="EB47" s="72">
        <v>0</v>
      </c>
      <c r="EC47" s="72">
        <v>0</v>
      </c>
      <c r="ED47" s="72">
        <v>0</v>
      </c>
      <c r="EE47" s="72">
        <v>0</v>
      </c>
      <c r="EF47" s="72">
        <v>0</v>
      </c>
      <c r="EG47" s="72">
        <v>0</v>
      </c>
      <c r="EH47" s="72">
        <v>0</v>
      </c>
      <c r="EI47" s="72">
        <v>0</v>
      </c>
      <c r="EJ47" s="72">
        <v>0</v>
      </c>
      <c r="EK47" s="72">
        <v>0</v>
      </c>
      <c r="EL47" s="72">
        <v>0</v>
      </c>
      <c r="EM47" s="72">
        <v>0</v>
      </c>
      <c r="EN47" s="72">
        <v>0</v>
      </c>
      <c r="EO47" s="72">
        <v>58653.138254891142</v>
      </c>
      <c r="EP47" s="72">
        <v>20969.924019451417</v>
      </c>
      <c r="EQ47" s="72">
        <v>0</v>
      </c>
      <c r="ER47" s="72">
        <v>0</v>
      </c>
      <c r="ES47" s="72">
        <v>0</v>
      </c>
      <c r="ET47" s="72">
        <v>0</v>
      </c>
      <c r="EU47" s="72">
        <v>0</v>
      </c>
      <c r="EV47" s="72">
        <v>0</v>
      </c>
      <c r="EW47" s="72">
        <v>0</v>
      </c>
      <c r="EX47" s="72">
        <v>0</v>
      </c>
      <c r="EY47" s="72">
        <v>0</v>
      </c>
      <c r="EZ47" s="72">
        <v>0</v>
      </c>
      <c r="FA47" s="72">
        <v>0</v>
      </c>
      <c r="FB47" s="72">
        <v>0</v>
      </c>
      <c r="FC47" s="72">
        <v>0</v>
      </c>
      <c r="FD47" s="72">
        <v>0</v>
      </c>
      <c r="FE47" s="72">
        <v>0</v>
      </c>
      <c r="FF47" s="72">
        <v>0</v>
      </c>
      <c r="FG47" s="72">
        <v>0</v>
      </c>
      <c r="FH47" s="72">
        <v>0</v>
      </c>
      <c r="FI47" s="72">
        <v>0</v>
      </c>
      <c r="FJ47" s="72">
        <v>0</v>
      </c>
      <c r="FK47" s="72">
        <v>0</v>
      </c>
      <c r="FL47" s="72">
        <v>0</v>
      </c>
      <c r="FM47" s="72">
        <v>0</v>
      </c>
      <c r="FN47" s="72">
        <v>0</v>
      </c>
      <c r="FO47" s="72">
        <v>0</v>
      </c>
      <c r="FP47" s="72">
        <v>0</v>
      </c>
      <c r="FQ47" s="72">
        <v>0</v>
      </c>
      <c r="FR47" s="72">
        <v>0</v>
      </c>
      <c r="FS47" s="72">
        <v>0</v>
      </c>
      <c r="FT47" s="72">
        <v>0</v>
      </c>
      <c r="FU47" s="72">
        <v>0</v>
      </c>
      <c r="FV47" s="72">
        <v>0</v>
      </c>
      <c r="FW47" s="72">
        <v>0</v>
      </c>
      <c r="FX47" s="72">
        <v>0</v>
      </c>
      <c r="FY47" s="72">
        <v>0</v>
      </c>
      <c r="FZ47" s="72">
        <v>0</v>
      </c>
      <c r="GA47" s="72">
        <v>0</v>
      </c>
      <c r="GB47" s="72">
        <v>0</v>
      </c>
      <c r="GC47" s="72">
        <v>0</v>
      </c>
      <c r="GD47" s="72">
        <v>0</v>
      </c>
      <c r="GE47" s="72">
        <v>0</v>
      </c>
      <c r="GF47" s="72">
        <v>0</v>
      </c>
      <c r="GG47" s="72">
        <v>0</v>
      </c>
      <c r="GH47" s="72">
        <v>0</v>
      </c>
      <c r="GI47" s="72">
        <v>0</v>
      </c>
      <c r="GJ47" s="72">
        <v>0</v>
      </c>
      <c r="GK47" s="72">
        <v>0</v>
      </c>
      <c r="GL47" s="72">
        <v>0</v>
      </c>
      <c r="GM47" s="72">
        <v>0</v>
      </c>
      <c r="GN47" s="72">
        <v>0</v>
      </c>
      <c r="GO47" s="72">
        <v>0</v>
      </c>
      <c r="GP47" s="72">
        <v>0</v>
      </c>
      <c r="GQ47" s="72">
        <v>0</v>
      </c>
      <c r="GR47" s="72">
        <f t="shared" si="0"/>
        <v>79623.062274342563</v>
      </c>
      <c r="GS47" s="72">
        <f>SUM(AR$5:AR$202)</f>
        <v>79623.062274342563</v>
      </c>
      <c r="GT47" s="73">
        <v>0</v>
      </c>
    </row>
    <row r="48" spans="1:202" outlineLevel="1" x14ac:dyDescent="0.2">
      <c r="A48" s="66" t="s">
        <v>360</v>
      </c>
      <c r="B48" s="72">
        <v>0</v>
      </c>
      <c r="C48" s="72">
        <v>0</v>
      </c>
      <c r="D48" s="72">
        <v>0</v>
      </c>
      <c r="E48" s="72">
        <v>0</v>
      </c>
      <c r="F48" s="72">
        <v>0</v>
      </c>
      <c r="G48" s="72">
        <v>0</v>
      </c>
      <c r="H48" s="72">
        <v>0</v>
      </c>
      <c r="I48" s="72">
        <v>0</v>
      </c>
      <c r="J48" s="72">
        <v>0</v>
      </c>
      <c r="K48" s="72">
        <v>0</v>
      </c>
      <c r="L48" s="72">
        <v>0</v>
      </c>
      <c r="M48" s="72">
        <v>0</v>
      </c>
      <c r="N48" s="72">
        <v>0</v>
      </c>
      <c r="O48" s="72">
        <v>0</v>
      </c>
      <c r="P48" s="72">
        <v>0</v>
      </c>
      <c r="Q48" s="72">
        <v>0</v>
      </c>
      <c r="R48" s="72">
        <v>0</v>
      </c>
      <c r="S48" s="72">
        <v>0</v>
      </c>
      <c r="T48" s="72">
        <v>0</v>
      </c>
      <c r="U48" s="72">
        <v>0</v>
      </c>
      <c r="V48" s="72">
        <v>0</v>
      </c>
      <c r="W48" s="72">
        <v>0</v>
      </c>
      <c r="X48" s="72">
        <v>0</v>
      </c>
      <c r="Y48" s="72">
        <v>0</v>
      </c>
      <c r="Z48" s="72">
        <v>0</v>
      </c>
      <c r="AA48" s="72">
        <v>0</v>
      </c>
      <c r="AB48" s="72">
        <v>0</v>
      </c>
      <c r="AC48" s="72">
        <v>0</v>
      </c>
      <c r="AD48" s="72">
        <v>0</v>
      </c>
      <c r="AE48" s="72">
        <v>0</v>
      </c>
      <c r="AF48" s="72">
        <v>0</v>
      </c>
      <c r="AG48" s="72">
        <v>0</v>
      </c>
      <c r="AH48" s="72">
        <v>0</v>
      </c>
      <c r="AI48" s="72">
        <v>0</v>
      </c>
      <c r="AJ48" s="72">
        <v>0</v>
      </c>
      <c r="AK48" s="72">
        <v>0</v>
      </c>
      <c r="AL48" s="72">
        <v>0</v>
      </c>
      <c r="AM48" s="72">
        <v>0</v>
      </c>
      <c r="AN48" s="72">
        <v>0</v>
      </c>
      <c r="AO48" s="72">
        <v>0</v>
      </c>
      <c r="AP48" s="72">
        <v>0</v>
      </c>
      <c r="AQ48" s="72">
        <v>0</v>
      </c>
      <c r="AR48" s="72">
        <v>0</v>
      </c>
      <c r="AS48" s="72">
        <v>0</v>
      </c>
      <c r="AT48" s="72">
        <v>0</v>
      </c>
      <c r="AU48" s="72">
        <v>0</v>
      </c>
      <c r="AV48" s="72">
        <v>0</v>
      </c>
      <c r="AW48" s="72">
        <v>0</v>
      </c>
      <c r="AX48" s="72">
        <v>0</v>
      </c>
      <c r="AY48" s="72">
        <v>0</v>
      </c>
      <c r="AZ48" s="72">
        <v>0</v>
      </c>
      <c r="BA48" s="72">
        <v>0</v>
      </c>
      <c r="BB48" s="72">
        <v>0</v>
      </c>
      <c r="BC48" s="72">
        <v>0</v>
      </c>
      <c r="BD48" s="72">
        <v>0</v>
      </c>
      <c r="BE48" s="72">
        <v>0</v>
      </c>
      <c r="BF48" s="72">
        <v>0</v>
      </c>
      <c r="BG48" s="72">
        <v>0</v>
      </c>
      <c r="BH48" s="72">
        <v>0</v>
      </c>
      <c r="BI48" s="72">
        <v>0</v>
      </c>
      <c r="BJ48" s="72">
        <v>0</v>
      </c>
      <c r="BK48" s="72">
        <v>0</v>
      </c>
      <c r="BL48" s="72">
        <v>0</v>
      </c>
      <c r="BM48" s="72">
        <v>0</v>
      </c>
      <c r="BN48" s="72">
        <v>0</v>
      </c>
      <c r="BO48" s="72">
        <v>0</v>
      </c>
      <c r="BP48" s="72">
        <v>0</v>
      </c>
      <c r="BQ48" s="72">
        <v>0</v>
      </c>
      <c r="BR48" s="72">
        <v>0</v>
      </c>
      <c r="BS48" s="72">
        <v>0</v>
      </c>
      <c r="BT48" s="72">
        <v>0</v>
      </c>
      <c r="BU48" s="72">
        <v>0</v>
      </c>
      <c r="BV48" s="72">
        <v>0</v>
      </c>
      <c r="BW48" s="72">
        <v>0</v>
      </c>
      <c r="BX48" s="72">
        <v>0</v>
      </c>
      <c r="BY48" s="72">
        <v>0</v>
      </c>
      <c r="BZ48" s="72">
        <v>0</v>
      </c>
      <c r="CA48" s="72">
        <v>0</v>
      </c>
      <c r="CB48" s="72">
        <v>0</v>
      </c>
      <c r="CC48" s="72">
        <v>0</v>
      </c>
      <c r="CD48" s="72">
        <v>0</v>
      </c>
      <c r="CE48" s="72">
        <v>0</v>
      </c>
      <c r="CF48" s="72">
        <v>0</v>
      </c>
      <c r="CG48" s="72">
        <v>0</v>
      </c>
      <c r="CH48" s="72">
        <v>0</v>
      </c>
      <c r="CI48" s="72">
        <v>0</v>
      </c>
      <c r="CJ48" s="72">
        <v>0</v>
      </c>
      <c r="CK48" s="72">
        <v>0</v>
      </c>
      <c r="CL48" s="72">
        <v>0</v>
      </c>
      <c r="CM48" s="72">
        <v>0</v>
      </c>
      <c r="CN48" s="72">
        <v>0</v>
      </c>
      <c r="CO48" s="72">
        <v>0</v>
      </c>
      <c r="CP48" s="72">
        <v>0</v>
      </c>
      <c r="CQ48" s="72">
        <v>0</v>
      </c>
      <c r="CR48" s="72">
        <v>0</v>
      </c>
      <c r="CS48" s="72">
        <v>0</v>
      </c>
      <c r="CT48" s="72">
        <v>0</v>
      </c>
      <c r="CU48" s="72">
        <v>0</v>
      </c>
      <c r="CV48" s="72">
        <v>0</v>
      </c>
      <c r="CW48" s="72">
        <v>0</v>
      </c>
      <c r="CX48" s="72">
        <v>0</v>
      </c>
      <c r="CY48" s="72">
        <v>0</v>
      </c>
      <c r="CZ48" s="72">
        <v>0</v>
      </c>
      <c r="DA48" s="72">
        <v>0</v>
      </c>
      <c r="DB48" s="72">
        <v>0</v>
      </c>
      <c r="DC48" s="72">
        <v>0</v>
      </c>
      <c r="DD48" s="72">
        <v>0</v>
      </c>
      <c r="DE48" s="72">
        <v>0</v>
      </c>
      <c r="DF48" s="72">
        <v>0</v>
      </c>
      <c r="DG48" s="72">
        <v>0</v>
      </c>
      <c r="DH48" s="72">
        <v>0</v>
      </c>
      <c r="DI48" s="72">
        <v>0</v>
      </c>
      <c r="DJ48" s="72">
        <v>0</v>
      </c>
      <c r="DK48" s="72">
        <v>0</v>
      </c>
      <c r="DL48" s="72">
        <v>0</v>
      </c>
      <c r="DM48" s="72">
        <v>0</v>
      </c>
      <c r="DN48" s="72">
        <v>0</v>
      </c>
      <c r="DO48" s="72">
        <v>0</v>
      </c>
      <c r="DP48" s="72">
        <v>0</v>
      </c>
      <c r="DQ48" s="72">
        <v>0</v>
      </c>
      <c r="DR48" s="72">
        <v>0</v>
      </c>
      <c r="DS48" s="72">
        <v>0</v>
      </c>
      <c r="DT48" s="72">
        <v>0</v>
      </c>
      <c r="DU48" s="72">
        <v>0</v>
      </c>
      <c r="DV48" s="72">
        <v>0</v>
      </c>
      <c r="DW48" s="72">
        <v>0</v>
      </c>
      <c r="DX48" s="72">
        <v>0</v>
      </c>
      <c r="DY48" s="72">
        <v>0</v>
      </c>
      <c r="DZ48" s="72">
        <v>0</v>
      </c>
      <c r="EA48" s="72">
        <v>0</v>
      </c>
      <c r="EB48" s="72">
        <v>0</v>
      </c>
      <c r="EC48" s="72">
        <v>0</v>
      </c>
      <c r="ED48" s="72">
        <v>0</v>
      </c>
      <c r="EE48" s="72">
        <v>0</v>
      </c>
      <c r="EF48" s="72">
        <v>0</v>
      </c>
      <c r="EG48" s="72">
        <v>0</v>
      </c>
      <c r="EH48" s="72">
        <v>0</v>
      </c>
      <c r="EI48" s="72">
        <v>0</v>
      </c>
      <c r="EJ48" s="72">
        <v>0</v>
      </c>
      <c r="EK48" s="72">
        <v>0</v>
      </c>
      <c r="EL48" s="72">
        <v>0</v>
      </c>
      <c r="EM48" s="72">
        <v>0</v>
      </c>
      <c r="EN48" s="72">
        <v>0</v>
      </c>
      <c r="EO48" s="72">
        <v>0</v>
      </c>
      <c r="EP48" s="72">
        <v>0</v>
      </c>
      <c r="EQ48" s="72">
        <v>196715.28271942021</v>
      </c>
      <c r="ER48" s="72">
        <v>0</v>
      </c>
      <c r="ES48" s="72">
        <v>0</v>
      </c>
      <c r="ET48" s="72">
        <v>0</v>
      </c>
      <c r="EU48" s="72">
        <v>0</v>
      </c>
      <c r="EV48" s="72">
        <v>0</v>
      </c>
      <c r="EW48" s="72">
        <v>0</v>
      </c>
      <c r="EX48" s="72">
        <v>0</v>
      </c>
      <c r="EY48" s="72">
        <v>0</v>
      </c>
      <c r="EZ48" s="72">
        <v>0</v>
      </c>
      <c r="FA48" s="72">
        <v>0</v>
      </c>
      <c r="FB48" s="72">
        <v>0</v>
      </c>
      <c r="FC48" s="72">
        <v>0</v>
      </c>
      <c r="FD48" s="72">
        <v>0</v>
      </c>
      <c r="FE48" s="72">
        <v>0</v>
      </c>
      <c r="FF48" s="72">
        <v>0</v>
      </c>
      <c r="FG48" s="72">
        <v>0</v>
      </c>
      <c r="FH48" s="72">
        <v>0</v>
      </c>
      <c r="FI48" s="72">
        <v>0</v>
      </c>
      <c r="FJ48" s="72">
        <v>0</v>
      </c>
      <c r="FK48" s="72">
        <v>0</v>
      </c>
      <c r="FL48" s="72">
        <v>0</v>
      </c>
      <c r="FM48" s="72">
        <v>0</v>
      </c>
      <c r="FN48" s="72">
        <v>0</v>
      </c>
      <c r="FO48" s="72">
        <v>0</v>
      </c>
      <c r="FP48" s="72">
        <v>0</v>
      </c>
      <c r="FQ48" s="72">
        <v>0</v>
      </c>
      <c r="FR48" s="72">
        <v>0</v>
      </c>
      <c r="FS48" s="72">
        <v>0</v>
      </c>
      <c r="FT48" s="72">
        <v>0</v>
      </c>
      <c r="FU48" s="72">
        <v>0</v>
      </c>
      <c r="FV48" s="72">
        <v>0</v>
      </c>
      <c r="FW48" s="72">
        <v>0</v>
      </c>
      <c r="FX48" s="72">
        <v>0</v>
      </c>
      <c r="FY48" s="72">
        <v>0</v>
      </c>
      <c r="FZ48" s="72">
        <v>0</v>
      </c>
      <c r="GA48" s="72">
        <v>0</v>
      </c>
      <c r="GB48" s="72">
        <v>0</v>
      </c>
      <c r="GC48" s="72">
        <v>0</v>
      </c>
      <c r="GD48" s="72">
        <v>0</v>
      </c>
      <c r="GE48" s="72">
        <v>0</v>
      </c>
      <c r="GF48" s="72">
        <v>0</v>
      </c>
      <c r="GG48" s="72">
        <v>0</v>
      </c>
      <c r="GH48" s="72">
        <v>0</v>
      </c>
      <c r="GI48" s="72">
        <v>0</v>
      </c>
      <c r="GJ48" s="72">
        <v>0</v>
      </c>
      <c r="GK48" s="72">
        <v>0</v>
      </c>
      <c r="GL48" s="72">
        <v>0</v>
      </c>
      <c r="GM48" s="72">
        <v>0</v>
      </c>
      <c r="GN48" s="72">
        <v>0</v>
      </c>
      <c r="GO48" s="72">
        <v>0</v>
      </c>
      <c r="GP48" s="72">
        <v>0</v>
      </c>
      <c r="GQ48" s="72">
        <v>0</v>
      </c>
      <c r="GR48" s="72">
        <f t="shared" si="0"/>
        <v>196715.28271942021</v>
      </c>
      <c r="GS48" s="72">
        <f>SUM(AS$5:AS$202)</f>
        <v>196715.28271942018</v>
      </c>
      <c r="GT48" s="73">
        <v>0</v>
      </c>
    </row>
    <row r="49" spans="1:202" outlineLevel="1" x14ac:dyDescent="0.2">
      <c r="A49" s="66" t="s">
        <v>366</v>
      </c>
      <c r="B49" s="72">
        <v>0</v>
      </c>
      <c r="C49" s="72">
        <v>0</v>
      </c>
      <c r="D49" s="72">
        <v>0</v>
      </c>
      <c r="E49" s="72">
        <v>0</v>
      </c>
      <c r="F49" s="72">
        <v>0</v>
      </c>
      <c r="G49" s="72">
        <v>0</v>
      </c>
      <c r="H49" s="72">
        <v>0</v>
      </c>
      <c r="I49" s="72">
        <v>0</v>
      </c>
      <c r="J49" s="72">
        <v>0</v>
      </c>
      <c r="K49" s="72">
        <v>0</v>
      </c>
      <c r="L49" s="72">
        <v>0</v>
      </c>
      <c r="M49" s="72">
        <v>0</v>
      </c>
      <c r="N49" s="72">
        <v>0</v>
      </c>
      <c r="O49" s="72">
        <v>0</v>
      </c>
      <c r="P49" s="72">
        <v>0</v>
      </c>
      <c r="Q49" s="72">
        <v>0</v>
      </c>
      <c r="R49" s="72">
        <v>0</v>
      </c>
      <c r="S49" s="72">
        <v>0</v>
      </c>
      <c r="T49" s="72">
        <v>0</v>
      </c>
      <c r="U49" s="72">
        <v>0</v>
      </c>
      <c r="V49" s="72">
        <v>0</v>
      </c>
      <c r="W49" s="72">
        <v>0</v>
      </c>
      <c r="X49" s="72">
        <v>0</v>
      </c>
      <c r="Y49" s="72">
        <v>0</v>
      </c>
      <c r="Z49" s="72">
        <v>0</v>
      </c>
      <c r="AA49" s="72">
        <v>0</v>
      </c>
      <c r="AB49" s="72">
        <v>0</v>
      </c>
      <c r="AC49" s="72">
        <v>0</v>
      </c>
      <c r="AD49" s="72">
        <v>0</v>
      </c>
      <c r="AE49" s="72">
        <v>0</v>
      </c>
      <c r="AF49" s="72">
        <v>0</v>
      </c>
      <c r="AG49" s="72">
        <v>0</v>
      </c>
      <c r="AH49" s="72">
        <v>0</v>
      </c>
      <c r="AI49" s="72">
        <v>0</v>
      </c>
      <c r="AJ49" s="72">
        <v>0</v>
      </c>
      <c r="AK49" s="72">
        <v>0</v>
      </c>
      <c r="AL49" s="72">
        <v>0</v>
      </c>
      <c r="AM49" s="72">
        <v>0</v>
      </c>
      <c r="AN49" s="72">
        <v>0</v>
      </c>
      <c r="AO49" s="72">
        <v>0</v>
      </c>
      <c r="AP49" s="72">
        <v>0</v>
      </c>
      <c r="AQ49" s="72">
        <v>0</v>
      </c>
      <c r="AR49" s="72">
        <v>0</v>
      </c>
      <c r="AS49" s="72">
        <v>0</v>
      </c>
      <c r="AT49" s="72">
        <v>0</v>
      </c>
      <c r="AU49" s="72">
        <v>0</v>
      </c>
      <c r="AV49" s="72">
        <v>0</v>
      </c>
      <c r="AW49" s="72">
        <v>0</v>
      </c>
      <c r="AX49" s="72">
        <v>0</v>
      </c>
      <c r="AY49" s="72">
        <v>0</v>
      </c>
      <c r="AZ49" s="72">
        <v>0</v>
      </c>
      <c r="BA49" s="72">
        <v>0</v>
      </c>
      <c r="BB49" s="72">
        <v>0</v>
      </c>
      <c r="BC49" s="72">
        <v>0</v>
      </c>
      <c r="BD49" s="72">
        <v>0</v>
      </c>
      <c r="BE49" s="72">
        <v>0</v>
      </c>
      <c r="BF49" s="72">
        <v>0</v>
      </c>
      <c r="BG49" s="72">
        <v>0</v>
      </c>
      <c r="BH49" s="72">
        <v>0</v>
      </c>
      <c r="BI49" s="72">
        <v>0</v>
      </c>
      <c r="BJ49" s="72">
        <v>0</v>
      </c>
      <c r="BK49" s="72">
        <v>0</v>
      </c>
      <c r="BL49" s="72">
        <v>0</v>
      </c>
      <c r="BM49" s="72">
        <v>0</v>
      </c>
      <c r="BN49" s="72">
        <v>0</v>
      </c>
      <c r="BO49" s="72">
        <v>0</v>
      </c>
      <c r="BP49" s="72">
        <v>0</v>
      </c>
      <c r="BQ49" s="72">
        <v>0</v>
      </c>
      <c r="BR49" s="72">
        <v>0</v>
      </c>
      <c r="BS49" s="72">
        <v>0</v>
      </c>
      <c r="BT49" s="72">
        <v>0</v>
      </c>
      <c r="BU49" s="72">
        <v>0</v>
      </c>
      <c r="BV49" s="72">
        <v>0</v>
      </c>
      <c r="BW49" s="72">
        <v>0</v>
      </c>
      <c r="BX49" s="72">
        <v>0</v>
      </c>
      <c r="BY49" s="72">
        <v>0</v>
      </c>
      <c r="BZ49" s="72">
        <v>0</v>
      </c>
      <c r="CA49" s="72">
        <v>0</v>
      </c>
      <c r="CB49" s="72">
        <v>0</v>
      </c>
      <c r="CC49" s="72">
        <v>0</v>
      </c>
      <c r="CD49" s="72">
        <v>0</v>
      </c>
      <c r="CE49" s="72">
        <v>0</v>
      </c>
      <c r="CF49" s="72">
        <v>0</v>
      </c>
      <c r="CG49" s="72">
        <v>0</v>
      </c>
      <c r="CH49" s="72">
        <v>0</v>
      </c>
      <c r="CI49" s="72">
        <v>0</v>
      </c>
      <c r="CJ49" s="72">
        <v>0</v>
      </c>
      <c r="CK49" s="72">
        <v>0</v>
      </c>
      <c r="CL49" s="72">
        <v>0</v>
      </c>
      <c r="CM49" s="72">
        <v>0</v>
      </c>
      <c r="CN49" s="72">
        <v>0</v>
      </c>
      <c r="CO49" s="72">
        <v>0</v>
      </c>
      <c r="CP49" s="72">
        <v>0</v>
      </c>
      <c r="CQ49" s="72">
        <v>0</v>
      </c>
      <c r="CR49" s="72">
        <v>0</v>
      </c>
      <c r="CS49" s="72">
        <v>0</v>
      </c>
      <c r="CT49" s="72">
        <v>0</v>
      </c>
      <c r="CU49" s="72">
        <v>0</v>
      </c>
      <c r="CV49" s="72">
        <v>0</v>
      </c>
      <c r="CW49" s="72">
        <v>0</v>
      </c>
      <c r="CX49" s="72">
        <v>0</v>
      </c>
      <c r="CY49" s="72">
        <v>0</v>
      </c>
      <c r="CZ49" s="72">
        <v>0</v>
      </c>
      <c r="DA49" s="72">
        <v>0</v>
      </c>
      <c r="DB49" s="72">
        <v>0</v>
      </c>
      <c r="DC49" s="72">
        <v>0</v>
      </c>
      <c r="DD49" s="72">
        <v>0</v>
      </c>
      <c r="DE49" s="72">
        <v>0</v>
      </c>
      <c r="DF49" s="72">
        <v>0</v>
      </c>
      <c r="DG49" s="72">
        <v>0</v>
      </c>
      <c r="DH49" s="72">
        <v>0</v>
      </c>
      <c r="DI49" s="72">
        <v>0</v>
      </c>
      <c r="DJ49" s="72">
        <v>0</v>
      </c>
      <c r="DK49" s="72">
        <v>0</v>
      </c>
      <c r="DL49" s="72">
        <v>0</v>
      </c>
      <c r="DM49" s="72">
        <v>0</v>
      </c>
      <c r="DN49" s="72">
        <v>0</v>
      </c>
      <c r="DO49" s="72">
        <v>0</v>
      </c>
      <c r="DP49" s="72">
        <v>0</v>
      </c>
      <c r="DQ49" s="72">
        <v>0</v>
      </c>
      <c r="DR49" s="72">
        <v>0</v>
      </c>
      <c r="DS49" s="72">
        <v>0</v>
      </c>
      <c r="DT49" s="72">
        <v>0</v>
      </c>
      <c r="DU49" s="72">
        <v>0</v>
      </c>
      <c r="DV49" s="72">
        <v>0</v>
      </c>
      <c r="DW49" s="72">
        <v>0</v>
      </c>
      <c r="DX49" s="72">
        <v>0</v>
      </c>
      <c r="DY49" s="72">
        <v>0</v>
      </c>
      <c r="DZ49" s="72">
        <v>0</v>
      </c>
      <c r="EA49" s="72">
        <v>0</v>
      </c>
      <c r="EB49" s="72">
        <v>107996.67826077109</v>
      </c>
      <c r="EC49" s="72">
        <v>0</v>
      </c>
      <c r="ED49" s="72">
        <v>0</v>
      </c>
      <c r="EE49" s="72">
        <v>0</v>
      </c>
      <c r="EF49" s="72">
        <v>0</v>
      </c>
      <c r="EG49" s="72">
        <v>0</v>
      </c>
      <c r="EH49" s="72">
        <v>0</v>
      </c>
      <c r="EI49" s="72">
        <v>0</v>
      </c>
      <c r="EJ49" s="72">
        <v>0</v>
      </c>
      <c r="EK49" s="72">
        <v>0</v>
      </c>
      <c r="EL49" s="72">
        <v>0</v>
      </c>
      <c r="EM49" s="72">
        <v>0</v>
      </c>
      <c r="EN49" s="72">
        <v>0</v>
      </c>
      <c r="EO49" s="72">
        <v>0</v>
      </c>
      <c r="EP49" s="72">
        <v>0</v>
      </c>
      <c r="EQ49" s="72">
        <v>0</v>
      </c>
      <c r="ER49" s="72">
        <v>24245.916294107872</v>
      </c>
      <c r="ES49" s="72">
        <v>0</v>
      </c>
      <c r="ET49" s="72">
        <v>0</v>
      </c>
      <c r="EU49" s="72">
        <v>0</v>
      </c>
      <c r="EV49" s="72">
        <v>0</v>
      </c>
      <c r="EW49" s="72">
        <v>0</v>
      </c>
      <c r="EX49" s="72">
        <v>0</v>
      </c>
      <c r="EY49" s="72">
        <v>0</v>
      </c>
      <c r="EZ49" s="72">
        <v>0</v>
      </c>
      <c r="FA49" s="72">
        <v>1100.9587243918745</v>
      </c>
      <c r="FB49" s="72">
        <v>0</v>
      </c>
      <c r="FC49" s="72">
        <v>0</v>
      </c>
      <c r="FD49" s="72">
        <v>12169.586592629352</v>
      </c>
      <c r="FE49" s="72">
        <v>235970.29047134603</v>
      </c>
      <c r="FF49" s="72">
        <v>1963.3742174436279</v>
      </c>
      <c r="FG49" s="72">
        <v>0</v>
      </c>
      <c r="FH49" s="72">
        <v>0</v>
      </c>
      <c r="FI49" s="72">
        <v>0</v>
      </c>
      <c r="FJ49" s="72">
        <v>0</v>
      </c>
      <c r="FK49" s="72">
        <v>0</v>
      </c>
      <c r="FL49" s="72">
        <v>0</v>
      </c>
      <c r="FM49" s="72">
        <v>0</v>
      </c>
      <c r="FN49" s="72">
        <v>0</v>
      </c>
      <c r="FO49" s="72">
        <v>0</v>
      </c>
      <c r="FP49" s="72">
        <v>0</v>
      </c>
      <c r="FQ49" s="72">
        <v>0</v>
      </c>
      <c r="FR49" s="72">
        <v>0</v>
      </c>
      <c r="FS49" s="72">
        <v>0</v>
      </c>
      <c r="FT49" s="72">
        <v>0</v>
      </c>
      <c r="FU49" s="72">
        <v>0</v>
      </c>
      <c r="FV49" s="72">
        <v>0</v>
      </c>
      <c r="FW49" s="72">
        <v>0</v>
      </c>
      <c r="FX49" s="72">
        <v>0</v>
      </c>
      <c r="FY49" s="72">
        <v>0</v>
      </c>
      <c r="FZ49" s="72">
        <v>0</v>
      </c>
      <c r="GA49" s="72">
        <v>0</v>
      </c>
      <c r="GB49" s="72">
        <v>0</v>
      </c>
      <c r="GC49" s="72">
        <v>0</v>
      </c>
      <c r="GD49" s="72">
        <v>0</v>
      </c>
      <c r="GE49" s="72">
        <v>0</v>
      </c>
      <c r="GF49" s="72">
        <v>0</v>
      </c>
      <c r="GG49" s="72">
        <v>0</v>
      </c>
      <c r="GH49" s="72">
        <v>0</v>
      </c>
      <c r="GI49" s="72">
        <v>0</v>
      </c>
      <c r="GJ49" s="72">
        <v>0</v>
      </c>
      <c r="GK49" s="72">
        <v>0</v>
      </c>
      <c r="GL49" s="72">
        <v>0</v>
      </c>
      <c r="GM49" s="72">
        <v>0</v>
      </c>
      <c r="GN49" s="72">
        <v>0</v>
      </c>
      <c r="GO49" s="72">
        <v>0</v>
      </c>
      <c r="GP49" s="72">
        <v>0</v>
      </c>
      <c r="GQ49" s="72">
        <v>0</v>
      </c>
      <c r="GR49" s="72">
        <f t="shared" si="0"/>
        <v>383446.80456068984</v>
      </c>
      <c r="GS49" s="72">
        <f>SUM(AT$5:AT$202)</f>
        <v>383446.80456068995</v>
      </c>
      <c r="GT49" s="73">
        <v>0</v>
      </c>
    </row>
    <row r="50" spans="1:202" outlineLevel="1" x14ac:dyDescent="0.2">
      <c r="A50" s="66" t="s">
        <v>370</v>
      </c>
      <c r="B50" s="72">
        <v>0</v>
      </c>
      <c r="C50" s="72">
        <v>0</v>
      </c>
      <c r="D50" s="72">
        <v>0</v>
      </c>
      <c r="E50" s="72">
        <v>0</v>
      </c>
      <c r="F50" s="72">
        <v>0</v>
      </c>
      <c r="G50" s="72">
        <v>0</v>
      </c>
      <c r="H50" s="72">
        <v>0</v>
      </c>
      <c r="I50" s="72">
        <v>0</v>
      </c>
      <c r="J50" s="72">
        <v>0</v>
      </c>
      <c r="K50" s="72">
        <v>0</v>
      </c>
      <c r="L50" s="72">
        <v>0</v>
      </c>
      <c r="M50" s="72">
        <v>0</v>
      </c>
      <c r="N50" s="72">
        <v>0</v>
      </c>
      <c r="O50" s="72">
        <v>0</v>
      </c>
      <c r="P50" s="72">
        <v>0</v>
      </c>
      <c r="Q50" s="72">
        <v>0</v>
      </c>
      <c r="R50" s="72">
        <v>0</v>
      </c>
      <c r="S50" s="72">
        <v>0</v>
      </c>
      <c r="T50" s="72">
        <v>0</v>
      </c>
      <c r="U50" s="72">
        <v>0</v>
      </c>
      <c r="V50" s="72">
        <v>0</v>
      </c>
      <c r="W50" s="72">
        <v>0</v>
      </c>
      <c r="X50" s="72">
        <v>0</v>
      </c>
      <c r="Y50" s="72">
        <v>0</v>
      </c>
      <c r="Z50" s="72">
        <v>0</v>
      </c>
      <c r="AA50" s="72">
        <v>0</v>
      </c>
      <c r="AB50" s="72">
        <v>0</v>
      </c>
      <c r="AC50" s="72">
        <v>0</v>
      </c>
      <c r="AD50" s="72">
        <v>0</v>
      </c>
      <c r="AE50" s="72">
        <v>0</v>
      </c>
      <c r="AF50" s="72">
        <v>0</v>
      </c>
      <c r="AG50" s="72">
        <v>0</v>
      </c>
      <c r="AH50" s="72">
        <v>0</v>
      </c>
      <c r="AI50" s="72">
        <v>0</v>
      </c>
      <c r="AJ50" s="72">
        <v>0</v>
      </c>
      <c r="AK50" s="72">
        <v>0</v>
      </c>
      <c r="AL50" s="72">
        <v>0</v>
      </c>
      <c r="AM50" s="72">
        <v>0</v>
      </c>
      <c r="AN50" s="72">
        <v>0</v>
      </c>
      <c r="AO50" s="72">
        <v>0</v>
      </c>
      <c r="AP50" s="72">
        <v>0</v>
      </c>
      <c r="AQ50" s="72">
        <v>0</v>
      </c>
      <c r="AR50" s="72">
        <v>0</v>
      </c>
      <c r="AS50" s="72">
        <v>0</v>
      </c>
      <c r="AT50" s="72">
        <v>0</v>
      </c>
      <c r="AU50" s="72">
        <v>0</v>
      </c>
      <c r="AV50" s="72">
        <v>0</v>
      </c>
      <c r="AW50" s="72">
        <v>0</v>
      </c>
      <c r="AX50" s="72">
        <v>0</v>
      </c>
      <c r="AY50" s="72">
        <v>0</v>
      </c>
      <c r="AZ50" s="72">
        <v>0</v>
      </c>
      <c r="BA50" s="72">
        <v>0</v>
      </c>
      <c r="BB50" s="72">
        <v>0</v>
      </c>
      <c r="BC50" s="72">
        <v>0</v>
      </c>
      <c r="BD50" s="72">
        <v>0</v>
      </c>
      <c r="BE50" s="72">
        <v>0</v>
      </c>
      <c r="BF50" s="72">
        <v>0</v>
      </c>
      <c r="BG50" s="72">
        <v>0</v>
      </c>
      <c r="BH50" s="72">
        <v>0</v>
      </c>
      <c r="BI50" s="72">
        <v>0</v>
      </c>
      <c r="BJ50" s="72">
        <v>0</v>
      </c>
      <c r="BK50" s="72">
        <v>0</v>
      </c>
      <c r="BL50" s="72">
        <v>0</v>
      </c>
      <c r="BM50" s="72">
        <v>0</v>
      </c>
      <c r="BN50" s="72">
        <v>0</v>
      </c>
      <c r="BO50" s="72">
        <v>0</v>
      </c>
      <c r="BP50" s="72">
        <v>0</v>
      </c>
      <c r="BQ50" s="72">
        <v>0</v>
      </c>
      <c r="BR50" s="72">
        <v>0</v>
      </c>
      <c r="BS50" s="72">
        <v>0</v>
      </c>
      <c r="BT50" s="72">
        <v>0</v>
      </c>
      <c r="BU50" s="72">
        <v>0</v>
      </c>
      <c r="BV50" s="72">
        <v>0</v>
      </c>
      <c r="BW50" s="72">
        <v>0</v>
      </c>
      <c r="BX50" s="72">
        <v>0</v>
      </c>
      <c r="BY50" s="72">
        <v>0</v>
      </c>
      <c r="BZ50" s="72">
        <v>0</v>
      </c>
      <c r="CA50" s="72">
        <v>0</v>
      </c>
      <c r="CB50" s="72">
        <v>0</v>
      </c>
      <c r="CC50" s="72">
        <v>0</v>
      </c>
      <c r="CD50" s="72">
        <v>0</v>
      </c>
      <c r="CE50" s="72">
        <v>0</v>
      </c>
      <c r="CF50" s="72">
        <v>0</v>
      </c>
      <c r="CG50" s="72">
        <v>0</v>
      </c>
      <c r="CH50" s="72">
        <v>0</v>
      </c>
      <c r="CI50" s="72">
        <v>0</v>
      </c>
      <c r="CJ50" s="72">
        <v>0</v>
      </c>
      <c r="CK50" s="72">
        <v>0</v>
      </c>
      <c r="CL50" s="72">
        <v>0</v>
      </c>
      <c r="CM50" s="72">
        <v>0</v>
      </c>
      <c r="CN50" s="72">
        <v>0</v>
      </c>
      <c r="CO50" s="72">
        <v>0</v>
      </c>
      <c r="CP50" s="72">
        <v>0</v>
      </c>
      <c r="CQ50" s="72">
        <v>0</v>
      </c>
      <c r="CR50" s="72">
        <v>0</v>
      </c>
      <c r="CS50" s="72">
        <v>0</v>
      </c>
      <c r="CT50" s="72">
        <v>0</v>
      </c>
      <c r="CU50" s="72">
        <v>0</v>
      </c>
      <c r="CV50" s="72">
        <v>0</v>
      </c>
      <c r="CW50" s="72">
        <v>0</v>
      </c>
      <c r="CX50" s="72">
        <v>0</v>
      </c>
      <c r="CY50" s="72">
        <v>0</v>
      </c>
      <c r="CZ50" s="72">
        <v>0</v>
      </c>
      <c r="DA50" s="72">
        <v>0</v>
      </c>
      <c r="DB50" s="72">
        <v>0</v>
      </c>
      <c r="DC50" s="72">
        <v>0</v>
      </c>
      <c r="DD50" s="72">
        <v>0</v>
      </c>
      <c r="DE50" s="72">
        <v>0</v>
      </c>
      <c r="DF50" s="72">
        <v>0</v>
      </c>
      <c r="DG50" s="72">
        <v>0</v>
      </c>
      <c r="DH50" s="72">
        <v>0</v>
      </c>
      <c r="DI50" s="72">
        <v>0</v>
      </c>
      <c r="DJ50" s="72">
        <v>0</v>
      </c>
      <c r="DK50" s="72">
        <v>0</v>
      </c>
      <c r="DL50" s="72">
        <v>0</v>
      </c>
      <c r="DM50" s="72">
        <v>0</v>
      </c>
      <c r="DN50" s="72">
        <v>0</v>
      </c>
      <c r="DO50" s="72">
        <v>0</v>
      </c>
      <c r="DP50" s="72">
        <v>0</v>
      </c>
      <c r="DQ50" s="72">
        <v>0</v>
      </c>
      <c r="DR50" s="72">
        <v>0</v>
      </c>
      <c r="DS50" s="72">
        <v>0</v>
      </c>
      <c r="DT50" s="72">
        <v>0</v>
      </c>
      <c r="DU50" s="72">
        <v>0</v>
      </c>
      <c r="DV50" s="72">
        <v>0</v>
      </c>
      <c r="DW50" s="72">
        <v>0</v>
      </c>
      <c r="DX50" s="72">
        <v>0</v>
      </c>
      <c r="DY50" s="72">
        <v>0</v>
      </c>
      <c r="DZ50" s="72">
        <v>0</v>
      </c>
      <c r="EA50" s="72">
        <v>0</v>
      </c>
      <c r="EB50" s="72">
        <v>0</v>
      </c>
      <c r="EC50" s="72">
        <v>0</v>
      </c>
      <c r="ED50" s="72">
        <v>0</v>
      </c>
      <c r="EE50" s="72">
        <v>0</v>
      </c>
      <c r="EF50" s="72">
        <v>0</v>
      </c>
      <c r="EG50" s="72">
        <v>0</v>
      </c>
      <c r="EH50" s="72">
        <v>0</v>
      </c>
      <c r="EI50" s="72">
        <v>0</v>
      </c>
      <c r="EJ50" s="72">
        <v>0</v>
      </c>
      <c r="EK50" s="72">
        <v>0</v>
      </c>
      <c r="EL50" s="72">
        <v>0</v>
      </c>
      <c r="EM50" s="72">
        <v>0</v>
      </c>
      <c r="EN50" s="72">
        <v>0</v>
      </c>
      <c r="EO50" s="72">
        <v>0</v>
      </c>
      <c r="EP50" s="72">
        <v>0</v>
      </c>
      <c r="EQ50" s="72">
        <v>0</v>
      </c>
      <c r="ER50" s="72">
        <v>0</v>
      </c>
      <c r="ES50" s="72">
        <v>0</v>
      </c>
      <c r="ET50" s="72">
        <v>0</v>
      </c>
      <c r="EU50" s="72">
        <v>171089.50105930478</v>
      </c>
      <c r="EV50" s="72">
        <v>132169.46239068892</v>
      </c>
      <c r="EW50" s="72">
        <v>0</v>
      </c>
      <c r="EX50" s="72">
        <v>0</v>
      </c>
      <c r="EY50" s="72">
        <v>0</v>
      </c>
      <c r="EZ50" s="72">
        <v>2469.8226290063485</v>
      </c>
      <c r="FA50" s="72">
        <v>0</v>
      </c>
      <c r="FB50" s="72">
        <v>0</v>
      </c>
      <c r="FC50" s="72">
        <v>0</v>
      </c>
      <c r="FD50" s="72">
        <v>0</v>
      </c>
      <c r="FE50" s="72">
        <v>0</v>
      </c>
      <c r="FF50" s="72">
        <v>0</v>
      </c>
      <c r="FG50" s="72">
        <v>0</v>
      </c>
      <c r="FH50" s="72">
        <v>0</v>
      </c>
      <c r="FI50" s="72">
        <v>0</v>
      </c>
      <c r="FJ50" s="72">
        <v>0</v>
      </c>
      <c r="FK50" s="72">
        <v>0</v>
      </c>
      <c r="FL50" s="72">
        <v>0</v>
      </c>
      <c r="FM50" s="72">
        <v>0</v>
      </c>
      <c r="FN50" s="72">
        <v>0</v>
      </c>
      <c r="FO50" s="72">
        <v>0</v>
      </c>
      <c r="FP50" s="72">
        <v>0</v>
      </c>
      <c r="FQ50" s="72">
        <v>0</v>
      </c>
      <c r="FR50" s="72">
        <v>0</v>
      </c>
      <c r="FS50" s="72">
        <v>0</v>
      </c>
      <c r="FT50" s="72">
        <v>0</v>
      </c>
      <c r="FU50" s="72">
        <v>0</v>
      </c>
      <c r="FV50" s="72">
        <v>0</v>
      </c>
      <c r="FW50" s="72">
        <v>0</v>
      </c>
      <c r="FX50" s="72">
        <v>0</v>
      </c>
      <c r="FY50" s="72">
        <v>0</v>
      </c>
      <c r="FZ50" s="72">
        <v>0</v>
      </c>
      <c r="GA50" s="72">
        <v>0</v>
      </c>
      <c r="GB50" s="72">
        <v>0</v>
      </c>
      <c r="GC50" s="72">
        <v>0</v>
      </c>
      <c r="GD50" s="72">
        <v>0</v>
      </c>
      <c r="GE50" s="72">
        <v>0</v>
      </c>
      <c r="GF50" s="72">
        <v>0</v>
      </c>
      <c r="GG50" s="72">
        <v>0</v>
      </c>
      <c r="GH50" s="72">
        <v>0</v>
      </c>
      <c r="GI50" s="72">
        <v>0</v>
      </c>
      <c r="GJ50" s="72">
        <v>0</v>
      </c>
      <c r="GK50" s="72">
        <v>0</v>
      </c>
      <c r="GL50" s="72">
        <v>0</v>
      </c>
      <c r="GM50" s="72">
        <v>0</v>
      </c>
      <c r="GN50" s="72">
        <v>0</v>
      </c>
      <c r="GO50" s="72">
        <v>0</v>
      </c>
      <c r="GP50" s="72">
        <v>0</v>
      </c>
      <c r="GQ50" s="72">
        <v>0</v>
      </c>
      <c r="GR50" s="72">
        <f t="shared" si="0"/>
        <v>305728.78607900004</v>
      </c>
      <c r="GS50" s="72">
        <f>SUM(AU$5:AU$202)</f>
        <v>305728.78607900004</v>
      </c>
      <c r="GT50" s="73">
        <v>0</v>
      </c>
    </row>
    <row r="51" spans="1:202" outlineLevel="1" x14ac:dyDescent="0.2">
      <c r="A51" s="66" t="s">
        <v>382</v>
      </c>
      <c r="B51" s="72">
        <v>0</v>
      </c>
      <c r="C51" s="72">
        <v>0</v>
      </c>
      <c r="D51" s="72">
        <v>0</v>
      </c>
      <c r="E51" s="72">
        <v>0</v>
      </c>
      <c r="F51" s="72">
        <v>0</v>
      </c>
      <c r="G51" s="72">
        <v>0</v>
      </c>
      <c r="H51" s="72">
        <v>0</v>
      </c>
      <c r="I51" s="72">
        <v>0</v>
      </c>
      <c r="J51" s="72">
        <v>0</v>
      </c>
      <c r="K51" s="72">
        <v>0</v>
      </c>
      <c r="L51" s="72">
        <v>0</v>
      </c>
      <c r="M51" s="72">
        <v>0</v>
      </c>
      <c r="N51" s="72">
        <v>0</v>
      </c>
      <c r="O51" s="72">
        <v>0</v>
      </c>
      <c r="P51" s="72">
        <v>0</v>
      </c>
      <c r="Q51" s="72">
        <v>0</v>
      </c>
      <c r="R51" s="72">
        <v>0</v>
      </c>
      <c r="S51" s="72">
        <v>0</v>
      </c>
      <c r="T51" s="72">
        <v>0</v>
      </c>
      <c r="U51" s="72">
        <v>0</v>
      </c>
      <c r="V51" s="72">
        <v>0</v>
      </c>
      <c r="W51" s="72">
        <v>0</v>
      </c>
      <c r="X51" s="72">
        <v>0</v>
      </c>
      <c r="Y51" s="72">
        <v>0</v>
      </c>
      <c r="Z51" s="72">
        <v>0</v>
      </c>
      <c r="AA51" s="72">
        <v>0</v>
      </c>
      <c r="AB51" s="72">
        <v>0</v>
      </c>
      <c r="AC51" s="72">
        <v>0</v>
      </c>
      <c r="AD51" s="72">
        <v>0</v>
      </c>
      <c r="AE51" s="72">
        <v>0</v>
      </c>
      <c r="AF51" s="72">
        <v>0</v>
      </c>
      <c r="AG51" s="72">
        <v>0</v>
      </c>
      <c r="AH51" s="72">
        <v>0</v>
      </c>
      <c r="AI51" s="72">
        <v>0</v>
      </c>
      <c r="AJ51" s="72">
        <v>0</v>
      </c>
      <c r="AK51" s="72">
        <v>0</v>
      </c>
      <c r="AL51" s="72">
        <v>0</v>
      </c>
      <c r="AM51" s="72">
        <v>0</v>
      </c>
      <c r="AN51" s="72">
        <v>0</v>
      </c>
      <c r="AO51" s="72">
        <v>0</v>
      </c>
      <c r="AP51" s="72">
        <v>0</v>
      </c>
      <c r="AQ51" s="72">
        <v>0</v>
      </c>
      <c r="AR51" s="72">
        <v>0</v>
      </c>
      <c r="AS51" s="72">
        <v>0</v>
      </c>
      <c r="AT51" s="72">
        <v>0</v>
      </c>
      <c r="AU51" s="72">
        <v>0</v>
      </c>
      <c r="AV51" s="72">
        <v>0</v>
      </c>
      <c r="AW51" s="72">
        <v>0</v>
      </c>
      <c r="AX51" s="72">
        <v>0</v>
      </c>
      <c r="AY51" s="72">
        <v>0</v>
      </c>
      <c r="AZ51" s="72">
        <v>0</v>
      </c>
      <c r="BA51" s="72">
        <v>0</v>
      </c>
      <c r="BB51" s="72">
        <v>0</v>
      </c>
      <c r="BC51" s="72">
        <v>0</v>
      </c>
      <c r="BD51" s="72">
        <v>0</v>
      </c>
      <c r="BE51" s="72">
        <v>0</v>
      </c>
      <c r="BF51" s="72">
        <v>0</v>
      </c>
      <c r="BG51" s="72">
        <v>0</v>
      </c>
      <c r="BH51" s="72">
        <v>0</v>
      </c>
      <c r="BI51" s="72">
        <v>0</v>
      </c>
      <c r="BJ51" s="72">
        <v>0</v>
      </c>
      <c r="BK51" s="72">
        <v>0</v>
      </c>
      <c r="BL51" s="72">
        <v>0</v>
      </c>
      <c r="BM51" s="72">
        <v>0</v>
      </c>
      <c r="BN51" s="72">
        <v>0</v>
      </c>
      <c r="BO51" s="72">
        <v>0</v>
      </c>
      <c r="BP51" s="72">
        <v>0</v>
      </c>
      <c r="BQ51" s="72">
        <v>0</v>
      </c>
      <c r="BR51" s="72">
        <v>0</v>
      </c>
      <c r="BS51" s="72">
        <v>0</v>
      </c>
      <c r="BT51" s="72">
        <v>0</v>
      </c>
      <c r="BU51" s="72">
        <v>0</v>
      </c>
      <c r="BV51" s="72">
        <v>0</v>
      </c>
      <c r="BW51" s="72">
        <v>0</v>
      </c>
      <c r="BX51" s="72">
        <v>0</v>
      </c>
      <c r="BY51" s="72">
        <v>0</v>
      </c>
      <c r="BZ51" s="72">
        <v>0</v>
      </c>
      <c r="CA51" s="72">
        <v>0</v>
      </c>
      <c r="CB51" s="72">
        <v>0</v>
      </c>
      <c r="CC51" s="72">
        <v>0</v>
      </c>
      <c r="CD51" s="72">
        <v>0</v>
      </c>
      <c r="CE51" s="72">
        <v>0</v>
      </c>
      <c r="CF51" s="72">
        <v>0</v>
      </c>
      <c r="CG51" s="72">
        <v>0</v>
      </c>
      <c r="CH51" s="72">
        <v>0</v>
      </c>
      <c r="CI51" s="72">
        <v>0</v>
      </c>
      <c r="CJ51" s="72">
        <v>0</v>
      </c>
      <c r="CK51" s="72">
        <v>0</v>
      </c>
      <c r="CL51" s="72">
        <v>0</v>
      </c>
      <c r="CM51" s="72">
        <v>0</v>
      </c>
      <c r="CN51" s="72">
        <v>0</v>
      </c>
      <c r="CO51" s="72">
        <v>0</v>
      </c>
      <c r="CP51" s="72">
        <v>0</v>
      </c>
      <c r="CQ51" s="72">
        <v>0</v>
      </c>
      <c r="CR51" s="72">
        <v>0</v>
      </c>
      <c r="CS51" s="72">
        <v>0</v>
      </c>
      <c r="CT51" s="72">
        <v>0</v>
      </c>
      <c r="CU51" s="72">
        <v>0</v>
      </c>
      <c r="CV51" s="72">
        <v>0</v>
      </c>
      <c r="CW51" s="72">
        <v>0</v>
      </c>
      <c r="CX51" s="72">
        <v>0</v>
      </c>
      <c r="CY51" s="72">
        <v>0</v>
      </c>
      <c r="CZ51" s="72">
        <v>0</v>
      </c>
      <c r="DA51" s="72">
        <v>0</v>
      </c>
      <c r="DB51" s="72">
        <v>0</v>
      </c>
      <c r="DC51" s="72">
        <v>0</v>
      </c>
      <c r="DD51" s="72">
        <v>0</v>
      </c>
      <c r="DE51" s="72">
        <v>0</v>
      </c>
      <c r="DF51" s="72">
        <v>0</v>
      </c>
      <c r="DG51" s="72">
        <v>0</v>
      </c>
      <c r="DH51" s="72">
        <v>0</v>
      </c>
      <c r="DI51" s="72">
        <v>0</v>
      </c>
      <c r="DJ51" s="72">
        <v>0</v>
      </c>
      <c r="DK51" s="72">
        <v>0</v>
      </c>
      <c r="DL51" s="72">
        <v>0</v>
      </c>
      <c r="DM51" s="72">
        <v>0</v>
      </c>
      <c r="DN51" s="72">
        <v>0</v>
      </c>
      <c r="DO51" s="72">
        <v>0</v>
      </c>
      <c r="DP51" s="72">
        <v>0</v>
      </c>
      <c r="DQ51" s="72">
        <v>0</v>
      </c>
      <c r="DR51" s="72">
        <v>0</v>
      </c>
      <c r="DS51" s="72">
        <v>0</v>
      </c>
      <c r="DT51" s="72">
        <v>0</v>
      </c>
      <c r="DU51" s="72">
        <v>0</v>
      </c>
      <c r="DV51" s="72">
        <v>0</v>
      </c>
      <c r="DW51" s="72">
        <v>0</v>
      </c>
      <c r="DX51" s="72">
        <v>0</v>
      </c>
      <c r="DY51" s="72">
        <v>0</v>
      </c>
      <c r="DZ51" s="72">
        <v>0</v>
      </c>
      <c r="EA51" s="72">
        <v>0</v>
      </c>
      <c r="EB51" s="72">
        <v>0</v>
      </c>
      <c r="EC51" s="72">
        <v>0</v>
      </c>
      <c r="ED51" s="72">
        <v>0</v>
      </c>
      <c r="EE51" s="72">
        <v>0</v>
      </c>
      <c r="EF51" s="72">
        <v>0</v>
      </c>
      <c r="EG51" s="72">
        <v>0</v>
      </c>
      <c r="EH51" s="72">
        <v>0</v>
      </c>
      <c r="EI51" s="72">
        <v>0</v>
      </c>
      <c r="EJ51" s="72">
        <v>0</v>
      </c>
      <c r="EK51" s="72">
        <v>0</v>
      </c>
      <c r="EL51" s="72">
        <v>0</v>
      </c>
      <c r="EM51" s="72">
        <v>0</v>
      </c>
      <c r="EN51" s="72">
        <v>0</v>
      </c>
      <c r="EO51" s="72">
        <v>0</v>
      </c>
      <c r="EP51" s="72">
        <v>0</v>
      </c>
      <c r="EQ51" s="72">
        <v>0</v>
      </c>
      <c r="ER51" s="72">
        <v>0</v>
      </c>
      <c r="ES51" s="72">
        <v>0</v>
      </c>
      <c r="ET51" s="72">
        <v>0</v>
      </c>
      <c r="EU51" s="72">
        <v>0</v>
      </c>
      <c r="EV51" s="72">
        <v>0</v>
      </c>
      <c r="EW51" s="72">
        <v>0</v>
      </c>
      <c r="EX51" s="72">
        <v>124950</v>
      </c>
      <c r="EY51" s="72">
        <v>0</v>
      </c>
      <c r="EZ51" s="72">
        <v>0</v>
      </c>
      <c r="FA51" s="72">
        <v>0</v>
      </c>
      <c r="FB51" s="72">
        <v>0</v>
      </c>
      <c r="FC51" s="72">
        <v>0</v>
      </c>
      <c r="FD51" s="72">
        <v>0</v>
      </c>
      <c r="FE51" s="72">
        <v>0</v>
      </c>
      <c r="FF51" s="72">
        <v>0</v>
      </c>
      <c r="FG51" s="72">
        <v>0</v>
      </c>
      <c r="FH51" s="72">
        <v>0</v>
      </c>
      <c r="FI51" s="72">
        <v>0</v>
      </c>
      <c r="FJ51" s="72">
        <v>0</v>
      </c>
      <c r="FK51" s="72">
        <v>0</v>
      </c>
      <c r="FL51" s="72">
        <v>0</v>
      </c>
      <c r="FM51" s="72">
        <v>0</v>
      </c>
      <c r="FN51" s="72">
        <v>0</v>
      </c>
      <c r="FO51" s="72">
        <v>0</v>
      </c>
      <c r="FP51" s="72">
        <v>0</v>
      </c>
      <c r="FQ51" s="72">
        <v>0</v>
      </c>
      <c r="FR51" s="72">
        <v>0</v>
      </c>
      <c r="FS51" s="72">
        <v>0</v>
      </c>
      <c r="FT51" s="72">
        <v>0</v>
      </c>
      <c r="FU51" s="72">
        <v>0</v>
      </c>
      <c r="FV51" s="72">
        <v>0</v>
      </c>
      <c r="FW51" s="72">
        <v>0</v>
      </c>
      <c r="FX51" s="72">
        <v>0</v>
      </c>
      <c r="FY51" s="72">
        <v>0</v>
      </c>
      <c r="FZ51" s="72">
        <v>0</v>
      </c>
      <c r="GA51" s="72">
        <v>0</v>
      </c>
      <c r="GB51" s="72">
        <v>0</v>
      </c>
      <c r="GC51" s="72">
        <v>0</v>
      </c>
      <c r="GD51" s="72">
        <v>0</v>
      </c>
      <c r="GE51" s="72">
        <v>0</v>
      </c>
      <c r="GF51" s="72">
        <v>0</v>
      </c>
      <c r="GG51" s="72">
        <v>0</v>
      </c>
      <c r="GH51" s="72">
        <v>0</v>
      </c>
      <c r="GI51" s="72">
        <v>0</v>
      </c>
      <c r="GJ51" s="72">
        <v>0</v>
      </c>
      <c r="GK51" s="72">
        <v>0</v>
      </c>
      <c r="GL51" s="72">
        <v>0</v>
      </c>
      <c r="GM51" s="72">
        <v>0</v>
      </c>
      <c r="GN51" s="72">
        <v>0</v>
      </c>
      <c r="GO51" s="72">
        <v>0</v>
      </c>
      <c r="GP51" s="72">
        <v>0</v>
      </c>
      <c r="GQ51" s="72">
        <v>0</v>
      </c>
      <c r="GR51" s="72">
        <f t="shared" si="0"/>
        <v>124950</v>
      </c>
      <c r="GS51" s="72">
        <f>SUM(AV$5:AV$202)</f>
        <v>124950</v>
      </c>
      <c r="GT51" s="73">
        <v>0</v>
      </c>
    </row>
    <row r="52" spans="1:202" outlineLevel="1" x14ac:dyDescent="0.2">
      <c r="A52" s="66" t="s">
        <v>377</v>
      </c>
      <c r="B52" s="72">
        <v>0</v>
      </c>
      <c r="C52" s="72">
        <v>0</v>
      </c>
      <c r="D52" s="72">
        <v>0</v>
      </c>
      <c r="E52" s="72">
        <v>0</v>
      </c>
      <c r="F52" s="72">
        <v>0</v>
      </c>
      <c r="G52" s="72">
        <v>0</v>
      </c>
      <c r="H52" s="72">
        <v>0</v>
      </c>
      <c r="I52" s="72">
        <v>0</v>
      </c>
      <c r="J52" s="72">
        <v>0</v>
      </c>
      <c r="K52" s="72">
        <v>0</v>
      </c>
      <c r="L52" s="72">
        <v>0</v>
      </c>
      <c r="M52" s="72">
        <v>0</v>
      </c>
      <c r="N52" s="72">
        <v>0</v>
      </c>
      <c r="O52" s="72">
        <v>0</v>
      </c>
      <c r="P52" s="72">
        <v>0</v>
      </c>
      <c r="Q52" s="72">
        <v>0</v>
      </c>
      <c r="R52" s="72">
        <v>0</v>
      </c>
      <c r="S52" s="72">
        <v>0</v>
      </c>
      <c r="T52" s="72">
        <v>0</v>
      </c>
      <c r="U52" s="72">
        <v>0</v>
      </c>
      <c r="V52" s="72">
        <v>0</v>
      </c>
      <c r="W52" s="72">
        <v>0</v>
      </c>
      <c r="X52" s="72">
        <v>0</v>
      </c>
      <c r="Y52" s="72">
        <v>0</v>
      </c>
      <c r="Z52" s="72">
        <v>0</v>
      </c>
      <c r="AA52" s="72">
        <v>0</v>
      </c>
      <c r="AB52" s="72">
        <v>0</v>
      </c>
      <c r="AC52" s="72">
        <v>0</v>
      </c>
      <c r="AD52" s="72">
        <v>0</v>
      </c>
      <c r="AE52" s="72">
        <v>0</v>
      </c>
      <c r="AF52" s="72">
        <v>0</v>
      </c>
      <c r="AG52" s="72">
        <v>0</v>
      </c>
      <c r="AH52" s="72">
        <v>0</v>
      </c>
      <c r="AI52" s="72">
        <v>0</v>
      </c>
      <c r="AJ52" s="72">
        <v>0</v>
      </c>
      <c r="AK52" s="72">
        <v>0</v>
      </c>
      <c r="AL52" s="72">
        <v>0</v>
      </c>
      <c r="AM52" s="72">
        <v>0</v>
      </c>
      <c r="AN52" s="72">
        <v>0</v>
      </c>
      <c r="AO52" s="72">
        <v>0</v>
      </c>
      <c r="AP52" s="72">
        <v>0</v>
      </c>
      <c r="AQ52" s="72">
        <v>0</v>
      </c>
      <c r="AR52" s="72">
        <v>0</v>
      </c>
      <c r="AS52" s="72">
        <v>0</v>
      </c>
      <c r="AT52" s="72">
        <v>0</v>
      </c>
      <c r="AU52" s="72">
        <v>0</v>
      </c>
      <c r="AV52" s="72">
        <v>0</v>
      </c>
      <c r="AW52" s="72">
        <v>0</v>
      </c>
      <c r="AX52" s="72">
        <v>0</v>
      </c>
      <c r="AY52" s="72">
        <v>0</v>
      </c>
      <c r="AZ52" s="72">
        <v>0</v>
      </c>
      <c r="BA52" s="72">
        <v>0</v>
      </c>
      <c r="BB52" s="72">
        <v>0</v>
      </c>
      <c r="BC52" s="72">
        <v>0</v>
      </c>
      <c r="BD52" s="72">
        <v>0</v>
      </c>
      <c r="BE52" s="72">
        <v>0</v>
      </c>
      <c r="BF52" s="72">
        <v>0</v>
      </c>
      <c r="BG52" s="72">
        <v>0</v>
      </c>
      <c r="BH52" s="72">
        <v>0</v>
      </c>
      <c r="BI52" s="72">
        <v>0</v>
      </c>
      <c r="BJ52" s="72">
        <v>0</v>
      </c>
      <c r="BK52" s="72">
        <v>0</v>
      </c>
      <c r="BL52" s="72">
        <v>0</v>
      </c>
      <c r="BM52" s="72">
        <v>0</v>
      </c>
      <c r="BN52" s="72">
        <v>0</v>
      </c>
      <c r="BO52" s="72">
        <v>0</v>
      </c>
      <c r="BP52" s="72">
        <v>0</v>
      </c>
      <c r="BQ52" s="72">
        <v>0</v>
      </c>
      <c r="BR52" s="72">
        <v>0</v>
      </c>
      <c r="BS52" s="72">
        <v>0</v>
      </c>
      <c r="BT52" s="72">
        <v>0</v>
      </c>
      <c r="BU52" s="72">
        <v>0</v>
      </c>
      <c r="BV52" s="72">
        <v>0</v>
      </c>
      <c r="BW52" s="72">
        <v>0</v>
      </c>
      <c r="BX52" s="72">
        <v>0</v>
      </c>
      <c r="BY52" s="72">
        <v>0</v>
      </c>
      <c r="BZ52" s="72">
        <v>0</v>
      </c>
      <c r="CA52" s="72">
        <v>0</v>
      </c>
      <c r="CB52" s="72">
        <v>0</v>
      </c>
      <c r="CC52" s="72">
        <v>0</v>
      </c>
      <c r="CD52" s="72">
        <v>0</v>
      </c>
      <c r="CE52" s="72">
        <v>0</v>
      </c>
      <c r="CF52" s="72">
        <v>0</v>
      </c>
      <c r="CG52" s="72">
        <v>0</v>
      </c>
      <c r="CH52" s="72">
        <v>0</v>
      </c>
      <c r="CI52" s="72">
        <v>0</v>
      </c>
      <c r="CJ52" s="72">
        <v>0</v>
      </c>
      <c r="CK52" s="72">
        <v>0</v>
      </c>
      <c r="CL52" s="72">
        <v>0</v>
      </c>
      <c r="CM52" s="72">
        <v>0</v>
      </c>
      <c r="CN52" s="72">
        <v>0</v>
      </c>
      <c r="CO52" s="72">
        <v>0</v>
      </c>
      <c r="CP52" s="72">
        <v>0</v>
      </c>
      <c r="CQ52" s="72">
        <v>0</v>
      </c>
      <c r="CR52" s="72">
        <v>0</v>
      </c>
      <c r="CS52" s="72">
        <v>0</v>
      </c>
      <c r="CT52" s="72">
        <v>0</v>
      </c>
      <c r="CU52" s="72">
        <v>0</v>
      </c>
      <c r="CV52" s="72">
        <v>0</v>
      </c>
      <c r="CW52" s="72">
        <v>0</v>
      </c>
      <c r="CX52" s="72">
        <v>0</v>
      </c>
      <c r="CY52" s="72">
        <v>0</v>
      </c>
      <c r="CZ52" s="72">
        <v>0</v>
      </c>
      <c r="DA52" s="72">
        <v>0</v>
      </c>
      <c r="DB52" s="72">
        <v>0</v>
      </c>
      <c r="DC52" s="72">
        <v>0</v>
      </c>
      <c r="DD52" s="72">
        <v>0</v>
      </c>
      <c r="DE52" s="72">
        <v>0</v>
      </c>
      <c r="DF52" s="72">
        <v>0</v>
      </c>
      <c r="DG52" s="72">
        <v>0</v>
      </c>
      <c r="DH52" s="72">
        <v>0</v>
      </c>
      <c r="DI52" s="72">
        <v>0</v>
      </c>
      <c r="DJ52" s="72">
        <v>0</v>
      </c>
      <c r="DK52" s="72">
        <v>0</v>
      </c>
      <c r="DL52" s="72">
        <v>0</v>
      </c>
      <c r="DM52" s="72">
        <v>0</v>
      </c>
      <c r="DN52" s="72">
        <v>0</v>
      </c>
      <c r="DO52" s="72">
        <v>0</v>
      </c>
      <c r="DP52" s="72">
        <v>0</v>
      </c>
      <c r="DQ52" s="72">
        <v>0</v>
      </c>
      <c r="DR52" s="72">
        <v>0</v>
      </c>
      <c r="DS52" s="72">
        <v>0</v>
      </c>
      <c r="DT52" s="72">
        <v>0</v>
      </c>
      <c r="DU52" s="72">
        <v>0</v>
      </c>
      <c r="DV52" s="72">
        <v>0</v>
      </c>
      <c r="DW52" s="72">
        <v>0</v>
      </c>
      <c r="DX52" s="72">
        <v>0</v>
      </c>
      <c r="DY52" s="72">
        <v>0</v>
      </c>
      <c r="DZ52" s="72">
        <v>0</v>
      </c>
      <c r="EA52" s="72">
        <v>0</v>
      </c>
      <c r="EB52" s="72">
        <v>0</v>
      </c>
      <c r="EC52" s="72">
        <v>0</v>
      </c>
      <c r="ED52" s="72">
        <v>0</v>
      </c>
      <c r="EE52" s="72">
        <v>0</v>
      </c>
      <c r="EF52" s="72">
        <v>0</v>
      </c>
      <c r="EG52" s="72">
        <v>0</v>
      </c>
      <c r="EH52" s="72">
        <v>0</v>
      </c>
      <c r="EI52" s="72">
        <v>0</v>
      </c>
      <c r="EJ52" s="72">
        <v>0</v>
      </c>
      <c r="EK52" s="72">
        <v>0</v>
      </c>
      <c r="EL52" s="72">
        <v>0</v>
      </c>
      <c r="EM52" s="72">
        <v>0</v>
      </c>
      <c r="EN52" s="72">
        <v>0</v>
      </c>
      <c r="EO52" s="72">
        <v>0</v>
      </c>
      <c r="EP52" s="72">
        <v>0</v>
      </c>
      <c r="EQ52" s="72">
        <v>0</v>
      </c>
      <c r="ER52" s="72">
        <v>0</v>
      </c>
      <c r="ES52" s="72">
        <v>0</v>
      </c>
      <c r="ET52" s="72">
        <v>0</v>
      </c>
      <c r="EU52" s="72">
        <v>0</v>
      </c>
      <c r="EV52" s="72">
        <v>256.04568498339358</v>
      </c>
      <c r="EW52" s="72">
        <v>216908.73799442046</v>
      </c>
      <c r="EX52" s="72">
        <v>46097.612000000001</v>
      </c>
      <c r="EY52" s="72">
        <v>0</v>
      </c>
      <c r="EZ52" s="72">
        <v>6206.4632937000551</v>
      </c>
      <c r="FA52" s="72">
        <v>0</v>
      </c>
      <c r="FB52" s="72">
        <v>0</v>
      </c>
      <c r="FC52" s="72">
        <v>0</v>
      </c>
      <c r="FD52" s="72">
        <v>0</v>
      </c>
      <c r="FE52" s="72">
        <v>0</v>
      </c>
      <c r="FF52" s="72">
        <v>0</v>
      </c>
      <c r="FG52" s="72">
        <v>0</v>
      </c>
      <c r="FH52" s="72">
        <v>0</v>
      </c>
      <c r="FI52" s="72">
        <v>0</v>
      </c>
      <c r="FJ52" s="72">
        <v>0</v>
      </c>
      <c r="FK52" s="72">
        <v>0</v>
      </c>
      <c r="FL52" s="72">
        <v>0</v>
      </c>
      <c r="FM52" s="72">
        <v>0</v>
      </c>
      <c r="FN52" s="72">
        <v>0</v>
      </c>
      <c r="FO52" s="72">
        <v>0</v>
      </c>
      <c r="FP52" s="72">
        <v>0</v>
      </c>
      <c r="FQ52" s="72">
        <v>0</v>
      </c>
      <c r="FR52" s="72">
        <v>0</v>
      </c>
      <c r="FS52" s="72">
        <v>0</v>
      </c>
      <c r="FT52" s="72">
        <v>0</v>
      </c>
      <c r="FU52" s="72">
        <v>0</v>
      </c>
      <c r="FV52" s="72">
        <v>0</v>
      </c>
      <c r="FW52" s="72">
        <v>0</v>
      </c>
      <c r="FX52" s="72">
        <v>0</v>
      </c>
      <c r="FY52" s="72">
        <v>0</v>
      </c>
      <c r="FZ52" s="72">
        <v>0</v>
      </c>
      <c r="GA52" s="72">
        <v>0</v>
      </c>
      <c r="GB52" s="72">
        <v>0</v>
      </c>
      <c r="GC52" s="72">
        <v>0</v>
      </c>
      <c r="GD52" s="72">
        <v>0</v>
      </c>
      <c r="GE52" s="72">
        <v>0</v>
      </c>
      <c r="GF52" s="72">
        <v>0</v>
      </c>
      <c r="GG52" s="72">
        <v>0</v>
      </c>
      <c r="GH52" s="72">
        <v>0</v>
      </c>
      <c r="GI52" s="72">
        <v>0</v>
      </c>
      <c r="GJ52" s="72">
        <v>0</v>
      </c>
      <c r="GK52" s="72">
        <v>0</v>
      </c>
      <c r="GL52" s="72">
        <v>0</v>
      </c>
      <c r="GM52" s="72">
        <v>0</v>
      </c>
      <c r="GN52" s="72">
        <v>0</v>
      </c>
      <c r="GO52" s="72">
        <v>0</v>
      </c>
      <c r="GP52" s="72">
        <v>0</v>
      </c>
      <c r="GQ52" s="72">
        <v>0</v>
      </c>
      <c r="GR52" s="72">
        <f t="shared" si="0"/>
        <v>269468.85897310392</v>
      </c>
      <c r="GS52" s="72">
        <f>SUM(AW$5:AW$202)</f>
        <v>269468.85897310392</v>
      </c>
      <c r="GT52" s="73">
        <v>0</v>
      </c>
    </row>
    <row r="53" spans="1:202" outlineLevel="1" x14ac:dyDescent="0.2">
      <c r="A53" s="66" t="s">
        <v>387</v>
      </c>
      <c r="B53" s="72">
        <v>0</v>
      </c>
      <c r="C53" s="72">
        <v>0</v>
      </c>
      <c r="D53" s="72">
        <v>0</v>
      </c>
      <c r="E53" s="72">
        <v>0</v>
      </c>
      <c r="F53" s="72">
        <v>0</v>
      </c>
      <c r="G53" s="72">
        <v>0</v>
      </c>
      <c r="H53" s="72">
        <v>0</v>
      </c>
      <c r="I53" s="72">
        <v>0</v>
      </c>
      <c r="J53" s="72">
        <v>0</v>
      </c>
      <c r="K53" s="72">
        <v>0</v>
      </c>
      <c r="L53" s="72">
        <v>0</v>
      </c>
      <c r="M53" s="72">
        <v>0</v>
      </c>
      <c r="N53" s="72">
        <v>0</v>
      </c>
      <c r="O53" s="72">
        <v>0</v>
      </c>
      <c r="P53" s="72">
        <v>0</v>
      </c>
      <c r="Q53" s="72">
        <v>0</v>
      </c>
      <c r="R53" s="72">
        <v>0</v>
      </c>
      <c r="S53" s="72">
        <v>0</v>
      </c>
      <c r="T53" s="72">
        <v>0</v>
      </c>
      <c r="U53" s="72">
        <v>0</v>
      </c>
      <c r="V53" s="72">
        <v>0</v>
      </c>
      <c r="W53" s="72">
        <v>0</v>
      </c>
      <c r="X53" s="72">
        <v>0</v>
      </c>
      <c r="Y53" s="72">
        <v>0</v>
      </c>
      <c r="Z53" s="72">
        <v>0</v>
      </c>
      <c r="AA53" s="72">
        <v>0</v>
      </c>
      <c r="AB53" s="72">
        <v>0</v>
      </c>
      <c r="AC53" s="72">
        <v>0</v>
      </c>
      <c r="AD53" s="72">
        <v>0</v>
      </c>
      <c r="AE53" s="72">
        <v>0</v>
      </c>
      <c r="AF53" s="72">
        <v>0</v>
      </c>
      <c r="AG53" s="72">
        <v>0</v>
      </c>
      <c r="AH53" s="72">
        <v>0</v>
      </c>
      <c r="AI53" s="72">
        <v>0</v>
      </c>
      <c r="AJ53" s="72">
        <v>0</v>
      </c>
      <c r="AK53" s="72">
        <v>0</v>
      </c>
      <c r="AL53" s="72">
        <v>0</v>
      </c>
      <c r="AM53" s="72">
        <v>0</v>
      </c>
      <c r="AN53" s="72">
        <v>0</v>
      </c>
      <c r="AO53" s="72">
        <v>0</v>
      </c>
      <c r="AP53" s="72">
        <v>0</v>
      </c>
      <c r="AQ53" s="72">
        <v>0</v>
      </c>
      <c r="AR53" s="72">
        <v>0</v>
      </c>
      <c r="AS53" s="72">
        <v>0</v>
      </c>
      <c r="AT53" s="72">
        <v>0</v>
      </c>
      <c r="AU53" s="72">
        <v>0</v>
      </c>
      <c r="AV53" s="72">
        <v>0</v>
      </c>
      <c r="AW53" s="72">
        <v>0</v>
      </c>
      <c r="AX53" s="72">
        <v>0</v>
      </c>
      <c r="AY53" s="72">
        <v>0</v>
      </c>
      <c r="AZ53" s="72">
        <v>0</v>
      </c>
      <c r="BA53" s="72">
        <v>0</v>
      </c>
      <c r="BB53" s="72">
        <v>0</v>
      </c>
      <c r="BC53" s="72">
        <v>0</v>
      </c>
      <c r="BD53" s="72">
        <v>0</v>
      </c>
      <c r="BE53" s="72">
        <v>0</v>
      </c>
      <c r="BF53" s="72">
        <v>0</v>
      </c>
      <c r="BG53" s="72">
        <v>0</v>
      </c>
      <c r="BH53" s="72">
        <v>0</v>
      </c>
      <c r="BI53" s="72">
        <v>0</v>
      </c>
      <c r="BJ53" s="72">
        <v>0</v>
      </c>
      <c r="BK53" s="72">
        <v>0</v>
      </c>
      <c r="BL53" s="72">
        <v>0</v>
      </c>
      <c r="BM53" s="72">
        <v>0</v>
      </c>
      <c r="BN53" s="72">
        <v>0</v>
      </c>
      <c r="BO53" s="72">
        <v>0</v>
      </c>
      <c r="BP53" s="72">
        <v>0</v>
      </c>
      <c r="BQ53" s="72">
        <v>0</v>
      </c>
      <c r="BR53" s="72">
        <v>0</v>
      </c>
      <c r="BS53" s="72">
        <v>0</v>
      </c>
      <c r="BT53" s="72">
        <v>0</v>
      </c>
      <c r="BU53" s="72">
        <v>0</v>
      </c>
      <c r="BV53" s="72">
        <v>0</v>
      </c>
      <c r="BW53" s="72">
        <v>0</v>
      </c>
      <c r="BX53" s="72">
        <v>0</v>
      </c>
      <c r="BY53" s="72">
        <v>0</v>
      </c>
      <c r="BZ53" s="72">
        <v>0</v>
      </c>
      <c r="CA53" s="72">
        <v>0</v>
      </c>
      <c r="CB53" s="72">
        <v>0</v>
      </c>
      <c r="CC53" s="72">
        <v>0</v>
      </c>
      <c r="CD53" s="72">
        <v>0</v>
      </c>
      <c r="CE53" s="72">
        <v>0</v>
      </c>
      <c r="CF53" s="72">
        <v>0</v>
      </c>
      <c r="CG53" s="72">
        <v>0</v>
      </c>
      <c r="CH53" s="72">
        <v>0</v>
      </c>
      <c r="CI53" s="72">
        <v>0</v>
      </c>
      <c r="CJ53" s="72">
        <v>0</v>
      </c>
      <c r="CK53" s="72">
        <v>0</v>
      </c>
      <c r="CL53" s="72">
        <v>0</v>
      </c>
      <c r="CM53" s="72">
        <v>0</v>
      </c>
      <c r="CN53" s="72">
        <v>0</v>
      </c>
      <c r="CO53" s="72">
        <v>0</v>
      </c>
      <c r="CP53" s="72">
        <v>0</v>
      </c>
      <c r="CQ53" s="72">
        <v>0</v>
      </c>
      <c r="CR53" s="72">
        <v>0</v>
      </c>
      <c r="CS53" s="72">
        <v>0</v>
      </c>
      <c r="CT53" s="72">
        <v>0</v>
      </c>
      <c r="CU53" s="72">
        <v>0</v>
      </c>
      <c r="CV53" s="72">
        <v>0</v>
      </c>
      <c r="CW53" s="72">
        <v>0</v>
      </c>
      <c r="CX53" s="72">
        <v>0</v>
      </c>
      <c r="CY53" s="72">
        <v>0</v>
      </c>
      <c r="CZ53" s="72">
        <v>0</v>
      </c>
      <c r="DA53" s="72">
        <v>0</v>
      </c>
      <c r="DB53" s="72">
        <v>0</v>
      </c>
      <c r="DC53" s="72">
        <v>0</v>
      </c>
      <c r="DD53" s="72">
        <v>0</v>
      </c>
      <c r="DE53" s="72">
        <v>0</v>
      </c>
      <c r="DF53" s="72">
        <v>0</v>
      </c>
      <c r="DG53" s="72">
        <v>0</v>
      </c>
      <c r="DH53" s="72">
        <v>0</v>
      </c>
      <c r="DI53" s="72">
        <v>0</v>
      </c>
      <c r="DJ53" s="72">
        <v>0</v>
      </c>
      <c r="DK53" s="72">
        <v>0</v>
      </c>
      <c r="DL53" s="72">
        <v>0</v>
      </c>
      <c r="DM53" s="72">
        <v>0</v>
      </c>
      <c r="DN53" s="72">
        <v>0</v>
      </c>
      <c r="DO53" s="72">
        <v>0</v>
      </c>
      <c r="DP53" s="72">
        <v>0</v>
      </c>
      <c r="DQ53" s="72">
        <v>0</v>
      </c>
      <c r="DR53" s="72">
        <v>0</v>
      </c>
      <c r="DS53" s="72">
        <v>0</v>
      </c>
      <c r="DT53" s="72">
        <v>0</v>
      </c>
      <c r="DU53" s="72">
        <v>0</v>
      </c>
      <c r="DV53" s="72">
        <v>0</v>
      </c>
      <c r="DW53" s="72">
        <v>0</v>
      </c>
      <c r="DX53" s="72">
        <v>0</v>
      </c>
      <c r="DY53" s="72">
        <v>0</v>
      </c>
      <c r="DZ53" s="72">
        <v>0</v>
      </c>
      <c r="EA53" s="72">
        <v>0</v>
      </c>
      <c r="EB53" s="72">
        <v>0</v>
      </c>
      <c r="EC53" s="72">
        <v>0</v>
      </c>
      <c r="ED53" s="72">
        <v>0</v>
      </c>
      <c r="EE53" s="72">
        <v>0</v>
      </c>
      <c r="EF53" s="72">
        <v>0</v>
      </c>
      <c r="EG53" s="72">
        <v>0</v>
      </c>
      <c r="EH53" s="72">
        <v>0</v>
      </c>
      <c r="EI53" s="72">
        <v>0</v>
      </c>
      <c r="EJ53" s="72">
        <v>0</v>
      </c>
      <c r="EK53" s="72">
        <v>0</v>
      </c>
      <c r="EL53" s="72">
        <v>0</v>
      </c>
      <c r="EM53" s="72">
        <v>0</v>
      </c>
      <c r="EN53" s="72">
        <v>0</v>
      </c>
      <c r="EO53" s="72">
        <v>0</v>
      </c>
      <c r="EP53" s="72">
        <v>0</v>
      </c>
      <c r="EQ53" s="72">
        <v>0</v>
      </c>
      <c r="ER53" s="72">
        <v>0</v>
      </c>
      <c r="ES53" s="72">
        <v>0</v>
      </c>
      <c r="ET53" s="72">
        <v>0</v>
      </c>
      <c r="EU53" s="72">
        <v>0</v>
      </c>
      <c r="EV53" s="72">
        <v>0</v>
      </c>
      <c r="EW53" s="72">
        <v>0</v>
      </c>
      <c r="EX53" s="72">
        <v>0</v>
      </c>
      <c r="EY53" s="72">
        <v>288509.67988046427</v>
      </c>
      <c r="EZ53" s="72">
        <v>239746.15748672758</v>
      </c>
      <c r="FA53" s="72">
        <v>1162.0429202265918</v>
      </c>
      <c r="FB53" s="72">
        <v>0</v>
      </c>
      <c r="FC53" s="72">
        <v>0</v>
      </c>
      <c r="FD53" s="72">
        <v>0</v>
      </c>
      <c r="FE53" s="72">
        <v>0</v>
      </c>
      <c r="FF53" s="72">
        <v>0</v>
      </c>
      <c r="FG53" s="72">
        <v>0</v>
      </c>
      <c r="FH53" s="72">
        <v>0</v>
      </c>
      <c r="FI53" s="72">
        <v>0</v>
      </c>
      <c r="FJ53" s="72">
        <v>0</v>
      </c>
      <c r="FK53" s="72">
        <v>0</v>
      </c>
      <c r="FL53" s="72">
        <v>0</v>
      </c>
      <c r="FM53" s="72">
        <v>12153.969241537094</v>
      </c>
      <c r="FN53" s="72">
        <v>0</v>
      </c>
      <c r="FO53" s="72">
        <v>0</v>
      </c>
      <c r="FP53" s="72">
        <v>0</v>
      </c>
      <c r="FQ53" s="72">
        <v>0</v>
      </c>
      <c r="FR53" s="72">
        <v>0</v>
      </c>
      <c r="FS53" s="72">
        <v>0</v>
      </c>
      <c r="FT53" s="72">
        <v>0</v>
      </c>
      <c r="FU53" s="72">
        <v>0</v>
      </c>
      <c r="FV53" s="72">
        <v>0</v>
      </c>
      <c r="FW53" s="72">
        <v>0</v>
      </c>
      <c r="FX53" s="72">
        <v>0</v>
      </c>
      <c r="FY53" s="72">
        <v>0</v>
      </c>
      <c r="FZ53" s="72">
        <v>0</v>
      </c>
      <c r="GA53" s="72">
        <v>0</v>
      </c>
      <c r="GB53" s="72">
        <v>0</v>
      </c>
      <c r="GC53" s="72">
        <v>0</v>
      </c>
      <c r="GD53" s="72">
        <v>0</v>
      </c>
      <c r="GE53" s="72">
        <v>0</v>
      </c>
      <c r="GF53" s="72">
        <v>0</v>
      </c>
      <c r="GG53" s="72">
        <v>0</v>
      </c>
      <c r="GH53" s="72">
        <v>0</v>
      </c>
      <c r="GI53" s="72">
        <v>0</v>
      </c>
      <c r="GJ53" s="72">
        <v>0</v>
      </c>
      <c r="GK53" s="72">
        <v>0</v>
      </c>
      <c r="GL53" s="72">
        <v>0</v>
      </c>
      <c r="GM53" s="72">
        <v>0</v>
      </c>
      <c r="GN53" s="72">
        <v>0</v>
      </c>
      <c r="GO53" s="72">
        <v>0</v>
      </c>
      <c r="GP53" s="72">
        <v>0</v>
      </c>
      <c r="GQ53" s="72">
        <v>0</v>
      </c>
      <c r="GR53" s="72">
        <f t="shared" si="0"/>
        <v>541571.84952895553</v>
      </c>
      <c r="GS53" s="72">
        <f>SUM(AX$5:AX$202)</f>
        <v>541571.84952895553</v>
      </c>
      <c r="GT53" s="73">
        <v>0</v>
      </c>
    </row>
    <row r="54" spans="1:202" outlineLevel="1" x14ac:dyDescent="0.2">
      <c r="A54" s="66" t="s">
        <v>392</v>
      </c>
      <c r="B54" s="72">
        <v>0</v>
      </c>
      <c r="C54" s="72">
        <v>0</v>
      </c>
      <c r="D54" s="72">
        <v>0</v>
      </c>
      <c r="E54" s="72">
        <v>0</v>
      </c>
      <c r="F54" s="72">
        <v>0</v>
      </c>
      <c r="G54" s="72">
        <v>0</v>
      </c>
      <c r="H54" s="72">
        <v>0</v>
      </c>
      <c r="I54" s="72">
        <v>0</v>
      </c>
      <c r="J54" s="72">
        <v>0</v>
      </c>
      <c r="K54" s="72">
        <v>0</v>
      </c>
      <c r="L54" s="72">
        <v>0</v>
      </c>
      <c r="M54" s="72">
        <v>0</v>
      </c>
      <c r="N54" s="72">
        <v>0</v>
      </c>
      <c r="O54" s="72">
        <v>0</v>
      </c>
      <c r="P54" s="72">
        <v>0</v>
      </c>
      <c r="Q54" s="72">
        <v>0</v>
      </c>
      <c r="R54" s="72">
        <v>0</v>
      </c>
      <c r="S54" s="72">
        <v>0</v>
      </c>
      <c r="T54" s="72">
        <v>0</v>
      </c>
      <c r="U54" s="72">
        <v>0</v>
      </c>
      <c r="V54" s="72">
        <v>0</v>
      </c>
      <c r="W54" s="72">
        <v>0</v>
      </c>
      <c r="X54" s="72">
        <v>0</v>
      </c>
      <c r="Y54" s="72">
        <v>0</v>
      </c>
      <c r="Z54" s="72">
        <v>0</v>
      </c>
      <c r="AA54" s="72">
        <v>0</v>
      </c>
      <c r="AB54" s="72">
        <v>0</v>
      </c>
      <c r="AC54" s="72">
        <v>0</v>
      </c>
      <c r="AD54" s="72">
        <v>0</v>
      </c>
      <c r="AE54" s="72">
        <v>0</v>
      </c>
      <c r="AF54" s="72">
        <v>0</v>
      </c>
      <c r="AG54" s="72">
        <v>0</v>
      </c>
      <c r="AH54" s="72">
        <v>0</v>
      </c>
      <c r="AI54" s="72">
        <v>0</v>
      </c>
      <c r="AJ54" s="72">
        <v>0</v>
      </c>
      <c r="AK54" s="72">
        <v>0</v>
      </c>
      <c r="AL54" s="72">
        <v>0</v>
      </c>
      <c r="AM54" s="72">
        <v>0</v>
      </c>
      <c r="AN54" s="72">
        <v>0</v>
      </c>
      <c r="AO54" s="72">
        <v>0</v>
      </c>
      <c r="AP54" s="72">
        <v>0</v>
      </c>
      <c r="AQ54" s="72">
        <v>0</v>
      </c>
      <c r="AR54" s="72">
        <v>0</v>
      </c>
      <c r="AS54" s="72">
        <v>0</v>
      </c>
      <c r="AT54" s="72">
        <v>0</v>
      </c>
      <c r="AU54" s="72">
        <v>0</v>
      </c>
      <c r="AV54" s="72">
        <v>0</v>
      </c>
      <c r="AW54" s="72">
        <v>0</v>
      </c>
      <c r="AX54" s="72">
        <v>0</v>
      </c>
      <c r="AY54" s="72">
        <v>0</v>
      </c>
      <c r="AZ54" s="72">
        <v>0</v>
      </c>
      <c r="BA54" s="72">
        <v>0</v>
      </c>
      <c r="BB54" s="72">
        <v>0</v>
      </c>
      <c r="BC54" s="72">
        <v>0</v>
      </c>
      <c r="BD54" s="72">
        <v>0</v>
      </c>
      <c r="BE54" s="72">
        <v>0</v>
      </c>
      <c r="BF54" s="72">
        <v>0</v>
      </c>
      <c r="BG54" s="72">
        <v>0</v>
      </c>
      <c r="BH54" s="72">
        <v>0</v>
      </c>
      <c r="BI54" s="72">
        <v>0</v>
      </c>
      <c r="BJ54" s="72">
        <v>0</v>
      </c>
      <c r="BK54" s="72">
        <v>0</v>
      </c>
      <c r="BL54" s="72">
        <v>0</v>
      </c>
      <c r="BM54" s="72">
        <v>0</v>
      </c>
      <c r="BN54" s="72">
        <v>0</v>
      </c>
      <c r="BO54" s="72">
        <v>0</v>
      </c>
      <c r="BP54" s="72">
        <v>0</v>
      </c>
      <c r="BQ54" s="72">
        <v>0</v>
      </c>
      <c r="BR54" s="72">
        <v>0</v>
      </c>
      <c r="BS54" s="72">
        <v>0</v>
      </c>
      <c r="BT54" s="72">
        <v>0</v>
      </c>
      <c r="BU54" s="72">
        <v>0</v>
      </c>
      <c r="BV54" s="72">
        <v>0</v>
      </c>
      <c r="BW54" s="72">
        <v>0</v>
      </c>
      <c r="BX54" s="72">
        <v>0</v>
      </c>
      <c r="BY54" s="72">
        <v>0</v>
      </c>
      <c r="BZ54" s="72">
        <v>0</v>
      </c>
      <c r="CA54" s="72">
        <v>0</v>
      </c>
      <c r="CB54" s="72">
        <v>0</v>
      </c>
      <c r="CC54" s="72">
        <v>0</v>
      </c>
      <c r="CD54" s="72">
        <v>0</v>
      </c>
      <c r="CE54" s="72">
        <v>0</v>
      </c>
      <c r="CF54" s="72">
        <v>0</v>
      </c>
      <c r="CG54" s="72">
        <v>0</v>
      </c>
      <c r="CH54" s="72">
        <v>0</v>
      </c>
      <c r="CI54" s="72">
        <v>0</v>
      </c>
      <c r="CJ54" s="72">
        <v>0</v>
      </c>
      <c r="CK54" s="72">
        <v>0</v>
      </c>
      <c r="CL54" s="72">
        <v>0</v>
      </c>
      <c r="CM54" s="72">
        <v>0</v>
      </c>
      <c r="CN54" s="72">
        <v>0</v>
      </c>
      <c r="CO54" s="72">
        <v>0</v>
      </c>
      <c r="CP54" s="72">
        <v>0</v>
      </c>
      <c r="CQ54" s="72">
        <v>0</v>
      </c>
      <c r="CR54" s="72">
        <v>0</v>
      </c>
      <c r="CS54" s="72">
        <v>0</v>
      </c>
      <c r="CT54" s="72">
        <v>0</v>
      </c>
      <c r="CU54" s="72">
        <v>0</v>
      </c>
      <c r="CV54" s="72">
        <v>0</v>
      </c>
      <c r="CW54" s="72">
        <v>0</v>
      </c>
      <c r="CX54" s="72">
        <v>0</v>
      </c>
      <c r="CY54" s="72">
        <v>0</v>
      </c>
      <c r="CZ54" s="72">
        <v>0</v>
      </c>
      <c r="DA54" s="72">
        <v>0</v>
      </c>
      <c r="DB54" s="72">
        <v>0</v>
      </c>
      <c r="DC54" s="72">
        <v>0</v>
      </c>
      <c r="DD54" s="72">
        <v>0</v>
      </c>
      <c r="DE54" s="72">
        <v>0</v>
      </c>
      <c r="DF54" s="72">
        <v>0</v>
      </c>
      <c r="DG54" s="72">
        <v>0</v>
      </c>
      <c r="DH54" s="72">
        <v>0</v>
      </c>
      <c r="DI54" s="72">
        <v>0</v>
      </c>
      <c r="DJ54" s="72">
        <v>0</v>
      </c>
      <c r="DK54" s="72">
        <v>0</v>
      </c>
      <c r="DL54" s="72">
        <v>0</v>
      </c>
      <c r="DM54" s="72">
        <v>0</v>
      </c>
      <c r="DN54" s="72">
        <v>0</v>
      </c>
      <c r="DO54" s="72">
        <v>0</v>
      </c>
      <c r="DP54" s="72">
        <v>0</v>
      </c>
      <c r="DQ54" s="72">
        <v>0</v>
      </c>
      <c r="DR54" s="72">
        <v>0</v>
      </c>
      <c r="DS54" s="72">
        <v>0</v>
      </c>
      <c r="DT54" s="72">
        <v>0</v>
      </c>
      <c r="DU54" s="72">
        <v>0</v>
      </c>
      <c r="DV54" s="72">
        <v>0</v>
      </c>
      <c r="DW54" s="72">
        <v>0</v>
      </c>
      <c r="DX54" s="72">
        <v>0</v>
      </c>
      <c r="DY54" s="72">
        <v>0</v>
      </c>
      <c r="DZ54" s="72">
        <v>0</v>
      </c>
      <c r="EA54" s="72">
        <v>0</v>
      </c>
      <c r="EB54" s="72">
        <v>0</v>
      </c>
      <c r="EC54" s="72">
        <v>0</v>
      </c>
      <c r="ED54" s="72">
        <v>0</v>
      </c>
      <c r="EE54" s="72">
        <v>0</v>
      </c>
      <c r="EF54" s="72">
        <v>0</v>
      </c>
      <c r="EG54" s="72">
        <v>0</v>
      </c>
      <c r="EH54" s="72">
        <v>0</v>
      </c>
      <c r="EI54" s="72">
        <v>0</v>
      </c>
      <c r="EJ54" s="72">
        <v>0</v>
      </c>
      <c r="EK54" s="72">
        <v>0</v>
      </c>
      <c r="EL54" s="72">
        <v>0</v>
      </c>
      <c r="EM54" s="72">
        <v>0</v>
      </c>
      <c r="EN54" s="72">
        <v>0</v>
      </c>
      <c r="EO54" s="72">
        <v>0</v>
      </c>
      <c r="EP54" s="72">
        <v>207.07473612756365</v>
      </c>
      <c r="EQ54" s="72">
        <v>0</v>
      </c>
      <c r="ER54" s="72">
        <v>0</v>
      </c>
      <c r="ES54" s="72">
        <v>0</v>
      </c>
      <c r="ET54" s="72">
        <v>0</v>
      </c>
      <c r="EU54" s="72">
        <v>0</v>
      </c>
      <c r="EV54" s="72">
        <v>0</v>
      </c>
      <c r="EW54" s="72">
        <v>0</v>
      </c>
      <c r="EX54" s="72">
        <v>0</v>
      </c>
      <c r="EY54" s="72">
        <v>0</v>
      </c>
      <c r="EZ54" s="72">
        <v>1341.6844743447937</v>
      </c>
      <c r="FA54" s="72">
        <v>50381.933516993246</v>
      </c>
      <c r="FB54" s="72">
        <v>0</v>
      </c>
      <c r="FC54" s="72">
        <v>0</v>
      </c>
      <c r="FD54" s="72">
        <v>0</v>
      </c>
      <c r="FE54" s="72">
        <v>0</v>
      </c>
      <c r="FF54" s="72">
        <v>0</v>
      </c>
      <c r="FG54" s="72">
        <v>0</v>
      </c>
      <c r="FH54" s="72">
        <v>0</v>
      </c>
      <c r="FI54" s="72">
        <v>0</v>
      </c>
      <c r="FJ54" s="72">
        <v>0</v>
      </c>
      <c r="FK54" s="72">
        <v>0</v>
      </c>
      <c r="FL54" s="72">
        <v>0</v>
      </c>
      <c r="FM54" s="72">
        <v>0</v>
      </c>
      <c r="FN54" s="72">
        <v>0</v>
      </c>
      <c r="FO54" s="72">
        <v>0</v>
      </c>
      <c r="FP54" s="72">
        <v>0</v>
      </c>
      <c r="FQ54" s="72">
        <v>0</v>
      </c>
      <c r="FR54" s="72">
        <v>0</v>
      </c>
      <c r="FS54" s="72">
        <v>0</v>
      </c>
      <c r="FT54" s="72">
        <v>0</v>
      </c>
      <c r="FU54" s="72">
        <v>0</v>
      </c>
      <c r="FV54" s="72">
        <v>0</v>
      </c>
      <c r="FW54" s="72">
        <v>0</v>
      </c>
      <c r="FX54" s="72">
        <v>0</v>
      </c>
      <c r="FY54" s="72">
        <v>0</v>
      </c>
      <c r="FZ54" s="72">
        <v>0</v>
      </c>
      <c r="GA54" s="72">
        <v>0</v>
      </c>
      <c r="GB54" s="72">
        <v>0</v>
      </c>
      <c r="GC54" s="72">
        <v>0</v>
      </c>
      <c r="GD54" s="72">
        <v>0</v>
      </c>
      <c r="GE54" s="72">
        <v>0</v>
      </c>
      <c r="GF54" s="72">
        <v>0</v>
      </c>
      <c r="GG54" s="72">
        <v>0</v>
      </c>
      <c r="GH54" s="72">
        <v>0</v>
      </c>
      <c r="GI54" s="72">
        <v>0</v>
      </c>
      <c r="GJ54" s="72">
        <v>0</v>
      </c>
      <c r="GK54" s="72">
        <v>0</v>
      </c>
      <c r="GL54" s="72">
        <v>0</v>
      </c>
      <c r="GM54" s="72">
        <v>0</v>
      </c>
      <c r="GN54" s="72">
        <v>0</v>
      </c>
      <c r="GO54" s="72">
        <v>0</v>
      </c>
      <c r="GP54" s="72">
        <v>0</v>
      </c>
      <c r="GQ54" s="72">
        <v>0</v>
      </c>
      <c r="GR54" s="72">
        <f t="shared" si="0"/>
        <v>51930.692727465605</v>
      </c>
      <c r="GS54" s="72">
        <f>SUM(AY$5:AY$202)</f>
        <v>51930.692727465597</v>
      </c>
      <c r="GT54" s="73">
        <v>0</v>
      </c>
    </row>
    <row r="55" spans="1:202" outlineLevel="1" x14ac:dyDescent="0.2">
      <c r="A55" s="66" t="s">
        <v>398</v>
      </c>
      <c r="B55" s="72">
        <v>0</v>
      </c>
      <c r="C55" s="72">
        <v>0</v>
      </c>
      <c r="D55" s="72">
        <v>0</v>
      </c>
      <c r="E55" s="72">
        <v>0</v>
      </c>
      <c r="F55" s="72">
        <v>0</v>
      </c>
      <c r="G55" s="72">
        <v>0</v>
      </c>
      <c r="H55" s="72">
        <v>0</v>
      </c>
      <c r="I55" s="72">
        <v>0</v>
      </c>
      <c r="J55" s="72">
        <v>0</v>
      </c>
      <c r="K55" s="72">
        <v>0</v>
      </c>
      <c r="L55" s="72">
        <v>0</v>
      </c>
      <c r="M55" s="72">
        <v>0</v>
      </c>
      <c r="N55" s="72">
        <v>0</v>
      </c>
      <c r="O55" s="72">
        <v>0</v>
      </c>
      <c r="P55" s="72">
        <v>0</v>
      </c>
      <c r="Q55" s="72">
        <v>0</v>
      </c>
      <c r="R55" s="72">
        <v>0</v>
      </c>
      <c r="S55" s="72">
        <v>0</v>
      </c>
      <c r="T55" s="72">
        <v>0</v>
      </c>
      <c r="U55" s="72">
        <v>0</v>
      </c>
      <c r="V55" s="72">
        <v>0</v>
      </c>
      <c r="W55" s="72">
        <v>0</v>
      </c>
      <c r="X55" s="72">
        <v>0</v>
      </c>
      <c r="Y55" s="72">
        <v>0</v>
      </c>
      <c r="Z55" s="72">
        <v>0</v>
      </c>
      <c r="AA55" s="72">
        <v>0</v>
      </c>
      <c r="AB55" s="72">
        <v>0</v>
      </c>
      <c r="AC55" s="72">
        <v>0</v>
      </c>
      <c r="AD55" s="72">
        <v>0</v>
      </c>
      <c r="AE55" s="72">
        <v>0</v>
      </c>
      <c r="AF55" s="72">
        <v>0</v>
      </c>
      <c r="AG55" s="72">
        <v>0</v>
      </c>
      <c r="AH55" s="72">
        <v>0</v>
      </c>
      <c r="AI55" s="72">
        <v>0</v>
      </c>
      <c r="AJ55" s="72">
        <v>0</v>
      </c>
      <c r="AK55" s="72">
        <v>0</v>
      </c>
      <c r="AL55" s="72">
        <v>0</v>
      </c>
      <c r="AM55" s="72">
        <v>0</v>
      </c>
      <c r="AN55" s="72">
        <v>0</v>
      </c>
      <c r="AO55" s="72">
        <v>0</v>
      </c>
      <c r="AP55" s="72">
        <v>0</v>
      </c>
      <c r="AQ55" s="72">
        <v>0</v>
      </c>
      <c r="AR55" s="72">
        <v>0</v>
      </c>
      <c r="AS55" s="72">
        <v>0</v>
      </c>
      <c r="AT55" s="72">
        <v>0</v>
      </c>
      <c r="AU55" s="72">
        <v>0</v>
      </c>
      <c r="AV55" s="72">
        <v>0</v>
      </c>
      <c r="AW55" s="72">
        <v>0</v>
      </c>
      <c r="AX55" s="72">
        <v>0</v>
      </c>
      <c r="AY55" s="72">
        <v>0</v>
      </c>
      <c r="AZ55" s="72">
        <v>0</v>
      </c>
      <c r="BA55" s="72">
        <v>0</v>
      </c>
      <c r="BB55" s="72">
        <v>0</v>
      </c>
      <c r="BC55" s="72">
        <v>0</v>
      </c>
      <c r="BD55" s="72">
        <v>0</v>
      </c>
      <c r="BE55" s="72">
        <v>0</v>
      </c>
      <c r="BF55" s="72">
        <v>0</v>
      </c>
      <c r="BG55" s="72">
        <v>0</v>
      </c>
      <c r="BH55" s="72">
        <v>0</v>
      </c>
      <c r="BI55" s="72">
        <v>0</v>
      </c>
      <c r="BJ55" s="72">
        <v>0</v>
      </c>
      <c r="BK55" s="72">
        <v>0</v>
      </c>
      <c r="BL55" s="72">
        <v>0</v>
      </c>
      <c r="BM55" s="72">
        <v>0</v>
      </c>
      <c r="BN55" s="72">
        <v>0</v>
      </c>
      <c r="BO55" s="72">
        <v>0</v>
      </c>
      <c r="BP55" s="72">
        <v>0</v>
      </c>
      <c r="BQ55" s="72">
        <v>0</v>
      </c>
      <c r="BR55" s="72">
        <v>0</v>
      </c>
      <c r="BS55" s="72">
        <v>0</v>
      </c>
      <c r="BT55" s="72">
        <v>0</v>
      </c>
      <c r="BU55" s="72">
        <v>0</v>
      </c>
      <c r="BV55" s="72">
        <v>0</v>
      </c>
      <c r="BW55" s="72">
        <v>0</v>
      </c>
      <c r="BX55" s="72">
        <v>0</v>
      </c>
      <c r="BY55" s="72">
        <v>0</v>
      </c>
      <c r="BZ55" s="72">
        <v>0</v>
      </c>
      <c r="CA55" s="72">
        <v>0</v>
      </c>
      <c r="CB55" s="72">
        <v>0</v>
      </c>
      <c r="CC55" s="72">
        <v>0</v>
      </c>
      <c r="CD55" s="72">
        <v>0</v>
      </c>
      <c r="CE55" s="72">
        <v>0</v>
      </c>
      <c r="CF55" s="72">
        <v>0</v>
      </c>
      <c r="CG55" s="72">
        <v>0</v>
      </c>
      <c r="CH55" s="72">
        <v>0</v>
      </c>
      <c r="CI55" s="72">
        <v>0</v>
      </c>
      <c r="CJ55" s="72">
        <v>0</v>
      </c>
      <c r="CK55" s="72">
        <v>0</v>
      </c>
      <c r="CL55" s="72">
        <v>0</v>
      </c>
      <c r="CM55" s="72">
        <v>0</v>
      </c>
      <c r="CN55" s="72">
        <v>0</v>
      </c>
      <c r="CO55" s="72">
        <v>0</v>
      </c>
      <c r="CP55" s="72">
        <v>0</v>
      </c>
      <c r="CQ55" s="72">
        <v>0</v>
      </c>
      <c r="CR55" s="72">
        <v>0</v>
      </c>
      <c r="CS55" s="72">
        <v>0</v>
      </c>
      <c r="CT55" s="72">
        <v>0</v>
      </c>
      <c r="CU55" s="72">
        <v>0</v>
      </c>
      <c r="CV55" s="72">
        <v>0</v>
      </c>
      <c r="CW55" s="72">
        <v>0</v>
      </c>
      <c r="CX55" s="72">
        <v>0</v>
      </c>
      <c r="CY55" s="72">
        <v>0</v>
      </c>
      <c r="CZ55" s="72">
        <v>0</v>
      </c>
      <c r="DA55" s="72">
        <v>0</v>
      </c>
      <c r="DB55" s="72">
        <v>0</v>
      </c>
      <c r="DC55" s="72">
        <v>0</v>
      </c>
      <c r="DD55" s="72">
        <v>0</v>
      </c>
      <c r="DE55" s="72">
        <v>0</v>
      </c>
      <c r="DF55" s="72">
        <v>0</v>
      </c>
      <c r="DG55" s="72">
        <v>0</v>
      </c>
      <c r="DH55" s="72">
        <v>0</v>
      </c>
      <c r="DI55" s="72">
        <v>0</v>
      </c>
      <c r="DJ55" s="72">
        <v>0</v>
      </c>
      <c r="DK55" s="72">
        <v>0</v>
      </c>
      <c r="DL55" s="72">
        <v>0</v>
      </c>
      <c r="DM55" s="72">
        <v>0</v>
      </c>
      <c r="DN55" s="72">
        <v>0</v>
      </c>
      <c r="DO55" s="72">
        <v>0</v>
      </c>
      <c r="DP55" s="72">
        <v>0</v>
      </c>
      <c r="DQ55" s="72">
        <v>0</v>
      </c>
      <c r="DR55" s="72">
        <v>0</v>
      </c>
      <c r="DS55" s="72">
        <v>0</v>
      </c>
      <c r="DT55" s="72">
        <v>0</v>
      </c>
      <c r="DU55" s="72">
        <v>0</v>
      </c>
      <c r="DV55" s="72">
        <v>0</v>
      </c>
      <c r="DW55" s="72">
        <v>0</v>
      </c>
      <c r="DX55" s="72">
        <v>0</v>
      </c>
      <c r="DY55" s="72">
        <v>0</v>
      </c>
      <c r="DZ55" s="72">
        <v>45394.394992571717</v>
      </c>
      <c r="EA55" s="72">
        <v>0</v>
      </c>
      <c r="EB55" s="72">
        <v>0</v>
      </c>
      <c r="EC55" s="72">
        <v>0</v>
      </c>
      <c r="ED55" s="72">
        <v>0</v>
      </c>
      <c r="EE55" s="72">
        <v>0</v>
      </c>
      <c r="EF55" s="72">
        <v>0</v>
      </c>
      <c r="EG55" s="72">
        <v>0</v>
      </c>
      <c r="EH55" s="72">
        <v>0</v>
      </c>
      <c r="EI55" s="72">
        <v>0</v>
      </c>
      <c r="EJ55" s="72">
        <v>0</v>
      </c>
      <c r="EK55" s="72">
        <v>0</v>
      </c>
      <c r="EL55" s="72">
        <v>0</v>
      </c>
      <c r="EM55" s="72">
        <v>0</v>
      </c>
      <c r="EN55" s="72">
        <v>0</v>
      </c>
      <c r="EO55" s="72">
        <v>0</v>
      </c>
      <c r="EP55" s="72">
        <v>31.567729480230685</v>
      </c>
      <c r="EQ55" s="72">
        <v>0</v>
      </c>
      <c r="ER55" s="72">
        <v>0</v>
      </c>
      <c r="ES55" s="72">
        <v>0</v>
      </c>
      <c r="ET55" s="72">
        <v>0</v>
      </c>
      <c r="EU55" s="72">
        <v>0</v>
      </c>
      <c r="EV55" s="72">
        <v>0</v>
      </c>
      <c r="EW55" s="72">
        <v>0</v>
      </c>
      <c r="EX55" s="72">
        <v>0</v>
      </c>
      <c r="EY55" s="72">
        <v>0</v>
      </c>
      <c r="EZ55" s="72">
        <v>1723.478787712135</v>
      </c>
      <c r="FA55" s="72">
        <v>736.28176867971092</v>
      </c>
      <c r="FB55" s="72">
        <v>0</v>
      </c>
      <c r="FC55" s="72">
        <v>0</v>
      </c>
      <c r="FD55" s="72">
        <v>103016.60649608061</v>
      </c>
      <c r="FE55" s="72">
        <v>0</v>
      </c>
      <c r="FF55" s="72">
        <v>8950.6618180003861</v>
      </c>
      <c r="FG55" s="72">
        <v>0</v>
      </c>
      <c r="FH55" s="72">
        <v>0</v>
      </c>
      <c r="FI55" s="72">
        <v>0</v>
      </c>
      <c r="FJ55" s="72">
        <v>0</v>
      </c>
      <c r="FK55" s="72">
        <v>0</v>
      </c>
      <c r="FL55" s="72">
        <v>0</v>
      </c>
      <c r="FM55" s="72">
        <v>0</v>
      </c>
      <c r="FN55" s="72">
        <v>0</v>
      </c>
      <c r="FO55" s="72">
        <v>0</v>
      </c>
      <c r="FP55" s="72">
        <v>0</v>
      </c>
      <c r="FQ55" s="72">
        <v>0</v>
      </c>
      <c r="FR55" s="72">
        <v>0</v>
      </c>
      <c r="FS55" s="72">
        <v>0</v>
      </c>
      <c r="FT55" s="72">
        <v>0</v>
      </c>
      <c r="FU55" s="72">
        <v>0</v>
      </c>
      <c r="FV55" s="72">
        <v>0</v>
      </c>
      <c r="FW55" s="72">
        <v>0</v>
      </c>
      <c r="FX55" s="72">
        <v>0</v>
      </c>
      <c r="FY55" s="72">
        <v>0</v>
      </c>
      <c r="FZ55" s="72">
        <v>0</v>
      </c>
      <c r="GA55" s="72">
        <v>0</v>
      </c>
      <c r="GB55" s="72">
        <v>0</v>
      </c>
      <c r="GC55" s="72">
        <v>0</v>
      </c>
      <c r="GD55" s="72">
        <v>0</v>
      </c>
      <c r="GE55" s="72">
        <v>0</v>
      </c>
      <c r="GF55" s="72">
        <v>0</v>
      </c>
      <c r="GG55" s="72">
        <v>0</v>
      </c>
      <c r="GH55" s="72">
        <v>0</v>
      </c>
      <c r="GI55" s="72">
        <v>0</v>
      </c>
      <c r="GJ55" s="72">
        <v>0</v>
      </c>
      <c r="GK55" s="72">
        <v>0</v>
      </c>
      <c r="GL55" s="72">
        <v>0</v>
      </c>
      <c r="GM55" s="72">
        <v>0</v>
      </c>
      <c r="GN55" s="72">
        <v>0</v>
      </c>
      <c r="GO55" s="72">
        <v>0</v>
      </c>
      <c r="GP55" s="72">
        <v>0</v>
      </c>
      <c r="GQ55" s="72">
        <v>0</v>
      </c>
      <c r="GR55" s="72">
        <f t="shared" si="0"/>
        <v>159852.99159252481</v>
      </c>
      <c r="GS55" s="72">
        <f>SUM(AZ$5:AZ$202)</f>
        <v>159852.99159252481</v>
      </c>
      <c r="GT55" s="73">
        <v>0</v>
      </c>
    </row>
    <row r="56" spans="1:202" outlineLevel="1" x14ac:dyDescent="0.2">
      <c r="A56" s="66" t="s">
        <v>402</v>
      </c>
      <c r="B56" s="72">
        <v>0</v>
      </c>
      <c r="C56" s="72">
        <v>0</v>
      </c>
      <c r="D56" s="72">
        <v>0</v>
      </c>
      <c r="E56" s="72">
        <v>0</v>
      </c>
      <c r="F56" s="72">
        <v>0</v>
      </c>
      <c r="G56" s="72">
        <v>0</v>
      </c>
      <c r="H56" s="72">
        <v>0</v>
      </c>
      <c r="I56" s="72">
        <v>0</v>
      </c>
      <c r="J56" s="72">
        <v>0</v>
      </c>
      <c r="K56" s="72">
        <v>0</v>
      </c>
      <c r="L56" s="72">
        <v>0</v>
      </c>
      <c r="M56" s="72">
        <v>0</v>
      </c>
      <c r="N56" s="72">
        <v>0</v>
      </c>
      <c r="O56" s="72">
        <v>0</v>
      </c>
      <c r="P56" s="72">
        <v>0</v>
      </c>
      <c r="Q56" s="72">
        <v>0</v>
      </c>
      <c r="R56" s="72">
        <v>0</v>
      </c>
      <c r="S56" s="72">
        <v>0</v>
      </c>
      <c r="T56" s="72">
        <v>0</v>
      </c>
      <c r="U56" s="72">
        <v>0</v>
      </c>
      <c r="V56" s="72">
        <v>0</v>
      </c>
      <c r="W56" s="72">
        <v>0</v>
      </c>
      <c r="X56" s="72">
        <v>0</v>
      </c>
      <c r="Y56" s="72">
        <v>0</v>
      </c>
      <c r="Z56" s="72">
        <v>0</v>
      </c>
      <c r="AA56" s="72">
        <v>0</v>
      </c>
      <c r="AB56" s="72">
        <v>0</v>
      </c>
      <c r="AC56" s="72">
        <v>0</v>
      </c>
      <c r="AD56" s="72">
        <v>0</v>
      </c>
      <c r="AE56" s="72">
        <v>0</v>
      </c>
      <c r="AF56" s="72">
        <v>0</v>
      </c>
      <c r="AG56" s="72">
        <v>0</v>
      </c>
      <c r="AH56" s="72">
        <v>0</v>
      </c>
      <c r="AI56" s="72">
        <v>0</v>
      </c>
      <c r="AJ56" s="72">
        <v>0</v>
      </c>
      <c r="AK56" s="72">
        <v>0</v>
      </c>
      <c r="AL56" s="72">
        <v>0</v>
      </c>
      <c r="AM56" s="72">
        <v>0</v>
      </c>
      <c r="AN56" s="72">
        <v>0</v>
      </c>
      <c r="AO56" s="72">
        <v>0</v>
      </c>
      <c r="AP56" s="72">
        <v>0</v>
      </c>
      <c r="AQ56" s="72">
        <v>0</v>
      </c>
      <c r="AR56" s="72">
        <v>0</v>
      </c>
      <c r="AS56" s="72">
        <v>0</v>
      </c>
      <c r="AT56" s="72">
        <v>0</v>
      </c>
      <c r="AU56" s="72">
        <v>0</v>
      </c>
      <c r="AV56" s="72">
        <v>0</v>
      </c>
      <c r="AW56" s="72">
        <v>0</v>
      </c>
      <c r="AX56" s="72">
        <v>0</v>
      </c>
      <c r="AY56" s="72">
        <v>0</v>
      </c>
      <c r="AZ56" s="72">
        <v>0</v>
      </c>
      <c r="BA56" s="72">
        <v>0</v>
      </c>
      <c r="BB56" s="72">
        <v>0</v>
      </c>
      <c r="BC56" s="72">
        <v>0</v>
      </c>
      <c r="BD56" s="72">
        <v>0</v>
      </c>
      <c r="BE56" s="72">
        <v>0</v>
      </c>
      <c r="BF56" s="72">
        <v>0</v>
      </c>
      <c r="BG56" s="72">
        <v>0</v>
      </c>
      <c r="BH56" s="72">
        <v>0</v>
      </c>
      <c r="BI56" s="72">
        <v>0</v>
      </c>
      <c r="BJ56" s="72">
        <v>0</v>
      </c>
      <c r="BK56" s="72">
        <v>0</v>
      </c>
      <c r="BL56" s="72">
        <v>0</v>
      </c>
      <c r="BM56" s="72">
        <v>0</v>
      </c>
      <c r="BN56" s="72">
        <v>0</v>
      </c>
      <c r="BO56" s="72">
        <v>0</v>
      </c>
      <c r="BP56" s="72">
        <v>0</v>
      </c>
      <c r="BQ56" s="72">
        <v>0</v>
      </c>
      <c r="BR56" s="72">
        <v>0</v>
      </c>
      <c r="BS56" s="72">
        <v>0</v>
      </c>
      <c r="BT56" s="72">
        <v>0</v>
      </c>
      <c r="BU56" s="72">
        <v>0</v>
      </c>
      <c r="BV56" s="72">
        <v>0</v>
      </c>
      <c r="BW56" s="72">
        <v>0</v>
      </c>
      <c r="BX56" s="72">
        <v>0</v>
      </c>
      <c r="BY56" s="72">
        <v>0</v>
      </c>
      <c r="BZ56" s="72">
        <v>0</v>
      </c>
      <c r="CA56" s="72">
        <v>0</v>
      </c>
      <c r="CB56" s="72">
        <v>0</v>
      </c>
      <c r="CC56" s="72">
        <v>0</v>
      </c>
      <c r="CD56" s="72">
        <v>0</v>
      </c>
      <c r="CE56" s="72">
        <v>0</v>
      </c>
      <c r="CF56" s="72">
        <v>0</v>
      </c>
      <c r="CG56" s="72">
        <v>0</v>
      </c>
      <c r="CH56" s="72">
        <v>0</v>
      </c>
      <c r="CI56" s="72">
        <v>0</v>
      </c>
      <c r="CJ56" s="72">
        <v>0</v>
      </c>
      <c r="CK56" s="72">
        <v>0</v>
      </c>
      <c r="CL56" s="72">
        <v>0</v>
      </c>
      <c r="CM56" s="72">
        <v>0</v>
      </c>
      <c r="CN56" s="72">
        <v>0</v>
      </c>
      <c r="CO56" s="72">
        <v>0</v>
      </c>
      <c r="CP56" s="72">
        <v>0</v>
      </c>
      <c r="CQ56" s="72">
        <v>0</v>
      </c>
      <c r="CR56" s="72">
        <v>0</v>
      </c>
      <c r="CS56" s="72">
        <v>0</v>
      </c>
      <c r="CT56" s="72">
        <v>0</v>
      </c>
      <c r="CU56" s="72">
        <v>0</v>
      </c>
      <c r="CV56" s="72">
        <v>0</v>
      </c>
      <c r="CW56" s="72">
        <v>0</v>
      </c>
      <c r="CX56" s="72">
        <v>0</v>
      </c>
      <c r="CY56" s="72">
        <v>0</v>
      </c>
      <c r="CZ56" s="72">
        <v>0</v>
      </c>
      <c r="DA56" s="72">
        <v>0</v>
      </c>
      <c r="DB56" s="72">
        <v>0</v>
      </c>
      <c r="DC56" s="72">
        <v>0</v>
      </c>
      <c r="DD56" s="72">
        <v>0</v>
      </c>
      <c r="DE56" s="72">
        <v>0</v>
      </c>
      <c r="DF56" s="72">
        <v>0</v>
      </c>
      <c r="DG56" s="72">
        <v>0</v>
      </c>
      <c r="DH56" s="72">
        <v>0</v>
      </c>
      <c r="DI56" s="72">
        <v>0</v>
      </c>
      <c r="DJ56" s="72">
        <v>0</v>
      </c>
      <c r="DK56" s="72">
        <v>0</v>
      </c>
      <c r="DL56" s="72">
        <v>0</v>
      </c>
      <c r="DM56" s="72">
        <v>0</v>
      </c>
      <c r="DN56" s="72">
        <v>0</v>
      </c>
      <c r="DO56" s="72">
        <v>0</v>
      </c>
      <c r="DP56" s="72">
        <v>0</v>
      </c>
      <c r="DQ56" s="72">
        <v>0</v>
      </c>
      <c r="DR56" s="72">
        <v>0</v>
      </c>
      <c r="DS56" s="72">
        <v>0</v>
      </c>
      <c r="DT56" s="72">
        <v>0</v>
      </c>
      <c r="DU56" s="72">
        <v>0</v>
      </c>
      <c r="DV56" s="72">
        <v>0</v>
      </c>
      <c r="DW56" s="72">
        <v>0</v>
      </c>
      <c r="DX56" s="72">
        <v>0</v>
      </c>
      <c r="DY56" s="72">
        <v>0</v>
      </c>
      <c r="DZ56" s="72">
        <v>0</v>
      </c>
      <c r="EA56" s="72">
        <v>0</v>
      </c>
      <c r="EB56" s="72">
        <v>0</v>
      </c>
      <c r="EC56" s="72">
        <v>0</v>
      </c>
      <c r="ED56" s="72">
        <v>0</v>
      </c>
      <c r="EE56" s="72">
        <v>0</v>
      </c>
      <c r="EF56" s="72">
        <v>0</v>
      </c>
      <c r="EG56" s="72">
        <v>0</v>
      </c>
      <c r="EH56" s="72">
        <v>0</v>
      </c>
      <c r="EI56" s="72">
        <v>0</v>
      </c>
      <c r="EJ56" s="72">
        <v>0</v>
      </c>
      <c r="EK56" s="72">
        <v>0</v>
      </c>
      <c r="EL56" s="72">
        <v>0</v>
      </c>
      <c r="EM56" s="72">
        <v>0</v>
      </c>
      <c r="EN56" s="72">
        <v>0</v>
      </c>
      <c r="EO56" s="72">
        <v>0</v>
      </c>
      <c r="EP56" s="72">
        <v>0</v>
      </c>
      <c r="EQ56" s="72">
        <v>0</v>
      </c>
      <c r="ER56" s="72">
        <v>0</v>
      </c>
      <c r="ES56" s="72">
        <v>0</v>
      </c>
      <c r="ET56" s="72">
        <v>0</v>
      </c>
      <c r="EU56" s="72">
        <v>0</v>
      </c>
      <c r="EV56" s="72">
        <v>0</v>
      </c>
      <c r="EW56" s="72">
        <v>0</v>
      </c>
      <c r="EX56" s="72">
        <v>0</v>
      </c>
      <c r="EY56" s="72">
        <v>0</v>
      </c>
      <c r="EZ56" s="72">
        <v>14.752463608982668</v>
      </c>
      <c r="FA56" s="72">
        <v>44.257390826947997</v>
      </c>
      <c r="FB56" s="72">
        <v>20800.973688665559</v>
      </c>
      <c r="FC56" s="72">
        <v>0</v>
      </c>
      <c r="FD56" s="72">
        <v>0</v>
      </c>
      <c r="FE56" s="72">
        <v>0</v>
      </c>
      <c r="FF56" s="72">
        <v>0</v>
      </c>
      <c r="FG56" s="72">
        <v>0</v>
      </c>
      <c r="FH56" s="72">
        <v>0</v>
      </c>
      <c r="FI56" s="72">
        <v>0</v>
      </c>
      <c r="FJ56" s="72">
        <v>0</v>
      </c>
      <c r="FK56" s="72">
        <v>0</v>
      </c>
      <c r="FL56" s="72">
        <v>0</v>
      </c>
      <c r="FM56" s="72">
        <v>0</v>
      </c>
      <c r="FN56" s="72">
        <v>0</v>
      </c>
      <c r="FO56" s="72">
        <v>0</v>
      </c>
      <c r="FP56" s="72">
        <v>0</v>
      </c>
      <c r="FQ56" s="72">
        <v>0</v>
      </c>
      <c r="FR56" s="72">
        <v>0</v>
      </c>
      <c r="FS56" s="72">
        <v>0</v>
      </c>
      <c r="FT56" s="72">
        <v>0</v>
      </c>
      <c r="FU56" s="72">
        <v>0</v>
      </c>
      <c r="FV56" s="72">
        <v>0</v>
      </c>
      <c r="FW56" s="72">
        <v>0</v>
      </c>
      <c r="FX56" s="72">
        <v>0</v>
      </c>
      <c r="FY56" s="72">
        <v>0</v>
      </c>
      <c r="FZ56" s="72">
        <v>0</v>
      </c>
      <c r="GA56" s="72">
        <v>0</v>
      </c>
      <c r="GB56" s="72">
        <v>0</v>
      </c>
      <c r="GC56" s="72">
        <v>0</v>
      </c>
      <c r="GD56" s="72">
        <v>0</v>
      </c>
      <c r="GE56" s="72">
        <v>0</v>
      </c>
      <c r="GF56" s="72">
        <v>0</v>
      </c>
      <c r="GG56" s="72">
        <v>0</v>
      </c>
      <c r="GH56" s="72">
        <v>0</v>
      </c>
      <c r="GI56" s="72">
        <v>0</v>
      </c>
      <c r="GJ56" s="72">
        <v>0</v>
      </c>
      <c r="GK56" s="72">
        <v>0</v>
      </c>
      <c r="GL56" s="72">
        <v>0</v>
      </c>
      <c r="GM56" s="72">
        <v>0</v>
      </c>
      <c r="GN56" s="72">
        <v>0</v>
      </c>
      <c r="GO56" s="72">
        <v>0</v>
      </c>
      <c r="GP56" s="72">
        <v>0</v>
      </c>
      <c r="GQ56" s="72">
        <v>0</v>
      </c>
      <c r="GR56" s="72">
        <f t="shared" si="0"/>
        <v>20859.983543101491</v>
      </c>
      <c r="GS56" s="72">
        <f>SUM(BA$5:BA$202)</f>
        <v>20859.983543101494</v>
      </c>
      <c r="GT56" s="73">
        <v>0</v>
      </c>
    </row>
    <row r="57" spans="1:202" outlineLevel="1" x14ac:dyDescent="0.2">
      <c r="A57" s="66" t="s">
        <v>407</v>
      </c>
      <c r="B57" s="72">
        <v>0</v>
      </c>
      <c r="C57" s="72">
        <v>0</v>
      </c>
      <c r="D57" s="72">
        <v>0</v>
      </c>
      <c r="E57" s="72">
        <v>0</v>
      </c>
      <c r="F57" s="72">
        <v>0</v>
      </c>
      <c r="G57" s="72">
        <v>0</v>
      </c>
      <c r="H57" s="72">
        <v>0</v>
      </c>
      <c r="I57" s="72">
        <v>0</v>
      </c>
      <c r="J57" s="72">
        <v>0</v>
      </c>
      <c r="K57" s="72">
        <v>0</v>
      </c>
      <c r="L57" s="72">
        <v>0</v>
      </c>
      <c r="M57" s="72">
        <v>0</v>
      </c>
      <c r="N57" s="72">
        <v>0</v>
      </c>
      <c r="O57" s="72">
        <v>0</v>
      </c>
      <c r="P57" s="72">
        <v>0</v>
      </c>
      <c r="Q57" s="72">
        <v>0</v>
      </c>
      <c r="R57" s="72">
        <v>0</v>
      </c>
      <c r="S57" s="72">
        <v>0</v>
      </c>
      <c r="T57" s="72">
        <v>0</v>
      </c>
      <c r="U57" s="72">
        <v>0</v>
      </c>
      <c r="V57" s="72">
        <v>0</v>
      </c>
      <c r="W57" s="72">
        <v>0</v>
      </c>
      <c r="X57" s="72">
        <v>0</v>
      </c>
      <c r="Y57" s="72">
        <v>0</v>
      </c>
      <c r="Z57" s="72">
        <v>0</v>
      </c>
      <c r="AA57" s="72">
        <v>0</v>
      </c>
      <c r="AB57" s="72">
        <v>0</v>
      </c>
      <c r="AC57" s="72">
        <v>0</v>
      </c>
      <c r="AD57" s="72">
        <v>0</v>
      </c>
      <c r="AE57" s="72">
        <v>0</v>
      </c>
      <c r="AF57" s="72">
        <v>0</v>
      </c>
      <c r="AG57" s="72">
        <v>0</v>
      </c>
      <c r="AH57" s="72">
        <v>0</v>
      </c>
      <c r="AI57" s="72">
        <v>0</v>
      </c>
      <c r="AJ57" s="72">
        <v>0</v>
      </c>
      <c r="AK57" s="72">
        <v>0</v>
      </c>
      <c r="AL57" s="72">
        <v>0</v>
      </c>
      <c r="AM57" s="72">
        <v>0</v>
      </c>
      <c r="AN57" s="72">
        <v>0</v>
      </c>
      <c r="AO57" s="72">
        <v>0</v>
      </c>
      <c r="AP57" s="72">
        <v>0</v>
      </c>
      <c r="AQ57" s="72">
        <v>0</v>
      </c>
      <c r="AR57" s="72">
        <v>0</v>
      </c>
      <c r="AS57" s="72">
        <v>0</v>
      </c>
      <c r="AT57" s="72">
        <v>0</v>
      </c>
      <c r="AU57" s="72">
        <v>0</v>
      </c>
      <c r="AV57" s="72">
        <v>0</v>
      </c>
      <c r="AW57" s="72">
        <v>0</v>
      </c>
      <c r="AX57" s="72">
        <v>0</v>
      </c>
      <c r="AY57" s="72">
        <v>0</v>
      </c>
      <c r="AZ57" s="72">
        <v>0</v>
      </c>
      <c r="BA57" s="72">
        <v>0</v>
      </c>
      <c r="BB57" s="72">
        <v>0</v>
      </c>
      <c r="BC57" s="72">
        <v>0</v>
      </c>
      <c r="BD57" s="72">
        <v>0</v>
      </c>
      <c r="BE57" s="72">
        <v>0</v>
      </c>
      <c r="BF57" s="72">
        <v>0</v>
      </c>
      <c r="BG57" s="72">
        <v>0</v>
      </c>
      <c r="BH57" s="72">
        <v>0</v>
      </c>
      <c r="BI57" s="72">
        <v>0</v>
      </c>
      <c r="BJ57" s="72">
        <v>0</v>
      </c>
      <c r="BK57" s="72">
        <v>0</v>
      </c>
      <c r="BL57" s="72">
        <v>0</v>
      </c>
      <c r="BM57" s="72">
        <v>0</v>
      </c>
      <c r="BN57" s="72">
        <v>0</v>
      </c>
      <c r="BO57" s="72">
        <v>0</v>
      </c>
      <c r="BP57" s="72">
        <v>0</v>
      </c>
      <c r="BQ57" s="72">
        <v>0</v>
      </c>
      <c r="BR57" s="72">
        <v>0</v>
      </c>
      <c r="BS57" s="72">
        <v>0</v>
      </c>
      <c r="BT57" s="72">
        <v>0</v>
      </c>
      <c r="BU57" s="72">
        <v>0</v>
      </c>
      <c r="BV57" s="72">
        <v>0</v>
      </c>
      <c r="BW57" s="72">
        <v>0</v>
      </c>
      <c r="BX57" s="72">
        <v>0</v>
      </c>
      <c r="BY57" s="72">
        <v>0</v>
      </c>
      <c r="BZ57" s="72">
        <v>0</v>
      </c>
      <c r="CA57" s="72">
        <v>0</v>
      </c>
      <c r="CB57" s="72">
        <v>0</v>
      </c>
      <c r="CC57" s="72">
        <v>0</v>
      </c>
      <c r="CD57" s="72">
        <v>0</v>
      </c>
      <c r="CE57" s="72">
        <v>0</v>
      </c>
      <c r="CF57" s="72">
        <v>0</v>
      </c>
      <c r="CG57" s="72">
        <v>0</v>
      </c>
      <c r="CH57" s="72">
        <v>0</v>
      </c>
      <c r="CI57" s="72">
        <v>0</v>
      </c>
      <c r="CJ57" s="72">
        <v>0</v>
      </c>
      <c r="CK57" s="72">
        <v>0</v>
      </c>
      <c r="CL57" s="72">
        <v>0</v>
      </c>
      <c r="CM57" s="72">
        <v>0</v>
      </c>
      <c r="CN57" s="72">
        <v>0</v>
      </c>
      <c r="CO57" s="72">
        <v>0</v>
      </c>
      <c r="CP57" s="72">
        <v>0</v>
      </c>
      <c r="CQ57" s="72">
        <v>0</v>
      </c>
      <c r="CR57" s="72">
        <v>0</v>
      </c>
      <c r="CS57" s="72">
        <v>0</v>
      </c>
      <c r="CT57" s="72">
        <v>0</v>
      </c>
      <c r="CU57" s="72">
        <v>0</v>
      </c>
      <c r="CV57" s="72">
        <v>0</v>
      </c>
      <c r="CW57" s="72">
        <v>0</v>
      </c>
      <c r="CX57" s="72">
        <v>0</v>
      </c>
      <c r="CY57" s="72">
        <v>0</v>
      </c>
      <c r="CZ57" s="72">
        <v>0</v>
      </c>
      <c r="DA57" s="72">
        <v>0</v>
      </c>
      <c r="DB57" s="72">
        <v>0</v>
      </c>
      <c r="DC57" s="72">
        <v>0</v>
      </c>
      <c r="DD57" s="72">
        <v>0</v>
      </c>
      <c r="DE57" s="72">
        <v>0</v>
      </c>
      <c r="DF57" s="72">
        <v>0</v>
      </c>
      <c r="DG57" s="72">
        <v>0</v>
      </c>
      <c r="DH57" s="72">
        <v>0</v>
      </c>
      <c r="DI57" s="72">
        <v>0</v>
      </c>
      <c r="DJ57" s="72">
        <v>0</v>
      </c>
      <c r="DK57" s="72">
        <v>0</v>
      </c>
      <c r="DL57" s="72">
        <v>0</v>
      </c>
      <c r="DM57" s="72">
        <v>0</v>
      </c>
      <c r="DN57" s="72">
        <v>0</v>
      </c>
      <c r="DO57" s="72">
        <v>0</v>
      </c>
      <c r="DP57" s="72">
        <v>0</v>
      </c>
      <c r="DQ57" s="72">
        <v>0</v>
      </c>
      <c r="DR57" s="72">
        <v>0</v>
      </c>
      <c r="DS57" s="72">
        <v>0</v>
      </c>
      <c r="DT57" s="72">
        <v>0</v>
      </c>
      <c r="DU57" s="72">
        <v>0</v>
      </c>
      <c r="DV57" s="72">
        <v>0</v>
      </c>
      <c r="DW57" s="72">
        <v>0</v>
      </c>
      <c r="DX57" s="72">
        <v>0</v>
      </c>
      <c r="DY57" s="72">
        <v>0</v>
      </c>
      <c r="DZ57" s="72">
        <v>0</v>
      </c>
      <c r="EA57" s="72">
        <v>0</v>
      </c>
      <c r="EB57" s="72">
        <v>0</v>
      </c>
      <c r="EC57" s="72">
        <v>0</v>
      </c>
      <c r="ED57" s="72">
        <v>0</v>
      </c>
      <c r="EE57" s="72">
        <v>0</v>
      </c>
      <c r="EF57" s="72">
        <v>0</v>
      </c>
      <c r="EG57" s="72">
        <v>0</v>
      </c>
      <c r="EH57" s="72">
        <v>0</v>
      </c>
      <c r="EI57" s="72">
        <v>0</v>
      </c>
      <c r="EJ57" s="72">
        <v>0</v>
      </c>
      <c r="EK57" s="72">
        <v>0</v>
      </c>
      <c r="EL57" s="72">
        <v>0</v>
      </c>
      <c r="EM57" s="72">
        <v>0</v>
      </c>
      <c r="EN57" s="72">
        <v>0</v>
      </c>
      <c r="EO57" s="72">
        <v>0</v>
      </c>
      <c r="EP57" s="72">
        <v>0</v>
      </c>
      <c r="EQ57" s="72">
        <v>0</v>
      </c>
      <c r="ER57" s="72">
        <v>0</v>
      </c>
      <c r="ES57" s="72">
        <v>0</v>
      </c>
      <c r="ET57" s="72">
        <v>0</v>
      </c>
      <c r="EU57" s="72">
        <v>0</v>
      </c>
      <c r="EV57" s="72">
        <v>0</v>
      </c>
      <c r="EW57" s="72">
        <v>0</v>
      </c>
      <c r="EX57" s="72">
        <v>0</v>
      </c>
      <c r="EY57" s="72">
        <v>0</v>
      </c>
      <c r="EZ57" s="72">
        <v>9180.8816374596863</v>
      </c>
      <c r="FA57" s="72">
        <v>16842.158946101063</v>
      </c>
      <c r="FB57" s="72">
        <v>0</v>
      </c>
      <c r="FC57" s="72">
        <v>142332.06286809963</v>
      </c>
      <c r="FD57" s="72">
        <v>438959.30834452272</v>
      </c>
      <c r="FE57" s="72">
        <v>0</v>
      </c>
      <c r="FF57" s="72">
        <v>7484.585183409994</v>
      </c>
      <c r="FG57" s="72">
        <v>16803.194737534443</v>
      </c>
      <c r="FH57" s="72">
        <v>0</v>
      </c>
      <c r="FI57" s="72">
        <v>12558.706059822205</v>
      </c>
      <c r="FJ57" s="72">
        <v>0</v>
      </c>
      <c r="FK57" s="72">
        <v>0</v>
      </c>
      <c r="FL57" s="72">
        <v>0</v>
      </c>
      <c r="FM57" s="72">
        <v>10358.738508866372</v>
      </c>
      <c r="FN57" s="72">
        <v>0</v>
      </c>
      <c r="FO57" s="72">
        <v>0</v>
      </c>
      <c r="FP57" s="72">
        <v>0</v>
      </c>
      <c r="FQ57" s="72">
        <v>0</v>
      </c>
      <c r="FR57" s="72">
        <v>0</v>
      </c>
      <c r="FS57" s="72">
        <v>0</v>
      </c>
      <c r="FT57" s="72">
        <v>0</v>
      </c>
      <c r="FU57" s="72">
        <v>0</v>
      </c>
      <c r="FV57" s="72">
        <v>0</v>
      </c>
      <c r="FW57" s="72">
        <v>0</v>
      </c>
      <c r="FX57" s="72">
        <v>0</v>
      </c>
      <c r="FY57" s="72">
        <v>0</v>
      </c>
      <c r="FZ57" s="72">
        <v>0</v>
      </c>
      <c r="GA57" s="72">
        <v>0</v>
      </c>
      <c r="GB57" s="72">
        <v>0</v>
      </c>
      <c r="GC57" s="72">
        <v>0</v>
      </c>
      <c r="GD57" s="72">
        <v>0</v>
      </c>
      <c r="GE57" s="72">
        <v>0</v>
      </c>
      <c r="GF57" s="72">
        <v>0</v>
      </c>
      <c r="GG57" s="72">
        <v>0</v>
      </c>
      <c r="GH57" s="72">
        <v>0</v>
      </c>
      <c r="GI57" s="72">
        <v>0</v>
      </c>
      <c r="GJ57" s="72">
        <v>0</v>
      </c>
      <c r="GK57" s="72">
        <v>0</v>
      </c>
      <c r="GL57" s="72">
        <v>0</v>
      </c>
      <c r="GM57" s="72">
        <v>0</v>
      </c>
      <c r="GN57" s="72">
        <v>0</v>
      </c>
      <c r="GO57" s="72">
        <v>0</v>
      </c>
      <c r="GP57" s="72">
        <v>0</v>
      </c>
      <c r="GQ57" s="72">
        <v>0</v>
      </c>
      <c r="GR57" s="72">
        <f t="shared" si="0"/>
        <v>654519.63628581609</v>
      </c>
      <c r="GS57" s="72">
        <f>SUM(BB$5:BB$202)</f>
        <v>654519.63628581632</v>
      </c>
      <c r="GT57" s="73">
        <v>0</v>
      </c>
    </row>
    <row r="58" spans="1:202" outlineLevel="1" x14ac:dyDescent="0.2">
      <c r="A58" s="66" t="s">
        <v>412</v>
      </c>
      <c r="B58" s="72">
        <v>0</v>
      </c>
      <c r="C58" s="72">
        <v>0</v>
      </c>
      <c r="D58" s="72">
        <v>0</v>
      </c>
      <c r="E58" s="72">
        <v>0</v>
      </c>
      <c r="F58" s="72">
        <v>0</v>
      </c>
      <c r="G58" s="72">
        <v>0</v>
      </c>
      <c r="H58" s="72">
        <v>0</v>
      </c>
      <c r="I58" s="72">
        <v>0</v>
      </c>
      <c r="J58" s="72">
        <v>0</v>
      </c>
      <c r="K58" s="72">
        <v>0</v>
      </c>
      <c r="L58" s="72">
        <v>0</v>
      </c>
      <c r="M58" s="72">
        <v>0</v>
      </c>
      <c r="N58" s="72">
        <v>0</v>
      </c>
      <c r="O58" s="72">
        <v>0</v>
      </c>
      <c r="P58" s="72">
        <v>0</v>
      </c>
      <c r="Q58" s="72">
        <v>0</v>
      </c>
      <c r="R58" s="72">
        <v>0</v>
      </c>
      <c r="S58" s="72">
        <v>0</v>
      </c>
      <c r="T58" s="72">
        <v>0</v>
      </c>
      <c r="U58" s="72">
        <v>0</v>
      </c>
      <c r="V58" s="72">
        <v>0</v>
      </c>
      <c r="W58" s="72">
        <v>0</v>
      </c>
      <c r="X58" s="72">
        <v>0</v>
      </c>
      <c r="Y58" s="72">
        <v>0</v>
      </c>
      <c r="Z58" s="72">
        <v>0</v>
      </c>
      <c r="AA58" s="72">
        <v>0</v>
      </c>
      <c r="AB58" s="72">
        <v>0</v>
      </c>
      <c r="AC58" s="72">
        <v>0</v>
      </c>
      <c r="AD58" s="72">
        <v>0</v>
      </c>
      <c r="AE58" s="72">
        <v>0</v>
      </c>
      <c r="AF58" s="72">
        <v>0</v>
      </c>
      <c r="AG58" s="72">
        <v>0</v>
      </c>
      <c r="AH58" s="72">
        <v>0</v>
      </c>
      <c r="AI58" s="72">
        <v>0</v>
      </c>
      <c r="AJ58" s="72">
        <v>0</v>
      </c>
      <c r="AK58" s="72">
        <v>0</v>
      </c>
      <c r="AL58" s="72">
        <v>0</v>
      </c>
      <c r="AM58" s="72">
        <v>0</v>
      </c>
      <c r="AN58" s="72">
        <v>0</v>
      </c>
      <c r="AO58" s="72">
        <v>0</v>
      </c>
      <c r="AP58" s="72">
        <v>0</v>
      </c>
      <c r="AQ58" s="72">
        <v>0</v>
      </c>
      <c r="AR58" s="72">
        <v>0</v>
      </c>
      <c r="AS58" s="72">
        <v>0</v>
      </c>
      <c r="AT58" s="72">
        <v>0</v>
      </c>
      <c r="AU58" s="72">
        <v>0</v>
      </c>
      <c r="AV58" s="72">
        <v>0</v>
      </c>
      <c r="AW58" s="72">
        <v>0</v>
      </c>
      <c r="AX58" s="72">
        <v>0</v>
      </c>
      <c r="AY58" s="72">
        <v>0</v>
      </c>
      <c r="AZ58" s="72">
        <v>0</v>
      </c>
      <c r="BA58" s="72">
        <v>0</v>
      </c>
      <c r="BB58" s="72">
        <v>0</v>
      </c>
      <c r="BC58" s="72">
        <v>0</v>
      </c>
      <c r="BD58" s="72">
        <v>0</v>
      </c>
      <c r="BE58" s="72">
        <v>0</v>
      </c>
      <c r="BF58" s="72">
        <v>0</v>
      </c>
      <c r="BG58" s="72">
        <v>0</v>
      </c>
      <c r="BH58" s="72">
        <v>0</v>
      </c>
      <c r="BI58" s="72">
        <v>0</v>
      </c>
      <c r="BJ58" s="72">
        <v>0</v>
      </c>
      <c r="BK58" s="72">
        <v>0</v>
      </c>
      <c r="BL58" s="72">
        <v>0</v>
      </c>
      <c r="BM58" s="72">
        <v>0</v>
      </c>
      <c r="BN58" s="72">
        <v>0</v>
      </c>
      <c r="BO58" s="72">
        <v>0</v>
      </c>
      <c r="BP58" s="72">
        <v>0</v>
      </c>
      <c r="BQ58" s="72">
        <v>0</v>
      </c>
      <c r="BR58" s="72">
        <v>0</v>
      </c>
      <c r="BS58" s="72">
        <v>0</v>
      </c>
      <c r="BT58" s="72">
        <v>0</v>
      </c>
      <c r="BU58" s="72">
        <v>0</v>
      </c>
      <c r="BV58" s="72">
        <v>0</v>
      </c>
      <c r="BW58" s="72">
        <v>0</v>
      </c>
      <c r="BX58" s="72">
        <v>0</v>
      </c>
      <c r="BY58" s="72">
        <v>0</v>
      </c>
      <c r="BZ58" s="72">
        <v>0</v>
      </c>
      <c r="CA58" s="72">
        <v>0</v>
      </c>
      <c r="CB58" s="72">
        <v>0</v>
      </c>
      <c r="CC58" s="72">
        <v>0</v>
      </c>
      <c r="CD58" s="72">
        <v>0</v>
      </c>
      <c r="CE58" s="72">
        <v>0</v>
      </c>
      <c r="CF58" s="72">
        <v>0</v>
      </c>
      <c r="CG58" s="72">
        <v>0</v>
      </c>
      <c r="CH58" s="72">
        <v>0</v>
      </c>
      <c r="CI58" s="72">
        <v>0</v>
      </c>
      <c r="CJ58" s="72">
        <v>0</v>
      </c>
      <c r="CK58" s="72">
        <v>0</v>
      </c>
      <c r="CL58" s="72">
        <v>0</v>
      </c>
      <c r="CM58" s="72">
        <v>0</v>
      </c>
      <c r="CN58" s="72">
        <v>0</v>
      </c>
      <c r="CO58" s="72">
        <v>0</v>
      </c>
      <c r="CP58" s="72">
        <v>0</v>
      </c>
      <c r="CQ58" s="72">
        <v>0</v>
      </c>
      <c r="CR58" s="72">
        <v>0</v>
      </c>
      <c r="CS58" s="72">
        <v>0</v>
      </c>
      <c r="CT58" s="72">
        <v>0</v>
      </c>
      <c r="CU58" s="72">
        <v>0</v>
      </c>
      <c r="CV58" s="72">
        <v>0</v>
      </c>
      <c r="CW58" s="72">
        <v>0</v>
      </c>
      <c r="CX58" s="72">
        <v>0</v>
      </c>
      <c r="CY58" s="72">
        <v>0</v>
      </c>
      <c r="CZ58" s="72">
        <v>0</v>
      </c>
      <c r="DA58" s="72">
        <v>0</v>
      </c>
      <c r="DB58" s="72">
        <v>0</v>
      </c>
      <c r="DC58" s="72">
        <v>0</v>
      </c>
      <c r="DD58" s="72">
        <v>0</v>
      </c>
      <c r="DE58" s="72">
        <v>0</v>
      </c>
      <c r="DF58" s="72">
        <v>0</v>
      </c>
      <c r="DG58" s="72">
        <v>0</v>
      </c>
      <c r="DH58" s="72">
        <v>0</v>
      </c>
      <c r="DI58" s="72">
        <v>0</v>
      </c>
      <c r="DJ58" s="72">
        <v>0</v>
      </c>
      <c r="DK58" s="72">
        <v>0</v>
      </c>
      <c r="DL58" s="72">
        <v>0</v>
      </c>
      <c r="DM58" s="72">
        <v>0</v>
      </c>
      <c r="DN58" s="72">
        <v>0</v>
      </c>
      <c r="DO58" s="72">
        <v>0</v>
      </c>
      <c r="DP58" s="72">
        <v>0</v>
      </c>
      <c r="DQ58" s="72">
        <v>0</v>
      </c>
      <c r="DR58" s="72">
        <v>0</v>
      </c>
      <c r="DS58" s="72">
        <v>0</v>
      </c>
      <c r="DT58" s="72">
        <v>0</v>
      </c>
      <c r="DU58" s="72">
        <v>0</v>
      </c>
      <c r="DV58" s="72">
        <v>0</v>
      </c>
      <c r="DW58" s="72">
        <v>0</v>
      </c>
      <c r="DX58" s="72">
        <v>0</v>
      </c>
      <c r="DY58" s="72">
        <v>0</v>
      </c>
      <c r="DZ58" s="72">
        <v>0</v>
      </c>
      <c r="EA58" s="72">
        <v>0</v>
      </c>
      <c r="EB58" s="72">
        <v>0</v>
      </c>
      <c r="EC58" s="72">
        <v>0</v>
      </c>
      <c r="ED58" s="72">
        <v>0</v>
      </c>
      <c r="EE58" s="72">
        <v>0</v>
      </c>
      <c r="EF58" s="72">
        <v>0</v>
      </c>
      <c r="EG58" s="72">
        <v>0</v>
      </c>
      <c r="EH58" s="72">
        <v>0</v>
      </c>
      <c r="EI58" s="72">
        <v>0</v>
      </c>
      <c r="EJ58" s="72">
        <v>0</v>
      </c>
      <c r="EK58" s="72">
        <v>0</v>
      </c>
      <c r="EL58" s="72">
        <v>0</v>
      </c>
      <c r="EM58" s="72">
        <v>0</v>
      </c>
      <c r="EN58" s="72">
        <v>0</v>
      </c>
      <c r="EO58" s="72">
        <v>0</v>
      </c>
      <c r="EP58" s="72">
        <v>0</v>
      </c>
      <c r="EQ58" s="72">
        <v>0</v>
      </c>
      <c r="ER58" s="72">
        <v>0</v>
      </c>
      <c r="ES58" s="72">
        <v>0</v>
      </c>
      <c r="ET58" s="72">
        <v>0</v>
      </c>
      <c r="EU58" s="72">
        <v>0</v>
      </c>
      <c r="EV58" s="72">
        <v>0</v>
      </c>
      <c r="EW58" s="72">
        <v>0</v>
      </c>
      <c r="EX58" s="72">
        <v>0</v>
      </c>
      <c r="EY58" s="72">
        <v>0</v>
      </c>
      <c r="EZ58" s="72">
        <v>0</v>
      </c>
      <c r="FA58" s="72">
        <v>0</v>
      </c>
      <c r="FB58" s="72">
        <v>9430.6490484694332</v>
      </c>
      <c r="FC58" s="72">
        <v>0</v>
      </c>
      <c r="FD58" s="72">
        <v>0</v>
      </c>
      <c r="FE58" s="72">
        <v>0</v>
      </c>
      <c r="FF58" s="72">
        <v>0</v>
      </c>
      <c r="FG58" s="72">
        <v>0</v>
      </c>
      <c r="FH58" s="72">
        <v>678305.5061064472</v>
      </c>
      <c r="FI58" s="72">
        <v>0</v>
      </c>
      <c r="FJ58" s="72">
        <v>0</v>
      </c>
      <c r="FK58" s="72">
        <v>0</v>
      </c>
      <c r="FL58" s="72">
        <v>0</v>
      </c>
      <c r="FM58" s="72">
        <v>0</v>
      </c>
      <c r="FN58" s="72">
        <v>0</v>
      </c>
      <c r="FO58" s="72">
        <v>0</v>
      </c>
      <c r="FP58" s="72">
        <v>0</v>
      </c>
      <c r="FQ58" s="72">
        <v>0</v>
      </c>
      <c r="FR58" s="72">
        <v>0</v>
      </c>
      <c r="FS58" s="72">
        <v>0</v>
      </c>
      <c r="FT58" s="72">
        <v>0</v>
      </c>
      <c r="FU58" s="72">
        <v>0</v>
      </c>
      <c r="FV58" s="72">
        <v>0</v>
      </c>
      <c r="FW58" s="72">
        <v>0</v>
      </c>
      <c r="FX58" s="72">
        <v>0</v>
      </c>
      <c r="FY58" s="72">
        <v>0</v>
      </c>
      <c r="FZ58" s="72">
        <v>0</v>
      </c>
      <c r="GA58" s="72">
        <v>0</v>
      </c>
      <c r="GB58" s="72">
        <v>0</v>
      </c>
      <c r="GC58" s="72">
        <v>0</v>
      </c>
      <c r="GD58" s="72">
        <v>0</v>
      </c>
      <c r="GE58" s="72">
        <v>0</v>
      </c>
      <c r="GF58" s="72">
        <v>0</v>
      </c>
      <c r="GG58" s="72">
        <v>0</v>
      </c>
      <c r="GH58" s="72">
        <v>0</v>
      </c>
      <c r="GI58" s="72">
        <v>0</v>
      </c>
      <c r="GJ58" s="72">
        <v>0</v>
      </c>
      <c r="GK58" s="72">
        <v>0</v>
      </c>
      <c r="GL58" s="72">
        <v>0</v>
      </c>
      <c r="GM58" s="72">
        <v>0</v>
      </c>
      <c r="GN58" s="72">
        <v>0</v>
      </c>
      <c r="GO58" s="72">
        <v>0</v>
      </c>
      <c r="GP58" s="72">
        <v>0</v>
      </c>
      <c r="GQ58" s="72">
        <v>0</v>
      </c>
      <c r="GR58" s="72">
        <f t="shared" si="0"/>
        <v>687736.15515491657</v>
      </c>
      <c r="GS58" s="72">
        <f>SUM(BC$5:BC$202)</f>
        <v>687736.15515491669</v>
      </c>
      <c r="GT58" s="73">
        <v>0</v>
      </c>
    </row>
    <row r="59" spans="1:202" outlineLevel="1" x14ac:dyDescent="0.2">
      <c r="A59" s="66" t="s">
        <v>415</v>
      </c>
      <c r="B59" s="72">
        <v>0</v>
      </c>
      <c r="C59" s="72">
        <v>0</v>
      </c>
      <c r="D59" s="72">
        <v>0</v>
      </c>
      <c r="E59" s="72">
        <v>0</v>
      </c>
      <c r="F59" s="72">
        <v>0</v>
      </c>
      <c r="G59" s="72">
        <v>0</v>
      </c>
      <c r="H59" s="72">
        <v>0</v>
      </c>
      <c r="I59" s="72">
        <v>0</v>
      </c>
      <c r="J59" s="72">
        <v>0</v>
      </c>
      <c r="K59" s="72">
        <v>0</v>
      </c>
      <c r="L59" s="72">
        <v>0</v>
      </c>
      <c r="M59" s="72">
        <v>0</v>
      </c>
      <c r="N59" s="72">
        <v>0</v>
      </c>
      <c r="O59" s="72">
        <v>0</v>
      </c>
      <c r="P59" s="72">
        <v>0</v>
      </c>
      <c r="Q59" s="72">
        <v>0</v>
      </c>
      <c r="R59" s="72">
        <v>0</v>
      </c>
      <c r="S59" s="72">
        <v>0</v>
      </c>
      <c r="T59" s="72">
        <v>0</v>
      </c>
      <c r="U59" s="72">
        <v>0</v>
      </c>
      <c r="V59" s="72">
        <v>0</v>
      </c>
      <c r="W59" s="72">
        <v>0</v>
      </c>
      <c r="X59" s="72">
        <v>0</v>
      </c>
      <c r="Y59" s="72">
        <v>0</v>
      </c>
      <c r="Z59" s="72">
        <v>0</v>
      </c>
      <c r="AA59" s="72">
        <v>0</v>
      </c>
      <c r="AB59" s="72">
        <v>0</v>
      </c>
      <c r="AC59" s="72">
        <v>0</v>
      </c>
      <c r="AD59" s="72">
        <v>0</v>
      </c>
      <c r="AE59" s="72">
        <v>0</v>
      </c>
      <c r="AF59" s="72">
        <v>0</v>
      </c>
      <c r="AG59" s="72">
        <v>0</v>
      </c>
      <c r="AH59" s="72">
        <v>0</v>
      </c>
      <c r="AI59" s="72">
        <v>0</v>
      </c>
      <c r="AJ59" s="72">
        <v>0</v>
      </c>
      <c r="AK59" s="72">
        <v>0</v>
      </c>
      <c r="AL59" s="72">
        <v>0</v>
      </c>
      <c r="AM59" s="72">
        <v>0</v>
      </c>
      <c r="AN59" s="72">
        <v>0</v>
      </c>
      <c r="AO59" s="72">
        <v>0</v>
      </c>
      <c r="AP59" s="72">
        <v>0</v>
      </c>
      <c r="AQ59" s="72">
        <v>0</v>
      </c>
      <c r="AR59" s="72">
        <v>0</v>
      </c>
      <c r="AS59" s="72">
        <v>0</v>
      </c>
      <c r="AT59" s="72">
        <v>0</v>
      </c>
      <c r="AU59" s="72">
        <v>0</v>
      </c>
      <c r="AV59" s="72">
        <v>0</v>
      </c>
      <c r="AW59" s="72">
        <v>0</v>
      </c>
      <c r="AX59" s="72">
        <v>0</v>
      </c>
      <c r="AY59" s="72">
        <v>0</v>
      </c>
      <c r="AZ59" s="72">
        <v>0</v>
      </c>
      <c r="BA59" s="72">
        <v>0</v>
      </c>
      <c r="BB59" s="72">
        <v>0</v>
      </c>
      <c r="BC59" s="72">
        <v>0</v>
      </c>
      <c r="BD59" s="72">
        <v>0</v>
      </c>
      <c r="BE59" s="72">
        <v>0</v>
      </c>
      <c r="BF59" s="72">
        <v>0</v>
      </c>
      <c r="BG59" s="72">
        <v>0</v>
      </c>
      <c r="BH59" s="72">
        <v>0</v>
      </c>
      <c r="BI59" s="72">
        <v>0</v>
      </c>
      <c r="BJ59" s="72">
        <v>0</v>
      </c>
      <c r="BK59" s="72">
        <v>0</v>
      </c>
      <c r="BL59" s="72">
        <v>0</v>
      </c>
      <c r="BM59" s="72">
        <v>0</v>
      </c>
      <c r="BN59" s="72">
        <v>0</v>
      </c>
      <c r="BO59" s="72">
        <v>0</v>
      </c>
      <c r="BP59" s="72">
        <v>0</v>
      </c>
      <c r="BQ59" s="72">
        <v>0</v>
      </c>
      <c r="BR59" s="72">
        <v>0</v>
      </c>
      <c r="BS59" s="72">
        <v>0</v>
      </c>
      <c r="BT59" s="72">
        <v>0</v>
      </c>
      <c r="BU59" s="72">
        <v>0</v>
      </c>
      <c r="BV59" s="72">
        <v>0</v>
      </c>
      <c r="BW59" s="72">
        <v>0</v>
      </c>
      <c r="BX59" s="72">
        <v>0</v>
      </c>
      <c r="BY59" s="72">
        <v>0</v>
      </c>
      <c r="BZ59" s="72">
        <v>0</v>
      </c>
      <c r="CA59" s="72">
        <v>0</v>
      </c>
      <c r="CB59" s="72">
        <v>0</v>
      </c>
      <c r="CC59" s="72">
        <v>0</v>
      </c>
      <c r="CD59" s="72">
        <v>0</v>
      </c>
      <c r="CE59" s="72">
        <v>0</v>
      </c>
      <c r="CF59" s="72">
        <v>0</v>
      </c>
      <c r="CG59" s="72">
        <v>0</v>
      </c>
      <c r="CH59" s="72">
        <v>0</v>
      </c>
      <c r="CI59" s="72">
        <v>0</v>
      </c>
      <c r="CJ59" s="72">
        <v>0</v>
      </c>
      <c r="CK59" s="72">
        <v>0</v>
      </c>
      <c r="CL59" s="72">
        <v>0</v>
      </c>
      <c r="CM59" s="72">
        <v>0</v>
      </c>
      <c r="CN59" s="72">
        <v>0</v>
      </c>
      <c r="CO59" s="72">
        <v>0</v>
      </c>
      <c r="CP59" s="72">
        <v>0</v>
      </c>
      <c r="CQ59" s="72">
        <v>0</v>
      </c>
      <c r="CR59" s="72">
        <v>0</v>
      </c>
      <c r="CS59" s="72">
        <v>0</v>
      </c>
      <c r="CT59" s="72">
        <v>0</v>
      </c>
      <c r="CU59" s="72">
        <v>0</v>
      </c>
      <c r="CV59" s="72">
        <v>0</v>
      </c>
      <c r="CW59" s="72">
        <v>0</v>
      </c>
      <c r="CX59" s="72">
        <v>0</v>
      </c>
      <c r="CY59" s="72">
        <v>0</v>
      </c>
      <c r="CZ59" s="72">
        <v>0</v>
      </c>
      <c r="DA59" s="72">
        <v>0</v>
      </c>
      <c r="DB59" s="72">
        <v>0</v>
      </c>
      <c r="DC59" s="72">
        <v>0</v>
      </c>
      <c r="DD59" s="72">
        <v>0</v>
      </c>
      <c r="DE59" s="72">
        <v>0</v>
      </c>
      <c r="DF59" s="72">
        <v>0</v>
      </c>
      <c r="DG59" s="72">
        <v>0</v>
      </c>
      <c r="DH59" s="72">
        <v>0</v>
      </c>
      <c r="DI59" s="72">
        <v>0</v>
      </c>
      <c r="DJ59" s="72">
        <v>0</v>
      </c>
      <c r="DK59" s="72">
        <v>0</v>
      </c>
      <c r="DL59" s="72">
        <v>0</v>
      </c>
      <c r="DM59" s="72">
        <v>0</v>
      </c>
      <c r="DN59" s="72">
        <v>0</v>
      </c>
      <c r="DO59" s="72">
        <v>0</v>
      </c>
      <c r="DP59" s="72">
        <v>0</v>
      </c>
      <c r="DQ59" s="72">
        <v>0</v>
      </c>
      <c r="DR59" s="72">
        <v>0</v>
      </c>
      <c r="DS59" s="72">
        <v>0</v>
      </c>
      <c r="DT59" s="72">
        <v>0</v>
      </c>
      <c r="DU59" s="72">
        <v>0</v>
      </c>
      <c r="DV59" s="72">
        <v>0</v>
      </c>
      <c r="DW59" s="72">
        <v>0</v>
      </c>
      <c r="DX59" s="72">
        <v>0</v>
      </c>
      <c r="DY59" s="72">
        <v>0</v>
      </c>
      <c r="DZ59" s="72">
        <v>0</v>
      </c>
      <c r="EA59" s="72">
        <v>0</v>
      </c>
      <c r="EB59" s="72">
        <v>0</v>
      </c>
      <c r="EC59" s="72">
        <v>0</v>
      </c>
      <c r="ED59" s="72">
        <v>0</v>
      </c>
      <c r="EE59" s="72">
        <v>0</v>
      </c>
      <c r="EF59" s="72">
        <v>0</v>
      </c>
      <c r="EG59" s="72">
        <v>0</v>
      </c>
      <c r="EH59" s="72">
        <v>0</v>
      </c>
      <c r="EI59" s="72">
        <v>0</v>
      </c>
      <c r="EJ59" s="72">
        <v>0</v>
      </c>
      <c r="EK59" s="72">
        <v>0</v>
      </c>
      <c r="EL59" s="72">
        <v>0</v>
      </c>
      <c r="EM59" s="72">
        <v>31246.767789633075</v>
      </c>
      <c r="EN59" s="72">
        <v>0</v>
      </c>
      <c r="EO59" s="72">
        <v>0</v>
      </c>
      <c r="EP59" s="72">
        <v>0</v>
      </c>
      <c r="EQ59" s="72">
        <v>0</v>
      </c>
      <c r="ER59" s="72">
        <v>0</v>
      </c>
      <c r="ES59" s="72">
        <v>0</v>
      </c>
      <c r="ET59" s="72">
        <v>0</v>
      </c>
      <c r="EU59" s="72">
        <v>0</v>
      </c>
      <c r="EV59" s="72">
        <v>0</v>
      </c>
      <c r="EW59" s="72">
        <v>0</v>
      </c>
      <c r="EX59" s="72">
        <v>0</v>
      </c>
      <c r="EY59" s="72">
        <v>0</v>
      </c>
      <c r="EZ59" s="72">
        <v>177.00005785739398</v>
      </c>
      <c r="FA59" s="72">
        <v>3.5757587445938173</v>
      </c>
      <c r="FB59" s="72">
        <v>13622.040461451017</v>
      </c>
      <c r="FC59" s="72">
        <v>0</v>
      </c>
      <c r="FD59" s="72">
        <v>0</v>
      </c>
      <c r="FE59" s="72">
        <v>0</v>
      </c>
      <c r="FF59" s="72">
        <v>0</v>
      </c>
      <c r="FG59" s="72">
        <v>0</v>
      </c>
      <c r="FH59" s="72">
        <v>0</v>
      </c>
      <c r="FI59" s="72">
        <v>442834.2905621836</v>
      </c>
      <c r="FJ59" s="72">
        <v>0</v>
      </c>
      <c r="FK59" s="72">
        <v>0</v>
      </c>
      <c r="FL59" s="72">
        <v>0</v>
      </c>
      <c r="FM59" s="72">
        <v>0</v>
      </c>
      <c r="FN59" s="72">
        <v>0</v>
      </c>
      <c r="FO59" s="72">
        <v>0</v>
      </c>
      <c r="FP59" s="72">
        <v>0</v>
      </c>
      <c r="FQ59" s="72">
        <v>0</v>
      </c>
      <c r="FR59" s="72">
        <v>0</v>
      </c>
      <c r="FS59" s="72">
        <v>0</v>
      </c>
      <c r="FT59" s="72">
        <v>0</v>
      </c>
      <c r="FU59" s="72">
        <v>0</v>
      </c>
      <c r="FV59" s="72">
        <v>0</v>
      </c>
      <c r="FW59" s="72">
        <v>0</v>
      </c>
      <c r="FX59" s="72">
        <v>0</v>
      </c>
      <c r="FY59" s="72">
        <v>0</v>
      </c>
      <c r="FZ59" s="72">
        <v>0</v>
      </c>
      <c r="GA59" s="72">
        <v>0</v>
      </c>
      <c r="GB59" s="72">
        <v>0</v>
      </c>
      <c r="GC59" s="72">
        <v>0</v>
      </c>
      <c r="GD59" s="72">
        <v>0</v>
      </c>
      <c r="GE59" s="72">
        <v>0</v>
      </c>
      <c r="GF59" s="72">
        <v>0</v>
      </c>
      <c r="GG59" s="72">
        <v>0</v>
      </c>
      <c r="GH59" s="72">
        <v>0</v>
      </c>
      <c r="GI59" s="72">
        <v>0</v>
      </c>
      <c r="GJ59" s="72">
        <v>0</v>
      </c>
      <c r="GK59" s="72">
        <v>0</v>
      </c>
      <c r="GL59" s="72">
        <v>0</v>
      </c>
      <c r="GM59" s="72">
        <v>0</v>
      </c>
      <c r="GN59" s="72">
        <v>0</v>
      </c>
      <c r="GO59" s="72">
        <v>0</v>
      </c>
      <c r="GP59" s="72">
        <v>0</v>
      </c>
      <c r="GQ59" s="72">
        <v>0</v>
      </c>
      <c r="GR59" s="72">
        <f t="shared" si="0"/>
        <v>487883.6746298697</v>
      </c>
      <c r="GS59" s="72">
        <f>SUM(BD$5:BD$202)</f>
        <v>487883.6746298697</v>
      </c>
      <c r="GT59" s="73">
        <v>0</v>
      </c>
    </row>
    <row r="60" spans="1:202" outlineLevel="1" x14ac:dyDescent="0.2">
      <c r="A60" s="66" t="s">
        <v>420</v>
      </c>
      <c r="B60" s="72">
        <v>0</v>
      </c>
      <c r="C60" s="72">
        <v>0</v>
      </c>
      <c r="D60" s="72">
        <v>0</v>
      </c>
      <c r="E60" s="72">
        <v>0</v>
      </c>
      <c r="F60" s="72">
        <v>0</v>
      </c>
      <c r="G60" s="72">
        <v>0</v>
      </c>
      <c r="H60" s="72">
        <v>0</v>
      </c>
      <c r="I60" s="72">
        <v>0</v>
      </c>
      <c r="J60" s="72">
        <v>0</v>
      </c>
      <c r="K60" s="72">
        <v>0</v>
      </c>
      <c r="L60" s="72">
        <v>0</v>
      </c>
      <c r="M60" s="72">
        <v>0</v>
      </c>
      <c r="N60" s="72">
        <v>0</v>
      </c>
      <c r="O60" s="72">
        <v>0</v>
      </c>
      <c r="P60" s="72">
        <v>0</v>
      </c>
      <c r="Q60" s="72">
        <v>0</v>
      </c>
      <c r="R60" s="72">
        <v>0</v>
      </c>
      <c r="S60" s="72">
        <v>0</v>
      </c>
      <c r="T60" s="72">
        <v>0</v>
      </c>
      <c r="U60" s="72">
        <v>0</v>
      </c>
      <c r="V60" s="72">
        <v>0</v>
      </c>
      <c r="W60" s="72">
        <v>0</v>
      </c>
      <c r="X60" s="72">
        <v>0</v>
      </c>
      <c r="Y60" s="72">
        <v>0</v>
      </c>
      <c r="Z60" s="72">
        <v>0</v>
      </c>
      <c r="AA60" s="72">
        <v>0</v>
      </c>
      <c r="AB60" s="72">
        <v>0</v>
      </c>
      <c r="AC60" s="72">
        <v>0</v>
      </c>
      <c r="AD60" s="72">
        <v>0</v>
      </c>
      <c r="AE60" s="72">
        <v>0</v>
      </c>
      <c r="AF60" s="72">
        <v>0</v>
      </c>
      <c r="AG60" s="72">
        <v>0</v>
      </c>
      <c r="AH60" s="72">
        <v>0</v>
      </c>
      <c r="AI60" s="72">
        <v>0</v>
      </c>
      <c r="AJ60" s="72">
        <v>0</v>
      </c>
      <c r="AK60" s="72">
        <v>0</v>
      </c>
      <c r="AL60" s="72">
        <v>0</v>
      </c>
      <c r="AM60" s="72">
        <v>0</v>
      </c>
      <c r="AN60" s="72">
        <v>0</v>
      </c>
      <c r="AO60" s="72">
        <v>0</v>
      </c>
      <c r="AP60" s="72">
        <v>0</v>
      </c>
      <c r="AQ60" s="72">
        <v>0</v>
      </c>
      <c r="AR60" s="72">
        <v>0</v>
      </c>
      <c r="AS60" s="72">
        <v>0</v>
      </c>
      <c r="AT60" s="72">
        <v>0</v>
      </c>
      <c r="AU60" s="72">
        <v>0</v>
      </c>
      <c r="AV60" s="72">
        <v>0</v>
      </c>
      <c r="AW60" s="72">
        <v>0</v>
      </c>
      <c r="AX60" s="72">
        <v>0</v>
      </c>
      <c r="AY60" s="72">
        <v>0</v>
      </c>
      <c r="AZ60" s="72">
        <v>0</v>
      </c>
      <c r="BA60" s="72">
        <v>0</v>
      </c>
      <c r="BB60" s="72">
        <v>0</v>
      </c>
      <c r="BC60" s="72">
        <v>0</v>
      </c>
      <c r="BD60" s="72">
        <v>0</v>
      </c>
      <c r="BE60" s="72">
        <v>0</v>
      </c>
      <c r="BF60" s="72">
        <v>0</v>
      </c>
      <c r="BG60" s="72">
        <v>0</v>
      </c>
      <c r="BH60" s="72">
        <v>0</v>
      </c>
      <c r="BI60" s="72">
        <v>0</v>
      </c>
      <c r="BJ60" s="72">
        <v>0</v>
      </c>
      <c r="BK60" s="72">
        <v>0</v>
      </c>
      <c r="BL60" s="72">
        <v>0</v>
      </c>
      <c r="BM60" s="72">
        <v>0</v>
      </c>
      <c r="BN60" s="72">
        <v>0</v>
      </c>
      <c r="BO60" s="72">
        <v>0</v>
      </c>
      <c r="BP60" s="72">
        <v>0</v>
      </c>
      <c r="BQ60" s="72">
        <v>0</v>
      </c>
      <c r="BR60" s="72">
        <v>0</v>
      </c>
      <c r="BS60" s="72">
        <v>0</v>
      </c>
      <c r="BT60" s="72">
        <v>0</v>
      </c>
      <c r="BU60" s="72">
        <v>0</v>
      </c>
      <c r="BV60" s="72">
        <v>0</v>
      </c>
      <c r="BW60" s="72">
        <v>0</v>
      </c>
      <c r="BX60" s="72">
        <v>0</v>
      </c>
      <c r="BY60" s="72">
        <v>0</v>
      </c>
      <c r="BZ60" s="72">
        <v>0</v>
      </c>
      <c r="CA60" s="72">
        <v>0</v>
      </c>
      <c r="CB60" s="72">
        <v>0</v>
      </c>
      <c r="CC60" s="72">
        <v>0</v>
      </c>
      <c r="CD60" s="72">
        <v>0</v>
      </c>
      <c r="CE60" s="72">
        <v>0</v>
      </c>
      <c r="CF60" s="72">
        <v>0</v>
      </c>
      <c r="CG60" s="72">
        <v>0</v>
      </c>
      <c r="CH60" s="72">
        <v>0</v>
      </c>
      <c r="CI60" s="72">
        <v>0</v>
      </c>
      <c r="CJ60" s="72">
        <v>0</v>
      </c>
      <c r="CK60" s="72">
        <v>0</v>
      </c>
      <c r="CL60" s="72">
        <v>0</v>
      </c>
      <c r="CM60" s="72">
        <v>0</v>
      </c>
      <c r="CN60" s="72">
        <v>0</v>
      </c>
      <c r="CO60" s="72">
        <v>0</v>
      </c>
      <c r="CP60" s="72">
        <v>0</v>
      </c>
      <c r="CQ60" s="72">
        <v>0</v>
      </c>
      <c r="CR60" s="72">
        <v>0</v>
      </c>
      <c r="CS60" s="72">
        <v>0</v>
      </c>
      <c r="CT60" s="72">
        <v>0</v>
      </c>
      <c r="CU60" s="72">
        <v>0</v>
      </c>
      <c r="CV60" s="72">
        <v>0</v>
      </c>
      <c r="CW60" s="72">
        <v>0</v>
      </c>
      <c r="CX60" s="72">
        <v>0</v>
      </c>
      <c r="CY60" s="72">
        <v>0</v>
      </c>
      <c r="CZ60" s="72">
        <v>0</v>
      </c>
      <c r="DA60" s="72">
        <v>0</v>
      </c>
      <c r="DB60" s="72">
        <v>0</v>
      </c>
      <c r="DC60" s="72">
        <v>0</v>
      </c>
      <c r="DD60" s="72">
        <v>0</v>
      </c>
      <c r="DE60" s="72">
        <v>0</v>
      </c>
      <c r="DF60" s="72">
        <v>0</v>
      </c>
      <c r="DG60" s="72">
        <v>0</v>
      </c>
      <c r="DH60" s="72">
        <v>0</v>
      </c>
      <c r="DI60" s="72">
        <v>0</v>
      </c>
      <c r="DJ60" s="72">
        <v>0</v>
      </c>
      <c r="DK60" s="72">
        <v>0</v>
      </c>
      <c r="DL60" s="72">
        <v>0</v>
      </c>
      <c r="DM60" s="72">
        <v>0</v>
      </c>
      <c r="DN60" s="72">
        <v>0</v>
      </c>
      <c r="DO60" s="72">
        <v>0</v>
      </c>
      <c r="DP60" s="72">
        <v>0</v>
      </c>
      <c r="DQ60" s="72">
        <v>0</v>
      </c>
      <c r="DR60" s="72">
        <v>0</v>
      </c>
      <c r="DS60" s="72">
        <v>0</v>
      </c>
      <c r="DT60" s="72">
        <v>0</v>
      </c>
      <c r="DU60" s="72">
        <v>0</v>
      </c>
      <c r="DV60" s="72">
        <v>0</v>
      </c>
      <c r="DW60" s="72">
        <v>0</v>
      </c>
      <c r="DX60" s="72">
        <v>0</v>
      </c>
      <c r="DY60" s="72">
        <v>0</v>
      </c>
      <c r="DZ60" s="72">
        <v>0</v>
      </c>
      <c r="EA60" s="72">
        <v>0</v>
      </c>
      <c r="EB60" s="72">
        <v>0</v>
      </c>
      <c r="EC60" s="72">
        <v>0</v>
      </c>
      <c r="ED60" s="72">
        <v>0</v>
      </c>
      <c r="EE60" s="72">
        <v>0</v>
      </c>
      <c r="EF60" s="72">
        <v>0</v>
      </c>
      <c r="EG60" s="72">
        <v>0</v>
      </c>
      <c r="EH60" s="72">
        <v>0</v>
      </c>
      <c r="EI60" s="72">
        <v>0</v>
      </c>
      <c r="EJ60" s="72">
        <v>0</v>
      </c>
      <c r="EK60" s="72">
        <v>0</v>
      </c>
      <c r="EL60" s="72">
        <v>0</v>
      </c>
      <c r="EM60" s="72">
        <v>0</v>
      </c>
      <c r="EN60" s="72">
        <v>0</v>
      </c>
      <c r="EO60" s="72">
        <v>0</v>
      </c>
      <c r="EP60" s="72">
        <v>0</v>
      </c>
      <c r="EQ60" s="72">
        <v>0</v>
      </c>
      <c r="ER60" s="72">
        <v>0</v>
      </c>
      <c r="ES60" s="72">
        <v>0</v>
      </c>
      <c r="ET60" s="72">
        <v>0</v>
      </c>
      <c r="EU60" s="72">
        <v>0</v>
      </c>
      <c r="EV60" s="72">
        <v>0</v>
      </c>
      <c r="EW60" s="72">
        <v>0</v>
      </c>
      <c r="EX60" s="72">
        <v>0</v>
      </c>
      <c r="EY60" s="72">
        <v>0</v>
      </c>
      <c r="EZ60" s="72">
        <v>1601.3892641036773</v>
      </c>
      <c r="FA60" s="72">
        <v>139.55636048142765</v>
      </c>
      <c r="FB60" s="72">
        <v>0</v>
      </c>
      <c r="FC60" s="72">
        <v>0</v>
      </c>
      <c r="FD60" s="72">
        <v>8235.6978309487422</v>
      </c>
      <c r="FE60" s="72">
        <v>0</v>
      </c>
      <c r="FF60" s="72">
        <v>0</v>
      </c>
      <c r="FG60" s="72">
        <v>0</v>
      </c>
      <c r="FH60" s="72">
        <v>21252.597211680932</v>
      </c>
      <c r="FI60" s="72">
        <v>0</v>
      </c>
      <c r="FJ60" s="72">
        <v>347889.87197557918</v>
      </c>
      <c r="FK60" s="72">
        <v>0</v>
      </c>
      <c r="FL60" s="72">
        <v>0</v>
      </c>
      <c r="FM60" s="72">
        <v>0</v>
      </c>
      <c r="FN60" s="72">
        <v>0</v>
      </c>
      <c r="FO60" s="72">
        <v>0</v>
      </c>
      <c r="FP60" s="72">
        <v>0</v>
      </c>
      <c r="FQ60" s="72">
        <v>0</v>
      </c>
      <c r="FR60" s="72">
        <v>0</v>
      </c>
      <c r="FS60" s="72">
        <v>0</v>
      </c>
      <c r="FT60" s="72">
        <v>0</v>
      </c>
      <c r="FU60" s="72">
        <v>0</v>
      </c>
      <c r="FV60" s="72">
        <v>0</v>
      </c>
      <c r="FW60" s="72">
        <v>0</v>
      </c>
      <c r="FX60" s="72">
        <v>0</v>
      </c>
      <c r="FY60" s="72">
        <v>0</v>
      </c>
      <c r="FZ60" s="72">
        <v>0</v>
      </c>
      <c r="GA60" s="72">
        <v>0</v>
      </c>
      <c r="GB60" s="72">
        <v>0</v>
      </c>
      <c r="GC60" s="72">
        <v>0</v>
      </c>
      <c r="GD60" s="72">
        <v>0</v>
      </c>
      <c r="GE60" s="72">
        <v>0</v>
      </c>
      <c r="GF60" s="72">
        <v>0</v>
      </c>
      <c r="GG60" s="72">
        <v>0</v>
      </c>
      <c r="GH60" s="72">
        <v>0</v>
      </c>
      <c r="GI60" s="72">
        <v>0</v>
      </c>
      <c r="GJ60" s="72">
        <v>0</v>
      </c>
      <c r="GK60" s="72">
        <v>0</v>
      </c>
      <c r="GL60" s="72">
        <v>0</v>
      </c>
      <c r="GM60" s="72">
        <v>0</v>
      </c>
      <c r="GN60" s="72">
        <v>0</v>
      </c>
      <c r="GO60" s="72">
        <v>0</v>
      </c>
      <c r="GP60" s="72">
        <v>0</v>
      </c>
      <c r="GQ60" s="72">
        <v>0</v>
      </c>
      <c r="GR60" s="72">
        <f t="shared" si="0"/>
        <v>379119.11264279397</v>
      </c>
      <c r="GS60" s="72">
        <f>SUM(BE$5:BE$202)</f>
        <v>379119.11264279403</v>
      </c>
      <c r="GT60" s="73">
        <v>0</v>
      </c>
    </row>
    <row r="61" spans="1:202" outlineLevel="1" x14ac:dyDescent="0.2">
      <c r="A61" s="66" t="s">
        <v>426</v>
      </c>
      <c r="B61" s="72">
        <v>0</v>
      </c>
      <c r="C61" s="72">
        <v>0</v>
      </c>
      <c r="D61" s="72">
        <v>0</v>
      </c>
      <c r="E61" s="72">
        <v>0</v>
      </c>
      <c r="F61" s="72">
        <v>0</v>
      </c>
      <c r="G61" s="72">
        <v>0</v>
      </c>
      <c r="H61" s="72">
        <v>0</v>
      </c>
      <c r="I61" s="72">
        <v>0</v>
      </c>
      <c r="J61" s="72">
        <v>0</v>
      </c>
      <c r="K61" s="72">
        <v>0</v>
      </c>
      <c r="L61" s="72">
        <v>0</v>
      </c>
      <c r="M61" s="72">
        <v>0</v>
      </c>
      <c r="N61" s="72">
        <v>0</v>
      </c>
      <c r="O61" s="72">
        <v>0</v>
      </c>
      <c r="P61" s="72">
        <v>0</v>
      </c>
      <c r="Q61" s="72">
        <v>0</v>
      </c>
      <c r="R61" s="72">
        <v>0</v>
      </c>
      <c r="S61" s="72">
        <v>0</v>
      </c>
      <c r="T61" s="72">
        <v>0</v>
      </c>
      <c r="U61" s="72">
        <v>0</v>
      </c>
      <c r="V61" s="72">
        <v>0</v>
      </c>
      <c r="W61" s="72">
        <v>0</v>
      </c>
      <c r="X61" s="72">
        <v>0</v>
      </c>
      <c r="Y61" s="72">
        <v>0</v>
      </c>
      <c r="Z61" s="72">
        <v>0</v>
      </c>
      <c r="AA61" s="72">
        <v>0</v>
      </c>
      <c r="AB61" s="72">
        <v>0</v>
      </c>
      <c r="AC61" s="72">
        <v>0</v>
      </c>
      <c r="AD61" s="72">
        <v>0</v>
      </c>
      <c r="AE61" s="72">
        <v>0</v>
      </c>
      <c r="AF61" s="72">
        <v>0</v>
      </c>
      <c r="AG61" s="72">
        <v>0</v>
      </c>
      <c r="AH61" s="72">
        <v>0</v>
      </c>
      <c r="AI61" s="72">
        <v>0</v>
      </c>
      <c r="AJ61" s="72">
        <v>0</v>
      </c>
      <c r="AK61" s="72">
        <v>0</v>
      </c>
      <c r="AL61" s="72">
        <v>0</v>
      </c>
      <c r="AM61" s="72">
        <v>0</v>
      </c>
      <c r="AN61" s="72">
        <v>0</v>
      </c>
      <c r="AO61" s="72">
        <v>0</v>
      </c>
      <c r="AP61" s="72">
        <v>0</v>
      </c>
      <c r="AQ61" s="72">
        <v>0</v>
      </c>
      <c r="AR61" s="72">
        <v>0</v>
      </c>
      <c r="AS61" s="72">
        <v>0</v>
      </c>
      <c r="AT61" s="72">
        <v>0</v>
      </c>
      <c r="AU61" s="72">
        <v>0</v>
      </c>
      <c r="AV61" s="72">
        <v>0</v>
      </c>
      <c r="AW61" s="72">
        <v>0</v>
      </c>
      <c r="AX61" s="72">
        <v>0</v>
      </c>
      <c r="AY61" s="72">
        <v>0</v>
      </c>
      <c r="AZ61" s="72">
        <v>0</v>
      </c>
      <c r="BA61" s="72">
        <v>0</v>
      </c>
      <c r="BB61" s="72">
        <v>0</v>
      </c>
      <c r="BC61" s="72">
        <v>0</v>
      </c>
      <c r="BD61" s="72">
        <v>0</v>
      </c>
      <c r="BE61" s="72">
        <v>0</v>
      </c>
      <c r="BF61" s="72">
        <v>0</v>
      </c>
      <c r="BG61" s="72">
        <v>0</v>
      </c>
      <c r="BH61" s="72">
        <v>0</v>
      </c>
      <c r="BI61" s="72">
        <v>0</v>
      </c>
      <c r="BJ61" s="72">
        <v>0</v>
      </c>
      <c r="BK61" s="72">
        <v>0</v>
      </c>
      <c r="BL61" s="72">
        <v>0</v>
      </c>
      <c r="BM61" s="72">
        <v>0</v>
      </c>
      <c r="BN61" s="72">
        <v>0</v>
      </c>
      <c r="BO61" s="72">
        <v>0</v>
      </c>
      <c r="BP61" s="72">
        <v>0</v>
      </c>
      <c r="BQ61" s="72">
        <v>0</v>
      </c>
      <c r="BR61" s="72">
        <v>0</v>
      </c>
      <c r="BS61" s="72">
        <v>0</v>
      </c>
      <c r="BT61" s="72">
        <v>0</v>
      </c>
      <c r="BU61" s="72">
        <v>0</v>
      </c>
      <c r="BV61" s="72">
        <v>0</v>
      </c>
      <c r="BW61" s="72">
        <v>0</v>
      </c>
      <c r="BX61" s="72">
        <v>0</v>
      </c>
      <c r="BY61" s="72">
        <v>0</v>
      </c>
      <c r="BZ61" s="72">
        <v>0</v>
      </c>
      <c r="CA61" s="72">
        <v>0</v>
      </c>
      <c r="CB61" s="72">
        <v>0</v>
      </c>
      <c r="CC61" s="72">
        <v>0</v>
      </c>
      <c r="CD61" s="72">
        <v>0</v>
      </c>
      <c r="CE61" s="72">
        <v>0</v>
      </c>
      <c r="CF61" s="72">
        <v>0</v>
      </c>
      <c r="CG61" s="72">
        <v>0</v>
      </c>
      <c r="CH61" s="72">
        <v>0</v>
      </c>
      <c r="CI61" s="72">
        <v>0</v>
      </c>
      <c r="CJ61" s="72">
        <v>0</v>
      </c>
      <c r="CK61" s="72">
        <v>0</v>
      </c>
      <c r="CL61" s="72">
        <v>0</v>
      </c>
      <c r="CM61" s="72">
        <v>0</v>
      </c>
      <c r="CN61" s="72">
        <v>0</v>
      </c>
      <c r="CO61" s="72">
        <v>0</v>
      </c>
      <c r="CP61" s="72">
        <v>0</v>
      </c>
      <c r="CQ61" s="72">
        <v>0</v>
      </c>
      <c r="CR61" s="72">
        <v>0</v>
      </c>
      <c r="CS61" s="72">
        <v>0</v>
      </c>
      <c r="CT61" s="72">
        <v>0</v>
      </c>
      <c r="CU61" s="72">
        <v>0</v>
      </c>
      <c r="CV61" s="72">
        <v>0</v>
      </c>
      <c r="CW61" s="72">
        <v>0</v>
      </c>
      <c r="CX61" s="72">
        <v>0</v>
      </c>
      <c r="CY61" s="72">
        <v>0</v>
      </c>
      <c r="CZ61" s="72">
        <v>0</v>
      </c>
      <c r="DA61" s="72">
        <v>0</v>
      </c>
      <c r="DB61" s="72">
        <v>0</v>
      </c>
      <c r="DC61" s="72">
        <v>0</v>
      </c>
      <c r="DD61" s="72">
        <v>0</v>
      </c>
      <c r="DE61" s="72">
        <v>0</v>
      </c>
      <c r="DF61" s="72">
        <v>0</v>
      </c>
      <c r="DG61" s="72">
        <v>0</v>
      </c>
      <c r="DH61" s="72">
        <v>0</v>
      </c>
      <c r="DI61" s="72">
        <v>0</v>
      </c>
      <c r="DJ61" s="72">
        <v>0</v>
      </c>
      <c r="DK61" s="72">
        <v>0</v>
      </c>
      <c r="DL61" s="72">
        <v>0</v>
      </c>
      <c r="DM61" s="72">
        <v>0</v>
      </c>
      <c r="DN61" s="72">
        <v>0</v>
      </c>
      <c r="DO61" s="72">
        <v>0</v>
      </c>
      <c r="DP61" s="72">
        <v>0</v>
      </c>
      <c r="DQ61" s="72">
        <v>0</v>
      </c>
      <c r="DR61" s="72">
        <v>0</v>
      </c>
      <c r="DS61" s="72">
        <v>0</v>
      </c>
      <c r="DT61" s="72">
        <v>0</v>
      </c>
      <c r="DU61" s="72">
        <v>0</v>
      </c>
      <c r="DV61" s="72">
        <v>0</v>
      </c>
      <c r="DW61" s="72">
        <v>0</v>
      </c>
      <c r="DX61" s="72">
        <v>0</v>
      </c>
      <c r="DY61" s="72">
        <v>0</v>
      </c>
      <c r="DZ61" s="72">
        <v>0</v>
      </c>
      <c r="EA61" s="72">
        <v>0</v>
      </c>
      <c r="EB61" s="72">
        <v>0</v>
      </c>
      <c r="EC61" s="72">
        <v>0</v>
      </c>
      <c r="ED61" s="72">
        <v>0</v>
      </c>
      <c r="EE61" s="72">
        <v>0</v>
      </c>
      <c r="EF61" s="72">
        <v>0</v>
      </c>
      <c r="EG61" s="72">
        <v>0</v>
      </c>
      <c r="EH61" s="72">
        <v>0</v>
      </c>
      <c r="EI61" s="72">
        <v>0</v>
      </c>
      <c r="EJ61" s="72">
        <v>0</v>
      </c>
      <c r="EK61" s="72">
        <v>0</v>
      </c>
      <c r="EL61" s="72">
        <v>0</v>
      </c>
      <c r="EM61" s="72">
        <v>0</v>
      </c>
      <c r="EN61" s="72">
        <v>0</v>
      </c>
      <c r="EO61" s="72">
        <v>0</v>
      </c>
      <c r="EP61" s="72">
        <v>0</v>
      </c>
      <c r="EQ61" s="72">
        <v>0</v>
      </c>
      <c r="ER61" s="72">
        <v>0</v>
      </c>
      <c r="ES61" s="72">
        <v>0</v>
      </c>
      <c r="ET61" s="72">
        <v>0</v>
      </c>
      <c r="EU61" s="72">
        <v>0</v>
      </c>
      <c r="EV61" s="72">
        <v>0</v>
      </c>
      <c r="EW61" s="72">
        <v>0</v>
      </c>
      <c r="EX61" s="72">
        <v>0</v>
      </c>
      <c r="EY61" s="72">
        <v>0</v>
      </c>
      <c r="EZ61" s="72">
        <v>35.220603429302024</v>
      </c>
      <c r="FA61" s="72">
        <v>45.004104381885917</v>
      </c>
      <c r="FB61" s="72">
        <v>0</v>
      </c>
      <c r="FC61" s="72">
        <v>0</v>
      </c>
      <c r="FD61" s="72">
        <v>0</v>
      </c>
      <c r="FE61" s="72">
        <v>0</v>
      </c>
      <c r="FF61" s="72">
        <v>0</v>
      </c>
      <c r="FG61" s="72">
        <v>0</v>
      </c>
      <c r="FH61" s="72">
        <v>46982.539598118958</v>
      </c>
      <c r="FI61" s="72">
        <v>0</v>
      </c>
      <c r="FJ61" s="72">
        <v>0</v>
      </c>
      <c r="FK61" s="72">
        <v>0</v>
      </c>
      <c r="FL61" s="72">
        <v>0</v>
      </c>
      <c r="FM61" s="72">
        <v>0</v>
      </c>
      <c r="FN61" s="72">
        <v>0</v>
      </c>
      <c r="FO61" s="72">
        <v>0</v>
      </c>
      <c r="FP61" s="72">
        <v>0</v>
      </c>
      <c r="FQ61" s="72">
        <v>0</v>
      </c>
      <c r="FR61" s="72">
        <v>0</v>
      </c>
      <c r="FS61" s="72">
        <v>0</v>
      </c>
      <c r="FT61" s="72">
        <v>0</v>
      </c>
      <c r="FU61" s="72">
        <v>0</v>
      </c>
      <c r="FV61" s="72">
        <v>0</v>
      </c>
      <c r="FW61" s="72">
        <v>0</v>
      </c>
      <c r="FX61" s="72">
        <v>0</v>
      </c>
      <c r="FY61" s="72">
        <v>0</v>
      </c>
      <c r="FZ61" s="72">
        <v>0</v>
      </c>
      <c r="GA61" s="72">
        <v>0</v>
      </c>
      <c r="GB61" s="72">
        <v>0</v>
      </c>
      <c r="GC61" s="72">
        <v>0</v>
      </c>
      <c r="GD61" s="72">
        <v>0</v>
      </c>
      <c r="GE61" s="72">
        <v>0</v>
      </c>
      <c r="GF61" s="72">
        <v>0</v>
      </c>
      <c r="GG61" s="72">
        <v>0</v>
      </c>
      <c r="GH61" s="72">
        <v>0</v>
      </c>
      <c r="GI61" s="72">
        <v>0</v>
      </c>
      <c r="GJ61" s="72">
        <v>0</v>
      </c>
      <c r="GK61" s="72">
        <v>0</v>
      </c>
      <c r="GL61" s="72">
        <v>0</v>
      </c>
      <c r="GM61" s="72">
        <v>0</v>
      </c>
      <c r="GN61" s="72">
        <v>0</v>
      </c>
      <c r="GO61" s="72">
        <v>0</v>
      </c>
      <c r="GP61" s="72">
        <v>0</v>
      </c>
      <c r="GQ61" s="72">
        <v>0</v>
      </c>
      <c r="GR61" s="72">
        <f t="shared" si="0"/>
        <v>47062.764305930148</v>
      </c>
      <c r="GS61" s="72">
        <f>SUM(BF$5:BF$202)</f>
        <v>47062.764305930155</v>
      </c>
      <c r="GT61" s="73">
        <v>0</v>
      </c>
    </row>
    <row r="62" spans="1:202" outlineLevel="1" x14ac:dyDescent="0.2">
      <c r="A62" s="66" t="s">
        <v>431</v>
      </c>
      <c r="B62" s="72">
        <v>0</v>
      </c>
      <c r="C62" s="72">
        <v>0</v>
      </c>
      <c r="D62" s="72">
        <v>0</v>
      </c>
      <c r="E62" s="72">
        <v>0</v>
      </c>
      <c r="F62" s="72">
        <v>0</v>
      </c>
      <c r="G62" s="72">
        <v>0</v>
      </c>
      <c r="H62" s="72">
        <v>0</v>
      </c>
      <c r="I62" s="72">
        <v>0</v>
      </c>
      <c r="J62" s="72">
        <v>0</v>
      </c>
      <c r="K62" s="72">
        <v>0</v>
      </c>
      <c r="L62" s="72">
        <v>0</v>
      </c>
      <c r="M62" s="72">
        <v>0</v>
      </c>
      <c r="N62" s="72">
        <v>0</v>
      </c>
      <c r="O62" s="72">
        <v>0</v>
      </c>
      <c r="P62" s="72">
        <v>0</v>
      </c>
      <c r="Q62" s="72">
        <v>0</v>
      </c>
      <c r="R62" s="72">
        <v>0</v>
      </c>
      <c r="S62" s="72">
        <v>0</v>
      </c>
      <c r="T62" s="72">
        <v>0</v>
      </c>
      <c r="U62" s="72">
        <v>0</v>
      </c>
      <c r="V62" s="72">
        <v>0</v>
      </c>
      <c r="W62" s="72">
        <v>0</v>
      </c>
      <c r="X62" s="72">
        <v>0</v>
      </c>
      <c r="Y62" s="72">
        <v>0</v>
      </c>
      <c r="Z62" s="72">
        <v>0</v>
      </c>
      <c r="AA62" s="72">
        <v>0</v>
      </c>
      <c r="AB62" s="72">
        <v>0</v>
      </c>
      <c r="AC62" s="72">
        <v>0</v>
      </c>
      <c r="AD62" s="72">
        <v>0</v>
      </c>
      <c r="AE62" s="72">
        <v>0</v>
      </c>
      <c r="AF62" s="72">
        <v>0</v>
      </c>
      <c r="AG62" s="72">
        <v>0</v>
      </c>
      <c r="AH62" s="72">
        <v>0</v>
      </c>
      <c r="AI62" s="72">
        <v>0</v>
      </c>
      <c r="AJ62" s="72">
        <v>0</v>
      </c>
      <c r="AK62" s="72">
        <v>0</v>
      </c>
      <c r="AL62" s="72">
        <v>0</v>
      </c>
      <c r="AM62" s="72">
        <v>0</v>
      </c>
      <c r="AN62" s="72">
        <v>0</v>
      </c>
      <c r="AO62" s="72">
        <v>0</v>
      </c>
      <c r="AP62" s="72">
        <v>0</v>
      </c>
      <c r="AQ62" s="72">
        <v>0</v>
      </c>
      <c r="AR62" s="72">
        <v>0</v>
      </c>
      <c r="AS62" s="72">
        <v>0</v>
      </c>
      <c r="AT62" s="72">
        <v>0</v>
      </c>
      <c r="AU62" s="72">
        <v>0</v>
      </c>
      <c r="AV62" s="72">
        <v>0</v>
      </c>
      <c r="AW62" s="72">
        <v>0</v>
      </c>
      <c r="AX62" s="72">
        <v>0</v>
      </c>
      <c r="AY62" s="72">
        <v>0</v>
      </c>
      <c r="AZ62" s="72">
        <v>0</v>
      </c>
      <c r="BA62" s="72">
        <v>0</v>
      </c>
      <c r="BB62" s="72">
        <v>0</v>
      </c>
      <c r="BC62" s="72">
        <v>0</v>
      </c>
      <c r="BD62" s="72">
        <v>0</v>
      </c>
      <c r="BE62" s="72">
        <v>0</v>
      </c>
      <c r="BF62" s="72">
        <v>0</v>
      </c>
      <c r="BG62" s="72">
        <v>0</v>
      </c>
      <c r="BH62" s="72">
        <v>0</v>
      </c>
      <c r="BI62" s="72">
        <v>0</v>
      </c>
      <c r="BJ62" s="72">
        <v>0</v>
      </c>
      <c r="BK62" s="72">
        <v>0</v>
      </c>
      <c r="BL62" s="72">
        <v>0</v>
      </c>
      <c r="BM62" s="72">
        <v>0</v>
      </c>
      <c r="BN62" s="72">
        <v>0</v>
      </c>
      <c r="BO62" s="72">
        <v>0</v>
      </c>
      <c r="BP62" s="72">
        <v>0</v>
      </c>
      <c r="BQ62" s="72">
        <v>0</v>
      </c>
      <c r="BR62" s="72">
        <v>0</v>
      </c>
      <c r="BS62" s="72">
        <v>0</v>
      </c>
      <c r="BT62" s="72">
        <v>0</v>
      </c>
      <c r="BU62" s="72">
        <v>0</v>
      </c>
      <c r="BV62" s="72">
        <v>0</v>
      </c>
      <c r="BW62" s="72">
        <v>0</v>
      </c>
      <c r="BX62" s="72">
        <v>0</v>
      </c>
      <c r="BY62" s="72">
        <v>0</v>
      </c>
      <c r="BZ62" s="72">
        <v>0</v>
      </c>
      <c r="CA62" s="72">
        <v>0</v>
      </c>
      <c r="CB62" s="72">
        <v>0</v>
      </c>
      <c r="CC62" s="72">
        <v>0</v>
      </c>
      <c r="CD62" s="72">
        <v>0</v>
      </c>
      <c r="CE62" s="72">
        <v>0</v>
      </c>
      <c r="CF62" s="72">
        <v>0</v>
      </c>
      <c r="CG62" s="72">
        <v>0</v>
      </c>
      <c r="CH62" s="72">
        <v>0</v>
      </c>
      <c r="CI62" s="72">
        <v>0</v>
      </c>
      <c r="CJ62" s="72">
        <v>0</v>
      </c>
      <c r="CK62" s="72">
        <v>0</v>
      </c>
      <c r="CL62" s="72">
        <v>0</v>
      </c>
      <c r="CM62" s="72">
        <v>0</v>
      </c>
      <c r="CN62" s="72">
        <v>0</v>
      </c>
      <c r="CO62" s="72">
        <v>0</v>
      </c>
      <c r="CP62" s="72">
        <v>0</v>
      </c>
      <c r="CQ62" s="72">
        <v>0</v>
      </c>
      <c r="CR62" s="72">
        <v>0</v>
      </c>
      <c r="CS62" s="72">
        <v>0</v>
      </c>
      <c r="CT62" s="72">
        <v>0</v>
      </c>
      <c r="CU62" s="72">
        <v>0</v>
      </c>
      <c r="CV62" s="72">
        <v>0</v>
      </c>
      <c r="CW62" s="72">
        <v>0</v>
      </c>
      <c r="CX62" s="72">
        <v>0</v>
      </c>
      <c r="CY62" s="72">
        <v>0</v>
      </c>
      <c r="CZ62" s="72">
        <v>0</v>
      </c>
      <c r="DA62" s="72">
        <v>0</v>
      </c>
      <c r="DB62" s="72">
        <v>0</v>
      </c>
      <c r="DC62" s="72">
        <v>0</v>
      </c>
      <c r="DD62" s="72">
        <v>0</v>
      </c>
      <c r="DE62" s="72">
        <v>0</v>
      </c>
      <c r="DF62" s="72">
        <v>0</v>
      </c>
      <c r="DG62" s="72">
        <v>0</v>
      </c>
      <c r="DH62" s="72">
        <v>0</v>
      </c>
      <c r="DI62" s="72">
        <v>0</v>
      </c>
      <c r="DJ62" s="72">
        <v>0</v>
      </c>
      <c r="DK62" s="72">
        <v>0</v>
      </c>
      <c r="DL62" s="72">
        <v>0</v>
      </c>
      <c r="DM62" s="72">
        <v>0</v>
      </c>
      <c r="DN62" s="72">
        <v>0</v>
      </c>
      <c r="DO62" s="72">
        <v>0</v>
      </c>
      <c r="DP62" s="72">
        <v>0</v>
      </c>
      <c r="DQ62" s="72">
        <v>0</v>
      </c>
      <c r="DR62" s="72">
        <v>0</v>
      </c>
      <c r="DS62" s="72">
        <v>0</v>
      </c>
      <c r="DT62" s="72">
        <v>0</v>
      </c>
      <c r="DU62" s="72">
        <v>0</v>
      </c>
      <c r="DV62" s="72">
        <v>0</v>
      </c>
      <c r="DW62" s="72">
        <v>0</v>
      </c>
      <c r="DX62" s="72">
        <v>0</v>
      </c>
      <c r="DY62" s="72">
        <v>0</v>
      </c>
      <c r="DZ62" s="72">
        <v>0</v>
      </c>
      <c r="EA62" s="72">
        <v>0</v>
      </c>
      <c r="EB62" s="72">
        <v>0</v>
      </c>
      <c r="EC62" s="72">
        <v>0</v>
      </c>
      <c r="ED62" s="72">
        <v>0</v>
      </c>
      <c r="EE62" s="72">
        <v>0</v>
      </c>
      <c r="EF62" s="72">
        <v>0</v>
      </c>
      <c r="EG62" s="72">
        <v>0</v>
      </c>
      <c r="EH62" s="72">
        <v>0</v>
      </c>
      <c r="EI62" s="72">
        <v>0</v>
      </c>
      <c r="EJ62" s="72">
        <v>0</v>
      </c>
      <c r="EK62" s="72">
        <v>0</v>
      </c>
      <c r="EL62" s="72">
        <v>0</v>
      </c>
      <c r="EM62" s="72">
        <v>0</v>
      </c>
      <c r="EN62" s="72">
        <v>0</v>
      </c>
      <c r="EO62" s="72">
        <v>0</v>
      </c>
      <c r="EP62" s="72">
        <v>0</v>
      </c>
      <c r="EQ62" s="72">
        <v>0</v>
      </c>
      <c r="ER62" s="72">
        <v>0</v>
      </c>
      <c r="ES62" s="72">
        <v>0</v>
      </c>
      <c r="ET62" s="72">
        <v>0</v>
      </c>
      <c r="EU62" s="72">
        <v>0</v>
      </c>
      <c r="EV62" s="72">
        <v>0</v>
      </c>
      <c r="EW62" s="72">
        <v>0</v>
      </c>
      <c r="EX62" s="72">
        <v>0</v>
      </c>
      <c r="EY62" s="72">
        <v>0</v>
      </c>
      <c r="EZ62" s="72">
        <v>169.68955246455999</v>
      </c>
      <c r="FA62" s="72">
        <v>0</v>
      </c>
      <c r="FB62" s="72">
        <v>0</v>
      </c>
      <c r="FC62" s="72">
        <v>0</v>
      </c>
      <c r="FD62" s="72">
        <v>0</v>
      </c>
      <c r="FE62" s="72">
        <v>0</v>
      </c>
      <c r="FF62" s="72">
        <v>0</v>
      </c>
      <c r="FG62" s="72">
        <v>0</v>
      </c>
      <c r="FH62" s="72">
        <v>0</v>
      </c>
      <c r="FI62" s="72">
        <v>0</v>
      </c>
      <c r="FJ62" s="72">
        <v>0</v>
      </c>
      <c r="FK62" s="72">
        <v>18463.567292175198</v>
      </c>
      <c r="FL62" s="72">
        <v>0</v>
      </c>
      <c r="FM62" s="72">
        <v>0</v>
      </c>
      <c r="FN62" s="72">
        <v>0</v>
      </c>
      <c r="FO62" s="72">
        <v>0</v>
      </c>
      <c r="FP62" s="72">
        <v>0</v>
      </c>
      <c r="FQ62" s="72">
        <v>0</v>
      </c>
      <c r="FR62" s="72">
        <v>0</v>
      </c>
      <c r="FS62" s="72">
        <v>0</v>
      </c>
      <c r="FT62" s="72">
        <v>0</v>
      </c>
      <c r="FU62" s="72">
        <v>0</v>
      </c>
      <c r="FV62" s="72">
        <v>0</v>
      </c>
      <c r="FW62" s="72">
        <v>0</v>
      </c>
      <c r="FX62" s="72">
        <v>0</v>
      </c>
      <c r="FY62" s="72">
        <v>0</v>
      </c>
      <c r="FZ62" s="72">
        <v>0</v>
      </c>
      <c r="GA62" s="72">
        <v>0</v>
      </c>
      <c r="GB62" s="72">
        <v>0</v>
      </c>
      <c r="GC62" s="72">
        <v>0</v>
      </c>
      <c r="GD62" s="72">
        <v>0</v>
      </c>
      <c r="GE62" s="72">
        <v>0</v>
      </c>
      <c r="GF62" s="72">
        <v>0</v>
      </c>
      <c r="GG62" s="72">
        <v>0</v>
      </c>
      <c r="GH62" s="72">
        <v>0</v>
      </c>
      <c r="GI62" s="72">
        <v>0</v>
      </c>
      <c r="GJ62" s="72">
        <v>0</v>
      </c>
      <c r="GK62" s="72">
        <v>0</v>
      </c>
      <c r="GL62" s="72">
        <v>0</v>
      </c>
      <c r="GM62" s="72">
        <v>0</v>
      </c>
      <c r="GN62" s="72">
        <v>0</v>
      </c>
      <c r="GO62" s="72">
        <v>0</v>
      </c>
      <c r="GP62" s="72">
        <v>0</v>
      </c>
      <c r="GQ62" s="72">
        <v>0</v>
      </c>
      <c r="GR62" s="72">
        <f t="shared" si="0"/>
        <v>18633.256844639756</v>
      </c>
      <c r="GS62" s="72">
        <f>SUM(BG$5:BG$202)</f>
        <v>18633.256844639764</v>
      </c>
      <c r="GT62" s="73">
        <v>0</v>
      </c>
    </row>
    <row r="63" spans="1:202" x14ac:dyDescent="0.2">
      <c r="A63" s="66" t="s">
        <v>436</v>
      </c>
      <c r="B63" s="72">
        <v>0</v>
      </c>
      <c r="C63" s="72">
        <v>0</v>
      </c>
      <c r="D63" s="72">
        <v>0</v>
      </c>
      <c r="E63" s="72">
        <v>0</v>
      </c>
      <c r="F63" s="72">
        <v>0</v>
      </c>
      <c r="G63" s="72">
        <v>0</v>
      </c>
      <c r="H63" s="72">
        <v>0</v>
      </c>
      <c r="I63" s="72">
        <v>0</v>
      </c>
      <c r="J63" s="72">
        <v>0</v>
      </c>
      <c r="K63" s="72">
        <v>0</v>
      </c>
      <c r="L63" s="72">
        <v>0</v>
      </c>
      <c r="M63" s="72">
        <v>0</v>
      </c>
      <c r="N63" s="72">
        <v>0</v>
      </c>
      <c r="O63" s="72">
        <v>0</v>
      </c>
      <c r="P63" s="72">
        <v>0</v>
      </c>
      <c r="Q63" s="72">
        <v>0</v>
      </c>
      <c r="R63" s="72">
        <v>0</v>
      </c>
      <c r="S63" s="72">
        <v>0</v>
      </c>
      <c r="T63" s="72">
        <v>0</v>
      </c>
      <c r="U63" s="72">
        <v>0</v>
      </c>
      <c r="V63" s="72">
        <v>0</v>
      </c>
      <c r="W63" s="72">
        <v>0</v>
      </c>
      <c r="X63" s="72">
        <v>0</v>
      </c>
      <c r="Y63" s="72">
        <v>0</v>
      </c>
      <c r="Z63" s="72">
        <v>0</v>
      </c>
      <c r="AA63" s="72">
        <v>0</v>
      </c>
      <c r="AB63" s="72">
        <v>0</v>
      </c>
      <c r="AC63" s="72">
        <v>0</v>
      </c>
      <c r="AD63" s="72">
        <v>0</v>
      </c>
      <c r="AE63" s="72">
        <v>0</v>
      </c>
      <c r="AF63" s="72">
        <v>0</v>
      </c>
      <c r="AG63" s="72">
        <v>0</v>
      </c>
      <c r="AH63" s="72">
        <v>0</v>
      </c>
      <c r="AI63" s="72">
        <v>0</v>
      </c>
      <c r="AJ63" s="72">
        <v>0</v>
      </c>
      <c r="AK63" s="72">
        <v>0</v>
      </c>
      <c r="AL63" s="72">
        <v>0</v>
      </c>
      <c r="AM63" s="72">
        <v>0</v>
      </c>
      <c r="AN63" s="72">
        <v>0</v>
      </c>
      <c r="AO63" s="72">
        <v>0</v>
      </c>
      <c r="AP63" s="72">
        <v>0</v>
      </c>
      <c r="AQ63" s="72">
        <v>0</v>
      </c>
      <c r="AR63" s="72">
        <v>0</v>
      </c>
      <c r="AS63" s="72">
        <v>0</v>
      </c>
      <c r="AT63" s="72">
        <v>0</v>
      </c>
      <c r="AU63" s="72">
        <v>0</v>
      </c>
      <c r="AV63" s="72">
        <v>0</v>
      </c>
      <c r="AW63" s="72">
        <v>0</v>
      </c>
      <c r="AX63" s="72">
        <v>0</v>
      </c>
      <c r="AY63" s="72">
        <v>0</v>
      </c>
      <c r="AZ63" s="72">
        <v>0</v>
      </c>
      <c r="BA63" s="72">
        <v>0</v>
      </c>
      <c r="BB63" s="72">
        <v>0</v>
      </c>
      <c r="BC63" s="72">
        <v>0</v>
      </c>
      <c r="BD63" s="72">
        <v>0</v>
      </c>
      <c r="BE63" s="72">
        <v>0</v>
      </c>
      <c r="BF63" s="72">
        <v>0</v>
      </c>
      <c r="BG63" s="72">
        <v>0</v>
      </c>
      <c r="BH63" s="72">
        <v>0</v>
      </c>
      <c r="BI63" s="72">
        <v>0</v>
      </c>
      <c r="BJ63" s="72">
        <v>0</v>
      </c>
      <c r="BK63" s="72">
        <v>0</v>
      </c>
      <c r="BL63" s="72">
        <v>0</v>
      </c>
      <c r="BM63" s="72">
        <v>0</v>
      </c>
      <c r="BN63" s="72">
        <v>0</v>
      </c>
      <c r="BO63" s="72">
        <v>0</v>
      </c>
      <c r="BP63" s="72">
        <v>0</v>
      </c>
      <c r="BQ63" s="72">
        <v>0</v>
      </c>
      <c r="BR63" s="72">
        <v>0</v>
      </c>
      <c r="BS63" s="72">
        <v>0</v>
      </c>
      <c r="BT63" s="72">
        <v>0</v>
      </c>
      <c r="BU63" s="72">
        <v>0</v>
      </c>
      <c r="BV63" s="72">
        <v>0</v>
      </c>
      <c r="BW63" s="72">
        <v>0</v>
      </c>
      <c r="BX63" s="72">
        <v>0</v>
      </c>
      <c r="BY63" s="72">
        <v>0</v>
      </c>
      <c r="BZ63" s="72">
        <v>0</v>
      </c>
      <c r="CA63" s="72">
        <v>0</v>
      </c>
      <c r="CB63" s="72">
        <v>0</v>
      </c>
      <c r="CC63" s="72">
        <v>0</v>
      </c>
      <c r="CD63" s="72">
        <v>0</v>
      </c>
      <c r="CE63" s="72">
        <v>0</v>
      </c>
      <c r="CF63" s="72">
        <v>0</v>
      </c>
      <c r="CG63" s="72">
        <v>0</v>
      </c>
      <c r="CH63" s="72">
        <v>0</v>
      </c>
      <c r="CI63" s="72">
        <v>0</v>
      </c>
      <c r="CJ63" s="72">
        <v>0</v>
      </c>
      <c r="CK63" s="72">
        <v>0</v>
      </c>
      <c r="CL63" s="72">
        <v>0</v>
      </c>
      <c r="CM63" s="72">
        <v>0</v>
      </c>
      <c r="CN63" s="72">
        <v>0</v>
      </c>
      <c r="CO63" s="72">
        <v>0</v>
      </c>
      <c r="CP63" s="72">
        <v>0</v>
      </c>
      <c r="CQ63" s="72">
        <v>0</v>
      </c>
      <c r="CR63" s="72">
        <v>0</v>
      </c>
      <c r="CS63" s="72">
        <v>0</v>
      </c>
      <c r="CT63" s="72">
        <v>0</v>
      </c>
      <c r="CU63" s="72">
        <v>0</v>
      </c>
      <c r="CV63" s="72">
        <v>0</v>
      </c>
      <c r="CW63" s="72">
        <v>0</v>
      </c>
      <c r="CX63" s="72">
        <v>0</v>
      </c>
      <c r="CY63" s="72">
        <v>0</v>
      </c>
      <c r="CZ63" s="72">
        <v>0</v>
      </c>
      <c r="DA63" s="72">
        <v>0</v>
      </c>
      <c r="DB63" s="72">
        <v>0</v>
      </c>
      <c r="DC63" s="72">
        <v>0</v>
      </c>
      <c r="DD63" s="72">
        <v>0</v>
      </c>
      <c r="DE63" s="72">
        <v>0</v>
      </c>
      <c r="DF63" s="72">
        <v>0</v>
      </c>
      <c r="DG63" s="72">
        <v>0</v>
      </c>
      <c r="DH63" s="72">
        <v>0</v>
      </c>
      <c r="DI63" s="72">
        <v>0</v>
      </c>
      <c r="DJ63" s="72">
        <v>0</v>
      </c>
      <c r="DK63" s="72">
        <v>0</v>
      </c>
      <c r="DL63" s="72">
        <v>0</v>
      </c>
      <c r="DM63" s="72">
        <v>0</v>
      </c>
      <c r="DN63" s="72">
        <v>0</v>
      </c>
      <c r="DO63" s="72">
        <v>0</v>
      </c>
      <c r="DP63" s="72">
        <v>0</v>
      </c>
      <c r="DQ63" s="72">
        <v>0</v>
      </c>
      <c r="DR63" s="72">
        <v>0</v>
      </c>
      <c r="DS63" s="72">
        <v>0</v>
      </c>
      <c r="DT63" s="72">
        <v>0</v>
      </c>
      <c r="DU63" s="72">
        <v>0</v>
      </c>
      <c r="DV63" s="72">
        <v>0</v>
      </c>
      <c r="DW63" s="72">
        <v>0</v>
      </c>
      <c r="DX63" s="72">
        <v>0</v>
      </c>
      <c r="DY63" s="72">
        <v>0</v>
      </c>
      <c r="DZ63" s="72">
        <v>0</v>
      </c>
      <c r="EA63" s="72">
        <v>0</v>
      </c>
      <c r="EB63" s="72">
        <v>0</v>
      </c>
      <c r="EC63" s="72">
        <v>0</v>
      </c>
      <c r="ED63" s="72">
        <v>0</v>
      </c>
      <c r="EE63" s="72">
        <v>0</v>
      </c>
      <c r="EF63" s="72">
        <v>0</v>
      </c>
      <c r="EG63" s="72">
        <v>0</v>
      </c>
      <c r="EH63" s="72">
        <v>0</v>
      </c>
      <c r="EI63" s="72">
        <v>0</v>
      </c>
      <c r="EJ63" s="72">
        <v>0</v>
      </c>
      <c r="EK63" s="72">
        <v>0</v>
      </c>
      <c r="EL63" s="72">
        <v>0</v>
      </c>
      <c r="EM63" s="72">
        <v>1439.5079663745241</v>
      </c>
      <c r="EN63" s="72">
        <v>193.76219102074268</v>
      </c>
      <c r="EO63" s="72">
        <v>0</v>
      </c>
      <c r="EP63" s="72">
        <v>0</v>
      </c>
      <c r="EQ63" s="72">
        <v>0</v>
      </c>
      <c r="ER63" s="72">
        <v>0</v>
      </c>
      <c r="ES63" s="72">
        <v>0</v>
      </c>
      <c r="ET63" s="72">
        <v>0</v>
      </c>
      <c r="EU63" s="72">
        <v>0</v>
      </c>
      <c r="EV63" s="72">
        <v>0</v>
      </c>
      <c r="EW63" s="72">
        <v>0</v>
      </c>
      <c r="EX63" s="72">
        <v>0</v>
      </c>
      <c r="EY63" s="72">
        <v>0</v>
      </c>
      <c r="EZ63" s="72">
        <v>800.75988899138838</v>
      </c>
      <c r="FA63" s="72">
        <v>61.077559286323556</v>
      </c>
      <c r="FB63" s="72">
        <v>0</v>
      </c>
      <c r="FC63" s="72">
        <v>0</v>
      </c>
      <c r="FD63" s="72">
        <v>459.7838678241946</v>
      </c>
      <c r="FE63" s="72">
        <v>0</v>
      </c>
      <c r="FF63" s="72">
        <v>0</v>
      </c>
      <c r="FG63" s="72">
        <v>0</v>
      </c>
      <c r="FH63" s="72">
        <v>0</v>
      </c>
      <c r="FI63" s="72">
        <v>0</v>
      </c>
      <c r="FJ63" s="72">
        <v>0</v>
      </c>
      <c r="FK63" s="72">
        <v>0</v>
      </c>
      <c r="FL63" s="72">
        <v>95441.952066968312</v>
      </c>
      <c r="FM63" s="72">
        <v>0</v>
      </c>
      <c r="FN63" s="72">
        <v>0</v>
      </c>
      <c r="FO63" s="72">
        <v>0</v>
      </c>
      <c r="FP63" s="72">
        <v>0</v>
      </c>
      <c r="FQ63" s="72">
        <v>0</v>
      </c>
      <c r="FR63" s="72">
        <v>0</v>
      </c>
      <c r="FS63" s="72">
        <v>0</v>
      </c>
      <c r="FT63" s="72">
        <v>0</v>
      </c>
      <c r="FU63" s="72">
        <v>0</v>
      </c>
      <c r="FV63" s="72">
        <v>0</v>
      </c>
      <c r="FW63" s="72">
        <v>0</v>
      </c>
      <c r="FX63" s="72">
        <v>0</v>
      </c>
      <c r="FY63" s="72">
        <v>0</v>
      </c>
      <c r="FZ63" s="72">
        <v>0</v>
      </c>
      <c r="GA63" s="72">
        <v>0</v>
      </c>
      <c r="GB63" s="72">
        <v>0</v>
      </c>
      <c r="GC63" s="72">
        <v>0</v>
      </c>
      <c r="GD63" s="72">
        <v>0</v>
      </c>
      <c r="GE63" s="72">
        <v>0</v>
      </c>
      <c r="GF63" s="72">
        <v>0</v>
      </c>
      <c r="GG63" s="72">
        <v>0</v>
      </c>
      <c r="GH63" s="72">
        <v>0</v>
      </c>
      <c r="GI63" s="72">
        <v>0</v>
      </c>
      <c r="GJ63" s="72">
        <v>0</v>
      </c>
      <c r="GK63" s="72">
        <v>0</v>
      </c>
      <c r="GL63" s="72">
        <v>0</v>
      </c>
      <c r="GM63" s="72">
        <v>0</v>
      </c>
      <c r="GN63" s="72">
        <v>0</v>
      </c>
      <c r="GO63" s="72">
        <v>0</v>
      </c>
      <c r="GP63" s="72">
        <v>0</v>
      </c>
      <c r="GQ63" s="72">
        <v>0</v>
      </c>
      <c r="GR63" s="72">
        <f t="shared" si="0"/>
        <v>98396.843540465488</v>
      </c>
      <c r="GS63" s="72">
        <f>SUM(BH$5:BH$202)</f>
        <v>98396.843540465488</v>
      </c>
      <c r="GT63" s="73">
        <v>0</v>
      </c>
    </row>
    <row r="64" spans="1:202" x14ac:dyDescent="0.2">
      <c r="A64" s="66" t="s">
        <v>440</v>
      </c>
      <c r="B64" s="72">
        <v>0</v>
      </c>
      <c r="C64" s="72">
        <v>0</v>
      </c>
      <c r="D64" s="72">
        <v>0</v>
      </c>
      <c r="E64" s="72">
        <v>0</v>
      </c>
      <c r="F64" s="72">
        <v>0</v>
      </c>
      <c r="G64" s="72">
        <v>0</v>
      </c>
      <c r="H64" s="72">
        <v>0</v>
      </c>
      <c r="I64" s="72">
        <v>0</v>
      </c>
      <c r="J64" s="72">
        <v>0</v>
      </c>
      <c r="K64" s="72">
        <v>0</v>
      </c>
      <c r="L64" s="72">
        <v>0</v>
      </c>
      <c r="M64" s="72">
        <v>0</v>
      </c>
      <c r="N64" s="72">
        <v>0</v>
      </c>
      <c r="O64" s="72">
        <v>0</v>
      </c>
      <c r="P64" s="72">
        <v>0</v>
      </c>
      <c r="Q64" s="72">
        <v>0</v>
      </c>
      <c r="R64" s="72">
        <v>0</v>
      </c>
      <c r="S64" s="72">
        <v>0</v>
      </c>
      <c r="T64" s="72">
        <v>0</v>
      </c>
      <c r="U64" s="72">
        <v>0</v>
      </c>
      <c r="V64" s="72">
        <v>0</v>
      </c>
      <c r="W64" s="72">
        <v>0</v>
      </c>
      <c r="X64" s="72">
        <v>0</v>
      </c>
      <c r="Y64" s="72">
        <v>0</v>
      </c>
      <c r="Z64" s="72">
        <v>0</v>
      </c>
      <c r="AA64" s="72">
        <v>0</v>
      </c>
      <c r="AB64" s="72">
        <v>0</v>
      </c>
      <c r="AC64" s="72">
        <v>0</v>
      </c>
      <c r="AD64" s="72">
        <v>0</v>
      </c>
      <c r="AE64" s="72">
        <v>0</v>
      </c>
      <c r="AF64" s="72">
        <v>0</v>
      </c>
      <c r="AG64" s="72">
        <v>0</v>
      </c>
      <c r="AH64" s="72">
        <v>0</v>
      </c>
      <c r="AI64" s="72">
        <v>0</v>
      </c>
      <c r="AJ64" s="72">
        <v>0</v>
      </c>
      <c r="AK64" s="72">
        <v>0</v>
      </c>
      <c r="AL64" s="72">
        <v>0</v>
      </c>
      <c r="AM64" s="72">
        <v>0</v>
      </c>
      <c r="AN64" s="72">
        <v>0</v>
      </c>
      <c r="AO64" s="72">
        <v>0</v>
      </c>
      <c r="AP64" s="72">
        <v>0</v>
      </c>
      <c r="AQ64" s="72">
        <v>0</v>
      </c>
      <c r="AR64" s="72">
        <v>0</v>
      </c>
      <c r="AS64" s="72">
        <v>0</v>
      </c>
      <c r="AT64" s="72">
        <v>0</v>
      </c>
      <c r="AU64" s="72">
        <v>0</v>
      </c>
      <c r="AV64" s="72">
        <v>0</v>
      </c>
      <c r="AW64" s="72">
        <v>0</v>
      </c>
      <c r="AX64" s="72">
        <v>0</v>
      </c>
      <c r="AY64" s="72">
        <v>0</v>
      </c>
      <c r="AZ64" s="72">
        <v>0</v>
      </c>
      <c r="BA64" s="72">
        <v>0</v>
      </c>
      <c r="BB64" s="72">
        <v>0</v>
      </c>
      <c r="BC64" s="72">
        <v>0</v>
      </c>
      <c r="BD64" s="72">
        <v>0</v>
      </c>
      <c r="BE64" s="72">
        <v>0</v>
      </c>
      <c r="BF64" s="72">
        <v>0</v>
      </c>
      <c r="BG64" s="72">
        <v>0</v>
      </c>
      <c r="BH64" s="72">
        <v>0</v>
      </c>
      <c r="BI64" s="72">
        <v>0</v>
      </c>
      <c r="BJ64" s="72">
        <v>0</v>
      </c>
      <c r="BK64" s="72">
        <v>0</v>
      </c>
      <c r="BL64" s="72">
        <v>0</v>
      </c>
      <c r="BM64" s="72">
        <v>0</v>
      </c>
      <c r="BN64" s="72">
        <v>0</v>
      </c>
      <c r="BO64" s="72">
        <v>0</v>
      </c>
      <c r="BP64" s="72">
        <v>0</v>
      </c>
      <c r="BQ64" s="72">
        <v>0</v>
      </c>
      <c r="BR64" s="72">
        <v>0</v>
      </c>
      <c r="BS64" s="72">
        <v>0</v>
      </c>
      <c r="BT64" s="72">
        <v>0</v>
      </c>
      <c r="BU64" s="72">
        <v>0</v>
      </c>
      <c r="BV64" s="72">
        <v>0</v>
      </c>
      <c r="BW64" s="72">
        <v>0</v>
      </c>
      <c r="BX64" s="72">
        <v>0</v>
      </c>
      <c r="BY64" s="72">
        <v>0</v>
      </c>
      <c r="BZ64" s="72">
        <v>0</v>
      </c>
      <c r="CA64" s="72">
        <v>0</v>
      </c>
      <c r="CB64" s="72">
        <v>0</v>
      </c>
      <c r="CC64" s="72">
        <v>0</v>
      </c>
      <c r="CD64" s="72">
        <v>0</v>
      </c>
      <c r="CE64" s="72">
        <v>0</v>
      </c>
      <c r="CF64" s="72">
        <v>0</v>
      </c>
      <c r="CG64" s="72">
        <v>0</v>
      </c>
      <c r="CH64" s="72">
        <v>0</v>
      </c>
      <c r="CI64" s="72">
        <v>0</v>
      </c>
      <c r="CJ64" s="72">
        <v>0</v>
      </c>
      <c r="CK64" s="72">
        <v>0</v>
      </c>
      <c r="CL64" s="72">
        <v>0</v>
      </c>
      <c r="CM64" s="72">
        <v>0</v>
      </c>
      <c r="CN64" s="72">
        <v>0</v>
      </c>
      <c r="CO64" s="72">
        <v>0</v>
      </c>
      <c r="CP64" s="72">
        <v>0</v>
      </c>
      <c r="CQ64" s="72">
        <v>0</v>
      </c>
      <c r="CR64" s="72">
        <v>0</v>
      </c>
      <c r="CS64" s="72">
        <v>0</v>
      </c>
      <c r="CT64" s="72">
        <v>0</v>
      </c>
      <c r="CU64" s="72">
        <v>0</v>
      </c>
      <c r="CV64" s="72">
        <v>0</v>
      </c>
      <c r="CW64" s="72">
        <v>0</v>
      </c>
      <c r="CX64" s="72">
        <v>0</v>
      </c>
      <c r="CY64" s="72">
        <v>0</v>
      </c>
      <c r="CZ64" s="72">
        <v>0</v>
      </c>
      <c r="DA64" s="72">
        <v>0</v>
      </c>
      <c r="DB64" s="72">
        <v>0</v>
      </c>
      <c r="DC64" s="72">
        <v>0</v>
      </c>
      <c r="DD64" s="72">
        <v>0</v>
      </c>
      <c r="DE64" s="72">
        <v>0</v>
      </c>
      <c r="DF64" s="72">
        <v>0</v>
      </c>
      <c r="DG64" s="72">
        <v>0</v>
      </c>
      <c r="DH64" s="72">
        <v>0</v>
      </c>
      <c r="DI64" s="72">
        <v>0</v>
      </c>
      <c r="DJ64" s="72">
        <v>0</v>
      </c>
      <c r="DK64" s="72">
        <v>0</v>
      </c>
      <c r="DL64" s="72">
        <v>0</v>
      </c>
      <c r="DM64" s="72">
        <v>0</v>
      </c>
      <c r="DN64" s="72">
        <v>0</v>
      </c>
      <c r="DO64" s="72">
        <v>0</v>
      </c>
      <c r="DP64" s="72">
        <v>0</v>
      </c>
      <c r="DQ64" s="72">
        <v>0</v>
      </c>
      <c r="DR64" s="72">
        <v>0</v>
      </c>
      <c r="DS64" s="72">
        <v>0</v>
      </c>
      <c r="DT64" s="72">
        <v>0</v>
      </c>
      <c r="DU64" s="72">
        <v>0</v>
      </c>
      <c r="DV64" s="72">
        <v>0</v>
      </c>
      <c r="DW64" s="72">
        <v>0</v>
      </c>
      <c r="DX64" s="72">
        <v>0</v>
      </c>
      <c r="DY64" s="72">
        <v>0</v>
      </c>
      <c r="DZ64" s="72">
        <v>0</v>
      </c>
      <c r="EA64" s="72">
        <v>0</v>
      </c>
      <c r="EB64" s="72">
        <v>0</v>
      </c>
      <c r="EC64" s="72">
        <v>0</v>
      </c>
      <c r="ED64" s="72">
        <v>0</v>
      </c>
      <c r="EE64" s="72">
        <v>0</v>
      </c>
      <c r="EF64" s="72">
        <v>0</v>
      </c>
      <c r="EG64" s="72">
        <v>0</v>
      </c>
      <c r="EH64" s="72">
        <v>0</v>
      </c>
      <c r="EI64" s="72">
        <v>0</v>
      </c>
      <c r="EJ64" s="72">
        <v>0</v>
      </c>
      <c r="EK64" s="72">
        <v>0</v>
      </c>
      <c r="EL64" s="72">
        <v>0</v>
      </c>
      <c r="EM64" s="72">
        <v>0</v>
      </c>
      <c r="EN64" s="72">
        <v>0</v>
      </c>
      <c r="EO64" s="72">
        <v>0</v>
      </c>
      <c r="EP64" s="72">
        <v>0</v>
      </c>
      <c r="EQ64" s="72">
        <v>0</v>
      </c>
      <c r="ER64" s="72">
        <v>0</v>
      </c>
      <c r="ES64" s="72">
        <v>0</v>
      </c>
      <c r="ET64" s="72">
        <v>0</v>
      </c>
      <c r="EU64" s="72">
        <v>0</v>
      </c>
      <c r="EV64" s="72">
        <v>0</v>
      </c>
      <c r="EW64" s="72">
        <v>0</v>
      </c>
      <c r="EX64" s="72">
        <v>0</v>
      </c>
      <c r="EY64" s="72">
        <v>0</v>
      </c>
      <c r="EZ64" s="72">
        <v>13.351351736295399</v>
      </c>
      <c r="FA64" s="72">
        <v>3.3378379340738498</v>
      </c>
      <c r="FB64" s="72">
        <v>0</v>
      </c>
      <c r="FC64" s="72">
        <v>0</v>
      </c>
      <c r="FD64" s="72">
        <v>0</v>
      </c>
      <c r="FE64" s="72">
        <v>0</v>
      </c>
      <c r="FF64" s="72">
        <v>0</v>
      </c>
      <c r="FG64" s="72">
        <v>0</v>
      </c>
      <c r="FH64" s="72">
        <v>0</v>
      </c>
      <c r="FI64" s="72">
        <v>0</v>
      </c>
      <c r="FJ64" s="72">
        <v>0</v>
      </c>
      <c r="FK64" s="72">
        <v>0</v>
      </c>
      <c r="FL64" s="72">
        <v>0</v>
      </c>
      <c r="FM64" s="72">
        <v>8556.5475439983129</v>
      </c>
      <c r="FN64" s="72">
        <v>0</v>
      </c>
      <c r="FO64" s="72">
        <v>0</v>
      </c>
      <c r="FP64" s="72">
        <v>0</v>
      </c>
      <c r="FQ64" s="72">
        <v>0</v>
      </c>
      <c r="FR64" s="72">
        <v>0</v>
      </c>
      <c r="FS64" s="72">
        <v>0</v>
      </c>
      <c r="FT64" s="72">
        <v>0</v>
      </c>
      <c r="FU64" s="72">
        <v>0</v>
      </c>
      <c r="FV64" s="72">
        <v>0</v>
      </c>
      <c r="FW64" s="72">
        <v>0</v>
      </c>
      <c r="FX64" s="72">
        <v>0</v>
      </c>
      <c r="FY64" s="72">
        <v>0</v>
      </c>
      <c r="FZ64" s="72">
        <v>0</v>
      </c>
      <c r="GA64" s="72">
        <v>0</v>
      </c>
      <c r="GB64" s="72">
        <v>0</v>
      </c>
      <c r="GC64" s="72">
        <v>0</v>
      </c>
      <c r="GD64" s="72">
        <v>0</v>
      </c>
      <c r="GE64" s="72">
        <v>0</v>
      </c>
      <c r="GF64" s="72">
        <v>0</v>
      </c>
      <c r="GG64" s="72">
        <v>0</v>
      </c>
      <c r="GH64" s="72">
        <v>0</v>
      </c>
      <c r="GI64" s="72">
        <v>0</v>
      </c>
      <c r="GJ64" s="72">
        <v>0</v>
      </c>
      <c r="GK64" s="72">
        <v>0</v>
      </c>
      <c r="GL64" s="72">
        <v>0</v>
      </c>
      <c r="GM64" s="72">
        <v>0</v>
      </c>
      <c r="GN64" s="72">
        <v>0</v>
      </c>
      <c r="GO64" s="72">
        <v>0</v>
      </c>
      <c r="GP64" s="72">
        <v>0</v>
      </c>
      <c r="GQ64" s="72">
        <v>0</v>
      </c>
      <c r="GR64" s="72">
        <f t="shared" si="0"/>
        <v>8573.2367336686821</v>
      </c>
      <c r="GS64" s="72">
        <f>SUM(BI$5:BI$202)</f>
        <v>8573.2367336686821</v>
      </c>
      <c r="GT64" s="73">
        <v>0</v>
      </c>
    </row>
    <row r="65" spans="1:202" x14ac:dyDescent="0.2">
      <c r="A65" s="66" t="s">
        <v>445</v>
      </c>
      <c r="B65" s="72">
        <v>0</v>
      </c>
      <c r="C65" s="72">
        <v>0</v>
      </c>
      <c r="D65" s="72">
        <v>0</v>
      </c>
      <c r="E65" s="72">
        <v>0</v>
      </c>
      <c r="F65" s="72">
        <v>0</v>
      </c>
      <c r="G65" s="72">
        <v>0</v>
      </c>
      <c r="H65" s="72">
        <v>0</v>
      </c>
      <c r="I65" s="72">
        <v>0</v>
      </c>
      <c r="J65" s="72">
        <v>0</v>
      </c>
      <c r="K65" s="72">
        <v>0</v>
      </c>
      <c r="L65" s="72">
        <v>0</v>
      </c>
      <c r="M65" s="72">
        <v>0</v>
      </c>
      <c r="N65" s="72">
        <v>0</v>
      </c>
      <c r="O65" s="72">
        <v>0</v>
      </c>
      <c r="P65" s="72">
        <v>0</v>
      </c>
      <c r="Q65" s="72">
        <v>0</v>
      </c>
      <c r="R65" s="72">
        <v>0</v>
      </c>
      <c r="S65" s="72">
        <v>0</v>
      </c>
      <c r="T65" s="72">
        <v>0</v>
      </c>
      <c r="U65" s="72">
        <v>0</v>
      </c>
      <c r="V65" s="72">
        <v>0</v>
      </c>
      <c r="W65" s="72">
        <v>0</v>
      </c>
      <c r="X65" s="72">
        <v>0</v>
      </c>
      <c r="Y65" s="72">
        <v>0</v>
      </c>
      <c r="Z65" s="72">
        <v>0</v>
      </c>
      <c r="AA65" s="72">
        <v>0</v>
      </c>
      <c r="AB65" s="72">
        <v>0</v>
      </c>
      <c r="AC65" s="72">
        <v>0</v>
      </c>
      <c r="AD65" s="72">
        <v>0</v>
      </c>
      <c r="AE65" s="72">
        <v>0</v>
      </c>
      <c r="AF65" s="72">
        <v>0</v>
      </c>
      <c r="AG65" s="72">
        <v>0</v>
      </c>
      <c r="AH65" s="72">
        <v>0</v>
      </c>
      <c r="AI65" s="72">
        <v>0</v>
      </c>
      <c r="AJ65" s="72">
        <v>0</v>
      </c>
      <c r="AK65" s="72">
        <v>0</v>
      </c>
      <c r="AL65" s="72">
        <v>0</v>
      </c>
      <c r="AM65" s="72">
        <v>0</v>
      </c>
      <c r="AN65" s="72">
        <v>0</v>
      </c>
      <c r="AO65" s="72">
        <v>0</v>
      </c>
      <c r="AP65" s="72">
        <v>0</v>
      </c>
      <c r="AQ65" s="72">
        <v>0</v>
      </c>
      <c r="AR65" s="72">
        <v>0</v>
      </c>
      <c r="AS65" s="72">
        <v>0</v>
      </c>
      <c r="AT65" s="72">
        <v>0</v>
      </c>
      <c r="AU65" s="72">
        <v>0</v>
      </c>
      <c r="AV65" s="72">
        <v>0</v>
      </c>
      <c r="AW65" s="72">
        <v>0</v>
      </c>
      <c r="AX65" s="72">
        <v>0</v>
      </c>
      <c r="AY65" s="72">
        <v>0</v>
      </c>
      <c r="AZ65" s="72">
        <v>0</v>
      </c>
      <c r="BA65" s="72">
        <v>0</v>
      </c>
      <c r="BB65" s="72">
        <v>0</v>
      </c>
      <c r="BC65" s="72">
        <v>0</v>
      </c>
      <c r="BD65" s="72">
        <v>0</v>
      </c>
      <c r="BE65" s="72">
        <v>0</v>
      </c>
      <c r="BF65" s="72">
        <v>0</v>
      </c>
      <c r="BG65" s="72">
        <v>0</v>
      </c>
      <c r="BH65" s="72">
        <v>0</v>
      </c>
      <c r="BI65" s="72">
        <v>0</v>
      </c>
      <c r="BJ65" s="72">
        <v>0</v>
      </c>
      <c r="BK65" s="72">
        <v>518.97810907585563</v>
      </c>
      <c r="BL65" s="72">
        <v>3972.0921941390166</v>
      </c>
      <c r="BM65" s="72">
        <v>11523.111348268672</v>
      </c>
      <c r="BN65" s="72">
        <v>3588.8027424339598</v>
      </c>
      <c r="BO65" s="72">
        <v>2722.9500787876068</v>
      </c>
      <c r="BP65" s="72">
        <v>0</v>
      </c>
      <c r="BQ65" s="72">
        <v>0</v>
      </c>
      <c r="BR65" s="72">
        <v>2.9699999999999998</v>
      </c>
      <c r="BS65" s="72">
        <v>725.34387567492502</v>
      </c>
      <c r="BT65" s="72">
        <v>1952.0733771258554</v>
      </c>
      <c r="BU65" s="72">
        <v>0</v>
      </c>
      <c r="BV65" s="72">
        <v>0</v>
      </c>
      <c r="BW65" s="72">
        <v>6531.369520724691</v>
      </c>
      <c r="BX65" s="72">
        <v>2237.3383236941754</v>
      </c>
      <c r="BY65" s="72">
        <v>4308.8382011582071</v>
      </c>
      <c r="BZ65" s="72">
        <v>3473.7231683564096</v>
      </c>
      <c r="CA65" s="72">
        <v>903.22725178917733</v>
      </c>
      <c r="CB65" s="72">
        <v>3629.1967116971705</v>
      </c>
      <c r="CC65" s="72">
        <v>2715.6045570186088</v>
      </c>
      <c r="CD65" s="72">
        <v>1246.7497475516186</v>
      </c>
      <c r="CE65" s="72">
        <v>528.6100473585841</v>
      </c>
      <c r="CF65" s="72">
        <v>0</v>
      </c>
      <c r="CG65" s="72">
        <v>0</v>
      </c>
      <c r="CH65" s="72">
        <v>182.51076270282141</v>
      </c>
      <c r="CI65" s="72">
        <v>13742.159603310498</v>
      </c>
      <c r="CJ65" s="72">
        <v>4101.2104243316071</v>
      </c>
      <c r="CK65" s="72">
        <v>6482.4869204562292</v>
      </c>
      <c r="CL65" s="72">
        <v>4202.7900874919615</v>
      </c>
      <c r="CM65" s="72">
        <v>1698.7058760456944</v>
      </c>
      <c r="CN65" s="72">
        <v>9247.1071398356889</v>
      </c>
      <c r="CO65" s="72">
        <v>1279.1737043947771</v>
      </c>
      <c r="CP65" s="72">
        <v>177.68404953229717</v>
      </c>
      <c r="CQ65" s="72">
        <v>19210.491506444912</v>
      </c>
      <c r="CR65" s="72">
        <v>892.86234889979335</v>
      </c>
      <c r="CS65" s="72">
        <v>1562.7462472260177</v>
      </c>
      <c r="CT65" s="72">
        <v>1725.0159808760516</v>
      </c>
      <c r="CU65" s="72">
        <v>1193.4445326919295</v>
      </c>
      <c r="CV65" s="72">
        <v>315.38918791982746</v>
      </c>
      <c r="CW65" s="72">
        <v>0</v>
      </c>
      <c r="CX65" s="72">
        <v>0</v>
      </c>
      <c r="CY65" s="72">
        <v>1277.8444562197708</v>
      </c>
      <c r="CZ65" s="72">
        <v>2697.9762012507849</v>
      </c>
      <c r="DA65" s="72">
        <v>1079.6751241639993</v>
      </c>
      <c r="DB65" s="72">
        <v>1954.5245448552691</v>
      </c>
      <c r="DC65" s="72">
        <v>4.9272157110409198</v>
      </c>
      <c r="DD65" s="72">
        <v>8381.1992682677865</v>
      </c>
      <c r="DE65" s="72">
        <v>5234.3601703775412</v>
      </c>
      <c r="DF65" s="72">
        <v>0</v>
      </c>
      <c r="DG65" s="72">
        <v>1202.3287351685444</v>
      </c>
      <c r="DH65" s="72">
        <v>1454.0478053392985</v>
      </c>
      <c r="DI65" s="72">
        <v>0</v>
      </c>
      <c r="DJ65" s="72">
        <v>0</v>
      </c>
      <c r="DK65" s="72">
        <v>0</v>
      </c>
      <c r="DL65" s="72">
        <v>14285.322164300964</v>
      </c>
      <c r="DM65" s="72">
        <v>444.21012383074293</v>
      </c>
      <c r="DN65" s="72">
        <v>22625.660187713893</v>
      </c>
      <c r="DO65" s="72">
        <v>5227.1944907309626</v>
      </c>
      <c r="DP65" s="72">
        <v>0</v>
      </c>
      <c r="DQ65" s="72">
        <v>0</v>
      </c>
      <c r="DR65" s="72">
        <v>915.53216809078447</v>
      </c>
      <c r="DS65" s="72">
        <v>282.34719446562491</v>
      </c>
      <c r="DT65" s="72">
        <v>2431.8642869367714</v>
      </c>
      <c r="DU65" s="72">
        <v>0</v>
      </c>
      <c r="DV65" s="72">
        <v>0</v>
      </c>
      <c r="DW65" s="72">
        <v>5.5141283371522896</v>
      </c>
      <c r="DX65" s="72">
        <v>0</v>
      </c>
      <c r="DY65" s="72">
        <v>0</v>
      </c>
      <c r="DZ65" s="72">
        <v>0</v>
      </c>
      <c r="EA65" s="72">
        <v>0</v>
      </c>
      <c r="EB65" s="72">
        <v>235.12418089346863</v>
      </c>
      <c r="EC65" s="72">
        <v>0.71925022550261142</v>
      </c>
      <c r="ED65" s="72">
        <v>0</v>
      </c>
      <c r="EE65" s="72">
        <v>2.2173488681217921</v>
      </c>
      <c r="EF65" s="72">
        <v>0</v>
      </c>
      <c r="EG65" s="72">
        <v>0</v>
      </c>
      <c r="EH65" s="72">
        <v>0</v>
      </c>
      <c r="EI65" s="72">
        <v>0</v>
      </c>
      <c r="EJ65" s="72">
        <v>75332.086119034386</v>
      </c>
      <c r="EK65" s="72">
        <v>0</v>
      </c>
      <c r="EL65" s="72">
        <v>59591.508357275081</v>
      </c>
      <c r="EM65" s="72">
        <v>5027.4928439639107</v>
      </c>
      <c r="EN65" s="72">
        <v>65560.848486265502</v>
      </c>
      <c r="EO65" s="72">
        <v>103399.53331985875</v>
      </c>
      <c r="EP65" s="72">
        <v>8734.8592227976696</v>
      </c>
      <c r="EQ65" s="72">
        <v>0</v>
      </c>
      <c r="ER65" s="72">
        <v>0</v>
      </c>
      <c r="ES65" s="72">
        <v>0</v>
      </c>
      <c r="ET65" s="72">
        <v>0</v>
      </c>
      <c r="EU65" s="72">
        <v>0</v>
      </c>
      <c r="EV65" s="72">
        <v>0</v>
      </c>
      <c r="EW65" s="72">
        <v>0</v>
      </c>
      <c r="EX65" s="72">
        <v>0</v>
      </c>
      <c r="EY65" s="72">
        <v>0</v>
      </c>
      <c r="EZ65" s="72">
        <v>0</v>
      </c>
      <c r="FA65" s="72">
        <v>638.43330082175953</v>
      </c>
      <c r="FB65" s="72">
        <v>0</v>
      </c>
      <c r="FC65" s="72">
        <v>0</v>
      </c>
      <c r="FD65" s="72">
        <v>0</v>
      </c>
      <c r="FE65" s="72">
        <v>0</v>
      </c>
      <c r="FF65" s="72">
        <v>30260.929191613217</v>
      </c>
      <c r="FG65" s="72">
        <v>0</v>
      </c>
      <c r="FH65" s="72">
        <v>0</v>
      </c>
      <c r="FI65" s="72">
        <v>14144.995195807249</v>
      </c>
      <c r="FJ65" s="72">
        <v>10336.498798951812</v>
      </c>
      <c r="FK65" s="72">
        <v>9792.0036031445634</v>
      </c>
      <c r="FL65" s="72">
        <v>25905.752650687045</v>
      </c>
      <c r="FM65" s="72">
        <v>60462.450363168806</v>
      </c>
      <c r="FN65" s="72">
        <v>62421.93654970808</v>
      </c>
      <c r="FO65" s="72">
        <v>0</v>
      </c>
      <c r="FP65" s="72">
        <v>0</v>
      </c>
      <c r="FQ65" s="72">
        <v>0</v>
      </c>
      <c r="FR65" s="72">
        <v>0</v>
      </c>
      <c r="FS65" s="72">
        <v>0</v>
      </c>
      <c r="FT65" s="72">
        <v>0</v>
      </c>
      <c r="FU65" s="72">
        <v>0</v>
      </c>
      <c r="FV65" s="72">
        <v>0</v>
      </c>
      <c r="FW65" s="72">
        <v>0</v>
      </c>
      <c r="FX65" s="72">
        <v>0</v>
      </c>
      <c r="FY65" s="72">
        <v>0</v>
      </c>
      <c r="FZ65" s="72">
        <v>0</v>
      </c>
      <c r="GA65" s="72">
        <v>0</v>
      </c>
      <c r="GB65" s="72">
        <v>0</v>
      </c>
      <c r="GC65" s="72">
        <v>0</v>
      </c>
      <c r="GD65" s="72">
        <v>0</v>
      </c>
      <c r="GE65" s="72">
        <v>0</v>
      </c>
      <c r="GF65" s="72">
        <v>0</v>
      </c>
      <c r="GG65" s="72">
        <v>0</v>
      </c>
      <c r="GH65" s="72">
        <v>0</v>
      </c>
      <c r="GI65" s="72">
        <v>0</v>
      </c>
      <c r="GJ65" s="72">
        <v>0</v>
      </c>
      <c r="GK65" s="72">
        <v>0</v>
      </c>
      <c r="GL65" s="72">
        <v>0</v>
      </c>
      <c r="GM65" s="72">
        <v>0</v>
      </c>
      <c r="GN65" s="72">
        <v>0</v>
      </c>
      <c r="GO65" s="72">
        <v>0</v>
      </c>
      <c r="GP65" s="72">
        <v>0</v>
      </c>
      <c r="GQ65" s="72">
        <v>0</v>
      </c>
      <c r="GR65" s="72">
        <f t="shared" si="0"/>
        <v>717946.67467586056</v>
      </c>
      <c r="GS65" s="72">
        <f>SUM(BJ$5:BJ$202)</f>
        <v>717946.67467586044</v>
      </c>
      <c r="GT65" s="73">
        <v>0</v>
      </c>
    </row>
    <row r="66" spans="1:202" x14ac:dyDescent="0.2">
      <c r="A66" s="66" t="s">
        <v>1498</v>
      </c>
      <c r="B66" s="72">
        <v>8381.5092144682258</v>
      </c>
      <c r="C66" s="72">
        <v>4.6457621939229909</v>
      </c>
      <c r="D66" s="72">
        <v>0</v>
      </c>
      <c r="E66" s="72">
        <v>0</v>
      </c>
      <c r="F66" s="72">
        <v>0</v>
      </c>
      <c r="G66" s="72">
        <v>0</v>
      </c>
      <c r="H66" s="72">
        <v>0</v>
      </c>
      <c r="I66" s="72">
        <v>54145.52593361475</v>
      </c>
      <c r="J66" s="72">
        <v>2721.23230634732</v>
      </c>
      <c r="K66" s="72">
        <v>0</v>
      </c>
      <c r="L66" s="72">
        <v>0</v>
      </c>
      <c r="M66" s="72">
        <v>0</v>
      </c>
      <c r="N66" s="72">
        <v>0</v>
      </c>
      <c r="O66" s="72">
        <v>0</v>
      </c>
      <c r="P66" s="72">
        <v>0</v>
      </c>
      <c r="Q66" s="72">
        <v>0</v>
      </c>
      <c r="R66" s="72">
        <v>0</v>
      </c>
      <c r="S66" s="72">
        <v>0</v>
      </c>
      <c r="T66" s="72">
        <v>66.719220683542702</v>
      </c>
      <c r="U66" s="72">
        <v>0</v>
      </c>
      <c r="V66" s="72">
        <v>0</v>
      </c>
      <c r="W66" s="72">
        <v>0</v>
      </c>
      <c r="X66" s="72">
        <v>0</v>
      </c>
      <c r="Y66" s="72">
        <v>0</v>
      </c>
      <c r="Z66" s="72">
        <v>0</v>
      </c>
      <c r="AA66" s="72">
        <v>0</v>
      </c>
      <c r="AB66" s="72">
        <v>0</v>
      </c>
      <c r="AC66" s="72">
        <v>0</v>
      </c>
      <c r="AD66" s="72">
        <v>0</v>
      </c>
      <c r="AE66" s="72">
        <v>0</v>
      </c>
      <c r="AF66" s="72">
        <v>0</v>
      </c>
      <c r="AG66" s="72">
        <v>0</v>
      </c>
      <c r="AH66" s="72">
        <v>0</v>
      </c>
      <c r="AI66" s="72">
        <v>49.683190167205083</v>
      </c>
      <c r="AJ66" s="72">
        <v>57.446090870558351</v>
      </c>
      <c r="AK66" s="72">
        <v>0</v>
      </c>
      <c r="AL66" s="72">
        <v>0</v>
      </c>
      <c r="AM66" s="72">
        <v>0</v>
      </c>
      <c r="AN66" s="72">
        <v>0</v>
      </c>
      <c r="AO66" s="72">
        <v>0</v>
      </c>
      <c r="AP66" s="72">
        <v>0</v>
      </c>
      <c r="AQ66" s="72">
        <v>0</v>
      </c>
      <c r="AR66" s="72">
        <v>0</v>
      </c>
      <c r="AS66" s="72">
        <v>0</v>
      </c>
      <c r="AT66" s="72">
        <v>0</v>
      </c>
      <c r="AU66" s="72">
        <v>0</v>
      </c>
      <c r="AV66" s="72">
        <v>0</v>
      </c>
      <c r="AW66" s="72">
        <v>0</v>
      </c>
      <c r="AX66" s="72">
        <v>0</v>
      </c>
      <c r="AY66" s="72">
        <v>0</v>
      </c>
      <c r="AZ66" s="72">
        <v>0</v>
      </c>
      <c r="BA66" s="72">
        <v>0</v>
      </c>
      <c r="BB66" s="72">
        <v>0</v>
      </c>
      <c r="BC66" s="72">
        <v>137.3593347342275</v>
      </c>
      <c r="BD66" s="72">
        <v>0</v>
      </c>
      <c r="BE66" s="72">
        <v>0.43500220059641503</v>
      </c>
      <c r="BF66" s="72">
        <v>0</v>
      </c>
      <c r="BG66" s="72">
        <v>0</v>
      </c>
      <c r="BH66" s="72">
        <v>0</v>
      </c>
      <c r="BI66" s="72">
        <v>83.013048593666809</v>
      </c>
      <c r="BJ66" s="72">
        <v>3854.0204175356166</v>
      </c>
      <c r="BK66" s="72">
        <v>0</v>
      </c>
      <c r="BL66" s="72">
        <v>0</v>
      </c>
      <c r="BM66" s="72">
        <v>0</v>
      </c>
      <c r="BN66" s="72">
        <v>0</v>
      </c>
      <c r="BO66" s="72">
        <v>0</v>
      </c>
      <c r="BP66" s="72">
        <v>0</v>
      </c>
      <c r="BQ66" s="72">
        <v>0</v>
      </c>
      <c r="BR66" s="72">
        <v>0</v>
      </c>
      <c r="BS66" s="72">
        <v>0</v>
      </c>
      <c r="BT66" s="72">
        <v>0</v>
      </c>
      <c r="BU66" s="72">
        <v>0</v>
      </c>
      <c r="BV66" s="72">
        <v>0</v>
      </c>
      <c r="BW66" s="72">
        <v>0</v>
      </c>
      <c r="BX66" s="72">
        <v>0</v>
      </c>
      <c r="BY66" s="72">
        <v>0</v>
      </c>
      <c r="BZ66" s="72">
        <v>0</v>
      </c>
      <c r="CA66" s="72">
        <v>0</v>
      </c>
      <c r="CB66" s="72">
        <v>0</v>
      </c>
      <c r="CC66" s="72">
        <v>0</v>
      </c>
      <c r="CD66" s="72">
        <v>0</v>
      </c>
      <c r="CE66" s="72">
        <v>0</v>
      </c>
      <c r="CF66" s="72">
        <v>0</v>
      </c>
      <c r="CG66" s="72">
        <v>0</v>
      </c>
      <c r="CH66" s="72">
        <v>0</v>
      </c>
      <c r="CI66" s="72">
        <v>0</v>
      </c>
      <c r="CJ66" s="72">
        <v>0</v>
      </c>
      <c r="CK66" s="72">
        <v>0</v>
      </c>
      <c r="CL66" s="72">
        <v>0</v>
      </c>
      <c r="CM66" s="72">
        <v>0</v>
      </c>
      <c r="CN66" s="72">
        <v>0</v>
      </c>
      <c r="CO66" s="72">
        <v>0</v>
      </c>
      <c r="CP66" s="72">
        <v>0</v>
      </c>
      <c r="CQ66" s="72">
        <v>0</v>
      </c>
      <c r="CR66" s="72">
        <v>0</v>
      </c>
      <c r="CS66" s="72">
        <v>0</v>
      </c>
      <c r="CT66" s="72">
        <v>0</v>
      </c>
      <c r="CU66" s="72">
        <v>0</v>
      </c>
      <c r="CV66" s="72">
        <v>0</v>
      </c>
      <c r="CW66" s="72">
        <v>0</v>
      </c>
      <c r="CX66" s="72">
        <v>0</v>
      </c>
      <c r="CY66" s="72">
        <v>0</v>
      </c>
      <c r="CZ66" s="72">
        <v>0</v>
      </c>
      <c r="DA66" s="72">
        <v>0</v>
      </c>
      <c r="DB66" s="72">
        <v>0</v>
      </c>
      <c r="DC66" s="72">
        <v>0</v>
      </c>
      <c r="DD66" s="72">
        <v>0</v>
      </c>
      <c r="DE66" s="72">
        <v>0</v>
      </c>
      <c r="DF66" s="72">
        <v>0</v>
      </c>
      <c r="DG66" s="72">
        <v>0</v>
      </c>
      <c r="DH66" s="72">
        <v>0</v>
      </c>
      <c r="DI66" s="72">
        <v>0</v>
      </c>
      <c r="DJ66" s="72">
        <v>0</v>
      </c>
      <c r="DK66" s="72">
        <v>0</v>
      </c>
      <c r="DL66" s="72">
        <v>0</v>
      </c>
      <c r="DM66" s="72">
        <v>0</v>
      </c>
      <c r="DN66" s="72">
        <v>0</v>
      </c>
      <c r="DO66" s="72">
        <v>0</v>
      </c>
      <c r="DP66" s="72">
        <v>0</v>
      </c>
      <c r="DQ66" s="72">
        <v>0</v>
      </c>
      <c r="DR66" s="72">
        <v>0</v>
      </c>
      <c r="DS66" s="72">
        <v>0</v>
      </c>
      <c r="DT66" s="72">
        <v>0</v>
      </c>
      <c r="DU66" s="72">
        <v>0</v>
      </c>
      <c r="DV66" s="72">
        <v>0</v>
      </c>
      <c r="DW66" s="72">
        <v>0</v>
      </c>
      <c r="DX66" s="72">
        <v>0</v>
      </c>
      <c r="DY66" s="72">
        <v>0</v>
      </c>
      <c r="DZ66" s="72">
        <v>0</v>
      </c>
      <c r="EA66" s="72">
        <v>0</v>
      </c>
      <c r="EB66" s="72">
        <v>0</v>
      </c>
      <c r="EC66" s="72">
        <v>0</v>
      </c>
      <c r="ED66" s="72">
        <v>0</v>
      </c>
      <c r="EE66" s="72">
        <v>0</v>
      </c>
      <c r="EF66" s="72">
        <v>0</v>
      </c>
      <c r="EG66" s="72">
        <v>0</v>
      </c>
      <c r="EH66" s="72">
        <v>0</v>
      </c>
      <c r="EI66" s="72">
        <v>0</v>
      </c>
      <c r="EJ66" s="72">
        <v>0</v>
      </c>
      <c r="EK66" s="72">
        <v>0</v>
      </c>
      <c r="EL66" s="72">
        <v>0</v>
      </c>
      <c r="EM66" s="72">
        <v>0</v>
      </c>
      <c r="EN66" s="72">
        <v>0</v>
      </c>
      <c r="EO66" s="72">
        <v>0</v>
      </c>
      <c r="EP66" s="72">
        <v>0</v>
      </c>
      <c r="EQ66" s="72">
        <v>0</v>
      </c>
      <c r="ER66" s="72">
        <v>0</v>
      </c>
      <c r="ES66" s="72">
        <v>0</v>
      </c>
      <c r="ET66" s="72">
        <v>0</v>
      </c>
      <c r="EU66" s="72">
        <v>0</v>
      </c>
      <c r="EV66" s="72">
        <v>0</v>
      </c>
      <c r="EW66" s="72">
        <v>0</v>
      </c>
      <c r="EX66" s="72">
        <v>0</v>
      </c>
      <c r="EY66" s="72">
        <v>0</v>
      </c>
      <c r="EZ66" s="72">
        <v>0</v>
      </c>
      <c r="FA66" s="72">
        <v>0</v>
      </c>
      <c r="FB66" s="72">
        <v>0</v>
      </c>
      <c r="FC66" s="72">
        <v>0</v>
      </c>
      <c r="FD66" s="72">
        <v>0</v>
      </c>
      <c r="FE66" s="72">
        <v>0</v>
      </c>
      <c r="FF66" s="72">
        <v>0</v>
      </c>
      <c r="FG66" s="72">
        <v>0</v>
      </c>
      <c r="FH66" s="72">
        <v>0</v>
      </c>
      <c r="FI66" s="72">
        <v>0</v>
      </c>
      <c r="FJ66" s="72">
        <v>0</v>
      </c>
      <c r="FK66" s="72">
        <v>0</v>
      </c>
      <c r="FL66" s="72">
        <v>0</v>
      </c>
      <c r="FM66" s="72">
        <v>0</v>
      </c>
      <c r="FN66" s="72">
        <v>0</v>
      </c>
      <c r="FO66" s="72">
        <v>0</v>
      </c>
      <c r="FP66" s="72">
        <v>0</v>
      </c>
      <c r="FQ66" s="72">
        <v>0</v>
      </c>
      <c r="FR66" s="72">
        <v>0</v>
      </c>
      <c r="FS66" s="72">
        <v>0</v>
      </c>
      <c r="FT66" s="72">
        <v>0</v>
      </c>
      <c r="FU66" s="72">
        <v>0</v>
      </c>
      <c r="FV66" s="74">
        <v>292.50010743169901</v>
      </c>
      <c r="FW66" s="74">
        <v>341.18907761767571</v>
      </c>
      <c r="FX66" s="74">
        <v>300.05216795125045</v>
      </c>
      <c r="FY66" s="74">
        <v>283.88321596722568</v>
      </c>
      <c r="FZ66" s="74">
        <v>274.44413932894633</v>
      </c>
      <c r="GA66" s="74">
        <v>254.76463019478354</v>
      </c>
      <c r="GB66" s="74">
        <v>247.30776465008273</v>
      </c>
      <c r="GC66" s="74">
        <v>268.83190217807055</v>
      </c>
      <c r="GD66" s="74">
        <v>259.26507956548073</v>
      </c>
      <c r="GE66" s="74">
        <v>72.206479290882612</v>
      </c>
      <c r="GF66" s="74">
        <v>64.249402513290775</v>
      </c>
      <c r="GG66" s="74">
        <v>90.837913664839164</v>
      </c>
      <c r="GH66" s="74">
        <v>119.94582042564154</v>
      </c>
      <c r="GI66" s="74">
        <v>0</v>
      </c>
      <c r="GJ66" s="72">
        <v>0</v>
      </c>
      <c r="GK66" s="72">
        <v>0</v>
      </c>
      <c r="GL66" s="72">
        <v>0</v>
      </c>
      <c r="GM66" s="72">
        <v>0</v>
      </c>
      <c r="GN66" s="72">
        <v>0</v>
      </c>
      <c r="GO66" s="72">
        <v>0</v>
      </c>
      <c r="GP66" s="72">
        <v>1952.9820685462437</v>
      </c>
      <c r="GQ66" s="72">
        <v>1355.7042183671442</v>
      </c>
      <c r="GR66" s="72">
        <f t="shared" si="0"/>
        <v>75679.753509102899</v>
      </c>
      <c r="GS66" s="72">
        <f>SUM(BK$5:BK$202)</f>
        <v>75679.753509102869</v>
      </c>
      <c r="GT66" s="73">
        <v>0</v>
      </c>
    </row>
    <row r="67" spans="1:202" x14ac:dyDescent="0.2">
      <c r="A67" s="66" t="s">
        <v>1499</v>
      </c>
      <c r="B67" s="72">
        <v>3657.489314659354</v>
      </c>
      <c r="C67" s="72">
        <v>0</v>
      </c>
      <c r="D67" s="72">
        <v>0</v>
      </c>
      <c r="E67" s="72">
        <v>0</v>
      </c>
      <c r="F67" s="72">
        <v>0</v>
      </c>
      <c r="G67" s="72">
        <v>0</v>
      </c>
      <c r="H67" s="72">
        <v>0</v>
      </c>
      <c r="I67" s="72">
        <v>13138.595852029497</v>
      </c>
      <c r="J67" s="72">
        <v>3875.51751665641</v>
      </c>
      <c r="K67" s="72">
        <v>189.43261371888232</v>
      </c>
      <c r="L67" s="72">
        <v>10.934601999145325</v>
      </c>
      <c r="M67" s="72">
        <v>0.56165517242689522</v>
      </c>
      <c r="N67" s="72">
        <v>0</v>
      </c>
      <c r="O67" s="72">
        <v>0</v>
      </c>
      <c r="P67" s="72">
        <v>0.60006312271265572</v>
      </c>
      <c r="Q67" s="72">
        <v>0</v>
      </c>
      <c r="R67" s="72">
        <v>0</v>
      </c>
      <c r="S67" s="72">
        <v>67.061313495178581</v>
      </c>
      <c r="T67" s="72">
        <v>85.078380781337941</v>
      </c>
      <c r="U67" s="72">
        <v>0</v>
      </c>
      <c r="V67" s="72">
        <v>10.965420450470663</v>
      </c>
      <c r="W67" s="72">
        <v>0</v>
      </c>
      <c r="X67" s="72">
        <v>0</v>
      </c>
      <c r="Y67" s="72">
        <v>0</v>
      </c>
      <c r="Z67" s="72">
        <v>0</v>
      </c>
      <c r="AA67" s="72">
        <v>0</v>
      </c>
      <c r="AB67" s="72">
        <v>0</v>
      </c>
      <c r="AC67" s="72">
        <v>0</v>
      </c>
      <c r="AD67" s="72">
        <v>0</v>
      </c>
      <c r="AE67" s="72">
        <v>0</v>
      </c>
      <c r="AF67" s="72">
        <v>0</v>
      </c>
      <c r="AG67" s="72">
        <v>1.2937660208430588</v>
      </c>
      <c r="AH67" s="72">
        <v>0</v>
      </c>
      <c r="AI67" s="72">
        <v>1.3700215119793584</v>
      </c>
      <c r="AJ67" s="72">
        <v>1.5692393705375696</v>
      </c>
      <c r="AK67" s="72">
        <v>0</v>
      </c>
      <c r="AL67" s="72">
        <v>0</v>
      </c>
      <c r="AM67" s="72">
        <v>0</v>
      </c>
      <c r="AN67" s="72">
        <v>0</v>
      </c>
      <c r="AO67" s="72">
        <v>128.86713180978865</v>
      </c>
      <c r="AP67" s="72">
        <v>0</v>
      </c>
      <c r="AQ67" s="72">
        <v>0</v>
      </c>
      <c r="AR67" s="72">
        <v>0</v>
      </c>
      <c r="AS67" s="72">
        <v>0</v>
      </c>
      <c r="AT67" s="72">
        <v>0</v>
      </c>
      <c r="AU67" s="72">
        <v>0</v>
      </c>
      <c r="AV67" s="72">
        <v>0</v>
      </c>
      <c r="AW67" s="72">
        <v>0</v>
      </c>
      <c r="AX67" s="72">
        <v>0</v>
      </c>
      <c r="AY67" s="72">
        <v>0</v>
      </c>
      <c r="AZ67" s="72">
        <v>0</v>
      </c>
      <c r="BA67" s="72">
        <v>0</v>
      </c>
      <c r="BB67" s="72">
        <v>0</v>
      </c>
      <c r="BC67" s="72">
        <v>89.532342587794915</v>
      </c>
      <c r="BD67" s="72">
        <v>0</v>
      </c>
      <c r="BE67" s="72">
        <v>90.522059732588588</v>
      </c>
      <c r="BF67" s="72">
        <v>0</v>
      </c>
      <c r="BG67" s="72">
        <v>13.509964764843868</v>
      </c>
      <c r="BH67" s="72">
        <v>284.06585346170493</v>
      </c>
      <c r="BI67" s="72">
        <v>0</v>
      </c>
      <c r="BJ67" s="72">
        <v>401.09256585172272</v>
      </c>
      <c r="BK67" s="72">
        <v>0</v>
      </c>
      <c r="BL67" s="72">
        <v>0</v>
      </c>
      <c r="BM67" s="72">
        <v>0</v>
      </c>
      <c r="BN67" s="72">
        <v>0</v>
      </c>
      <c r="BO67" s="72">
        <v>0</v>
      </c>
      <c r="BP67" s="72">
        <v>0</v>
      </c>
      <c r="BQ67" s="72">
        <v>0</v>
      </c>
      <c r="BR67" s="72">
        <v>0</v>
      </c>
      <c r="BS67" s="72">
        <v>0</v>
      </c>
      <c r="BT67" s="72">
        <v>0</v>
      </c>
      <c r="BU67" s="72">
        <v>0</v>
      </c>
      <c r="BV67" s="72">
        <v>0</v>
      </c>
      <c r="BW67" s="72">
        <v>0</v>
      </c>
      <c r="BX67" s="72">
        <v>0</v>
      </c>
      <c r="BY67" s="72">
        <v>0</v>
      </c>
      <c r="BZ67" s="72">
        <v>0</v>
      </c>
      <c r="CA67" s="72">
        <v>0</v>
      </c>
      <c r="CB67" s="72">
        <v>0</v>
      </c>
      <c r="CC67" s="72">
        <v>0</v>
      </c>
      <c r="CD67" s="72">
        <v>0</v>
      </c>
      <c r="CE67" s="72">
        <v>0</v>
      </c>
      <c r="CF67" s="72">
        <v>0</v>
      </c>
      <c r="CG67" s="72">
        <v>0</v>
      </c>
      <c r="CH67" s="72">
        <v>0</v>
      </c>
      <c r="CI67" s="72">
        <v>0</v>
      </c>
      <c r="CJ67" s="72">
        <v>0</v>
      </c>
      <c r="CK67" s="72">
        <v>0</v>
      </c>
      <c r="CL67" s="72">
        <v>0</v>
      </c>
      <c r="CM67" s="72">
        <v>0</v>
      </c>
      <c r="CN67" s="72">
        <v>0</v>
      </c>
      <c r="CO67" s="72">
        <v>0</v>
      </c>
      <c r="CP67" s="72">
        <v>0</v>
      </c>
      <c r="CQ67" s="72">
        <v>0</v>
      </c>
      <c r="CR67" s="72">
        <v>0</v>
      </c>
      <c r="CS67" s="72">
        <v>0</v>
      </c>
      <c r="CT67" s="72">
        <v>0</v>
      </c>
      <c r="CU67" s="72">
        <v>0</v>
      </c>
      <c r="CV67" s="72">
        <v>0</v>
      </c>
      <c r="CW67" s="72">
        <v>0</v>
      </c>
      <c r="CX67" s="72">
        <v>0</v>
      </c>
      <c r="CY67" s="72">
        <v>0</v>
      </c>
      <c r="CZ67" s="72">
        <v>0</v>
      </c>
      <c r="DA67" s="72">
        <v>0</v>
      </c>
      <c r="DB67" s="72">
        <v>0</v>
      </c>
      <c r="DC67" s="72">
        <v>0</v>
      </c>
      <c r="DD67" s="72">
        <v>0</v>
      </c>
      <c r="DE67" s="72">
        <v>0</v>
      </c>
      <c r="DF67" s="72">
        <v>0</v>
      </c>
      <c r="DG67" s="72">
        <v>0</v>
      </c>
      <c r="DH67" s="72">
        <v>0</v>
      </c>
      <c r="DI67" s="72">
        <v>0</v>
      </c>
      <c r="DJ67" s="72">
        <v>0</v>
      </c>
      <c r="DK67" s="72">
        <v>0</v>
      </c>
      <c r="DL67" s="72">
        <v>0</v>
      </c>
      <c r="DM67" s="72">
        <v>0</v>
      </c>
      <c r="DN67" s="72">
        <v>0</v>
      </c>
      <c r="DO67" s="72">
        <v>0</v>
      </c>
      <c r="DP67" s="72">
        <v>0</v>
      </c>
      <c r="DQ67" s="72">
        <v>0</v>
      </c>
      <c r="DR67" s="72">
        <v>0</v>
      </c>
      <c r="DS67" s="72">
        <v>0</v>
      </c>
      <c r="DT67" s="72">
        <v>0</v>
      </c>
      <c r="DU67" s="72">
        <v>0</v>
      </c>
      <c r="DV67" s="72">
        <v>0</v>
      </c>
      <c r="DW67" s="72">
        <v>0</v>
      </c>
      <c r="DX67" s="72">
        <v>0</v>
      </c>
      <c r="DY67" s="72">
        <v>0</v>
      </c>
      <c r="DZ67" s="72">
        <v>0</v>
      </c>
      <c r="EA67" s="72">
        <v>0</v>
      </c>
      <c r="EB67" s="72">
        <v>0</v>
      </c>
      <c r="EC67" s="72">
        <v>0</v>
      </c>
      <c r="ED67" s="72">
        <v>0</v>
      </c>
      <c r="EE67" s="72">
        <v>0</v>
      </c>
      <c r="EF67" s="72">
        <v>0</v>
      </c>
      <c r="EG67" s="72">
        <v>0</v>
      </c>
      <c r="EH67" s="72">
        <v>0</v>
      </c>
      <c r="EI67" s="72">
        <v>0</v>
      </c>
      <c r="EJ67" s="72">
        <v>0</v>
      </c>
      <c r="EK67" s="72">
        <v>0</v>
      </c>
      <c r="EL67" s="72">
        <v>0</v>
      </c>
      <c r="EM67" s="72">
        <v>0</v>
      </c>
      <c r="EN67" s="72">
        <v>0</v>
      </c>
      <c r="EO67" s="72">
        <v>0</v>
      </c>
      <c r="EP67" s="72">
        <v>0</v>
      </c>
      <c r="EQ67" s="72">
        <v>0</v>
      </c>
      <c r="ER67" s="72">
        <v>0</v>
      </c>
      <c r="ES67" s="72">
        <v>0</v>
      </c>
      <c r="ET67" s="72">
        <v>0</v>
      </c>
      <c r="EU67" s="72">
        <v>0</v>
      </c>
      <c r="EV67" s="72">
        <v>0</v>
      </c>
      <c r="EW67" s="72">
        <v>0</v>
      </c>
      <c r="EX67" s="72">
        <v>0</v>
      </c>
      <c r="EY67" s="72">
        <v>0</v>
      </c>
      <c r="EZ67" s="72">
        <v>0</v>
      </c>
      <c r="FA67" s="72">
        <v>0</v>
      </c>
      <c r="FB67" s="72">
        <v>0</v>
      </c>
      <c r="FC67" s="72">
        <v>0</v>
      </c>
      <c r="FD67" s="72">
        <v>0</v>
      </c>
      <c r="FE67" s="72">
        <v>0</v>
      </c>
      <c r="FF67" s="72">
        <v>0</v>
      </c>
      <c r="FG67" s="72">
        <v>0</v>
      </c>
      <c r="FH67" s="72">
        <v>0</v>
      </c>
      <c r="FI67" s="72">
        <v>0</v>
      </c>
      <c r="FJ67" s="72">
        <v>0</v>
      </c>
      <c r="FK67" s="72">
        <v>0</v>
      </c>
      <c r="FL67" s="72">
        <v>0</v>
      </c>
      <c r="FM67" s="72">
        <v>0</v>
      </c>
      <c r="FN67" s="72">
        <v>0</v>
      </c>
      <c r="FO67" s="72">
        <v>0</v>
      </c>
      <c r="FP67" s="72">
        <v>0</v>
      </c>
      <c r="FQ67" s="72">
        <v>0</v>
      </c>
      <c r="FR67" s="72">
        <v>0</v>
      </c>
      <c r="FS67" s="72">
        <v>0</v>
      </c>
      <c r="FT67" s="72">
        <v>0</v>
      </c>
      <c r="FU67" s="72">
        <v>0</v>
      </c>
      <c r="FV67" s="74">
        <v>4038.6142982647602</v>
      </c>
      <c r="FW67" s="74">
        <v>4710.8737818165337</v>
      </c>
      <c r="FX67" s="74">
        <v>4142.887284225093</v>
      </c>
      <c r="FY67" s="74">
        <v>3919.6389536723023</v>
      </c>
      <c r="FZ67" s="74">
        <v>3789.3115147920498</v>
      </c>
      <c r="GA67" s="74">
        <v>3517.5921377637164</v>
      </c>
      <c r="GB67" s="74">
        <v>3414.6335300780811</v>
      </c>
      <c r="GC67" s="74">
        <v>3711.8221032434672</v>
      </c>
      <c r="GD67" s="74">
        <v>3579.7308471703741</v>
      </c>
      <c r="GE67" s="74">
        <v>996.97098319736847</v>
      </c>
      <c r="GF67" s="74">
        <v>887.10584732258314</v>
      </c>
      <c r="GG67" s="74">
        <v>1254.2193579775819</v>
      </c>
      <c r="GH67" s="74">
        <v>1656.1187263878453</v>
      </c>
      <c r="GI67" s="74">
        <v>0</v>
      </c>
      <c r="GJ67" s="72">
        <v>0</v>
      </c>
      <c r="GK67" s="72">
        <v>0</v>
      </c>
      <c r="GL67" s="72">
        <v>0</v>
      </c>
      <c r="GM67" s="72">
        <v>0</v>
      </c>
      <c r="GN67" s="72">
        <v>0</v>
      </c>
      <c r="GO67" s="72">
        <v>1521.0383647976823</v>
      </c>
      <c r="GP67" s="72">
        <v>-3171.882507550732</v>
      </c>
      <c r="GQ67" s="72">
        <v>57246.89638075402</v>
      </c>
      <c r="GR67" s="72">
        <f t="shared" si="0"/>
        <v>117263.63128110995</v>
      </c>
      <c r="GS67" s="72">
        <f>SUM(BL$5:BL$202)</f>
        <v>117263.63128110992</v>
      </c>
      <c r="GT67" s="73">
        <v>0</v>
      </c>
    </row>
    <row r="68" spans="1:202" x14ac:dyDescent="0.2">
      <c r="A68" s="66" t="s">
        <v>641</v>
      </c>
      <c r="B68" s="72">
        <v>30568.474390059149</v>
      </c>
      <c r="C68" s="72">
        <v>0</v>
      </c>
      <c r="D68" s="72">
        <v>0</v>
      </c>
      <c r="E68" s="72">
        <v>0</v>
      </c>
      <c r="F68" s="72">
        <v>0</v>
      </c>
      <c r="G68" s="72">
        <v>0</v>
      </c>
      <c r="H68" s="72">
        <v>0</v>
      </c>
      <c r="I68" s="72">
        <v>30234.834895416152</v>
      </c>
      <c r="J68" s="72">
        <v>0</v>
      </c>
      <c r="K68" s="72">
        <v>1496.8362127345372</v>
      </c>
      <c r="L68" s="72">
        <v>29.073025013094465</v>
      </c>
      <c r="M68" s="72">
        <v>4199.2732551404197</v>
      </c>
      <c r="N68" s="72">
        <v>387.84479115778447</v>
      </c>
      <c r="O68" s="72">
        <v>0</v>
      </c>
      <c r="P68" s="72">
        <v>0</v>
      </c>
      <c r="Q68" s="72">
        <v>0</v>
      </c>
      <c r="R68" s="72">
        <v>0</v>
      </c>
      <c r="S68" s="72">
        <v>0</v>
      </c>
      <c r="T68" s="72">
        <v>257.69534585410707</v>
      </c>
      <c r="U68" s="72">
        <v>0</v>
      </c>
      <c r="V68" s="72">
        <v>0</v>
      </c>
      <c r="W68" s="72">
        <v>0</v>
      </c>
      <c r="X68" s="72">
        <v>0</v>
      </c>
      <c r="Y68" s="72">
        <v>0</v>
      </c>
      <c r="Z68" s="72">
        <v>0</v>
      </c>
      <c r="AA68" s="72">
        <v>0</v>
      </c>
      <c r="AB68" s="72">
        <v>0</v>
      </c>
      <c r="AC68" s="72">
        <v>0</v>
      </c>
      <c r="AD68" s="72">
        <v>0</v>
      </c>
      <c r="AE68" s="72">
        <v>0</v>
      </c>
      <c r="AF68" s="72">
        <v>0</v>
      </c>
      <c r="AG68" s="72">
        <v>0</v>
      </c>
      <c r="AH68" s="72">
        <v>0</v>
      </c>
      <c r="AI68" s="72">
        <v>1.5035973087288208</v>
      </c>
      <c r="AJ68" s="72">
        <v>1.7557493797519113</v>
      </c>
      <c r="AK68" s="72">
        <v>0</v>
      </c>
      <c r="AL68" s="72">
        <v>0</v>
      </c>
      <c r="AM68" s="72">
        <v>0</v>
      </c>
      <c r="AN68" s="72">
        <v>0</v>
      </c>
      <c r="AO68" s="72">
        <v>0</v>
      </c>
      <c r="AP68" s="72">
        <v>0</v>
      </c>
      <c r="AQ68" s="72">
        <v>0</v>
      </c>
      <c r="AR68" s="72">
        <v>0</v>
      </c>
      <c r="AS68" s="72">
        <v>0</v>
      </c>
      <c r="AT68" s="72">
        <v>0</v>
      </c>
      <c r="AU68" s="72">
        <v>0</v>
      </c>
      <c r="AV68" s="72">
        <v>0</v>
      </c>
      <c r="AW68" s="72">
        <v>0</v>
      </c>
      <c r="AX68" s="72">
        <v>0</v>
      </c>
      <c r="AY68" s="72">
        <v>0</v>
      </c>
      <c r="AZ68" s="72">
        <v>0</v>
      </c>
      <c r="BA68" s="72">
        <v>0</v>
      </c>
      <c r="BB68" s="72">
        <v>0</v>
      </c>
      <c r="BC68" s="72">
        <v>25.258813523274164</v>
      </c>
      <c r="BD68" s="72">
        <v>0</v>
      </c>
      <c r="BE68" s="72">
        <v>0</v>
      </c>
      <c r="BF68" s="72">
        <v>0</v>
      </c>
      <c r="BG68" s="72">
        <v>0</v>
      </c>
      <c r="BH68" s="72">
        <v>0</v>
      </c>
      <c r="BI68" s="72">
        <v>0</v>
      </c>
      <c r="BJ68" s="72">
        <v>3378.1106050056974</v>
      </c>
      <c r="BK68" s="72">
        <v>0</v>
      </c>
      <c r="BL68" s="72">
        <v>0</v>
      </c>
      <c r="BM68" s="72">
        <v>0</v>
      </c>
      <c r="BN68" s="72">
        <v>0</v>
      </c>
      <c r="BO68" s="72">
        <v>0</v>
      </c>
      <c r="BP68" s="72">
        <v>0</v>
      </c>
      <c r="BQ68" s="72">
        <v>0</v>
      </c>
      <c r="BR68" s="72">
        <v>0</v>
      </c>
      <c r="BS68" s="72">
        <v>0</v>
      </c>
      <c r="BT68" s="72">
        <v>0</v>
      </c>
      <c r="BU68" s="72">
        <v>0</v>
      </c>
      <c r="BV68" s="72">
        <v>0</v>
      </c>
      <c r="BW68" s="72">
        <v>0</v>
      </c>
      <c r="BX68" s="72">
        <v>0</v>
      </c>
      <c r="BY68" s="72">
        <v>0</v>
      </c>
      <c r="BZ68" s="72">
        <v>0</v>
      </c>
      <c r="CA68" s="72">
        <v>0</v>
      </c>
      <c r="CB68" s="72">
        <v>0</v>
      </c>
      <c r="CC68" s="72">
        <v>0</v>
      </c>
      <c r="CD68" s="72">
        <v>0</v>
      </c>
      <c r="CE68" s="72">
        <v>0</v>
      </c>
      <c r="CF68" s="72">
        <v>0</v>
      </c>
      <c r="CG68" s="72">
        <v>0</v>
      </c>
      <c r="CH68" s="72">
        <v>0</v>
      </c>
      <c r="CI68" s="72">
        <v>0</v>
      </c>
      <c r="CJ68" s="72">
        <v>0</v>
      </c>
      <c r="CK68" s="72">
        <v>0</v>
      </c>
      <c r="CL68" s="72">
        <v>0</v>
      </c>
      <c r="CM68" s="72">
        <v>0</v>
      </c>
      <c r="CN68" s="72">
        <v>0</v>
      </c>
      <c r="CO68" s="72">
        <v>0</v>
      </c>
      <c r="CP68" s="72">
        <v>0</v>
      </c>
      <c r="CQ68" s="72">
        <v>0</v>
      </c>
      <c r="CR68" s="72">
        <v>0</v>
      </c>
      <c r="CS68" s="72">
        <v>0</v>
      </c>
      <c r="CT68" s="72">
        <v>0</v>
      </c>
      <c r="CU68" s="72">
        <v>0</v>
      </c>
      <c r="CV68" s="72">
        <v>0</v>
      </c>
      <c r="CW68" s="72">
        <v>0</v>
      </c>
      <c r="CX68" s="72">
        <v>0</v>
      </c>
      <c r="CY68" s="72">
        <v>0</v>
      </c>
      <c r="CZ68" s="72">
        <v>0</v>
      </c>
      <c r="DA68" s="72">
        <v>0</v>
      </c>
      <c r="DB68" s="72">
        <v>0</v>
      </c>
      <c r="DC68" s="72">
        <v>0</v>
      </c>
      <c r="DD68" s="72">
        <v>0</v>
      </c>
      <c r="DE68" s="72">
        <v>0</v>
      </c>
      <c r="DF68" s="72">
        <v>0</v>
      </c>
      <c r="DG68" s="72">
        <v>0</v>
      </c>
      <c r="DH68" s="72">
        <v>0</v>
      </c>
      <c r="DI68" s="72">
        <v>0</v>
      </c>
      <c r="DJ68" s="72">
        <v>0</v>
      </c>
      <c r="DK68" s="72">
        <v>0</v>
      </c>
      <c r="DL68" s="72">
        <v>0</v>
      </c>
      <c r="DM68" s="72">
        <v>0</v>
      </c>
      <c r="DN68" s="72">
        <v>0</v>
      </c>
      <c r="DO68" s="72">
        <v>0</v>
      </c>
      <c r="DP68" s="72">
        <v>0</v>
      </c>
      <c r="DQ68" s="72">
        <v>0</v>
      </c>
      <c r="DR68" s="72">
        <v>0</v>
      </c>
      <c r="DS68" s="72">
        <v>0</v>
      </c>
      <c r="DT68" s="72">
        <v>0</v>
      </c>
      <c r="DU68" s="72">
        <v>0</v>
      </c>
      <c r="DV68" s="72">
        <v>0</v>
      </c>
      <c r="DW68" s="72">
        <v>0</v>
      </c>
      <c r="DX68" s="72">
        <v>0</v>
      </c>
      <c r="DY68" s="72">
        <v>0</v>
      </c>
      <c r="DZ68" s="72">
        <v>0</v>
      </c>
      <c r="EA68" s="72">
        <v>0</v>
      </c>
      <c r="EB68" s="72">
        <v>0</v>
      </c>
      <c r="EC68" s="72">
        <v>0</v>
      </c>
      <c r="ED68" s="72">
        <v>0</v>
      </c>
      <c r="EE68" s="72">
        <v>0</v>
      </c>
      <c r="EF68" s="72">
        <v>0</v>
      </c>
      <c r="EG68" s="72">
        <v>0</v>
      </c>
      <c r="EH68" s="72">
        <v>0</v>
      </c>
      <c r="EI68" s="72">
        <v>0</v>
      </c>
      <c r="EJ68" s="72">
        <v>0</v>
      </c>
      <c r="EK68" s="72">
        <v>0</v>
      </c>
      <c r="EL68" s="72">
        <v>0</v>
      </c>
      <c r="EM68" s="72">
        <v>0</v>
      </c>
      <c r="EN68" s="72">
        <v>0</v>
      </c>
      <c r="EO68" s="72">
        <v>0</v>
      </c>
      <c r="EP68" s="72">
        <v>0</v>
      </c>
      <c r="EQ68" s="72">
        <v>0</v>
      </c>
      <c r="ER68" s="72">
        <v>0</v>
      </c>
      <c r="ES68" s="72">
        <v>0</v>
      </c>
      <c r="ET68" s="72">
        <v>0</v>
      </c>
      <c r="EU68" s="72">
        <v>0</v>
      </c>
      <c r="EV68" s="72">
        <v>0</v>
      </c>
      <c r="EW68" s="72">
        <v>0</v>
      </c>
      <c r="EX68" s="72">
        <v>0</v>
      </c>
      <c r="EY68" s="72">
        <v>0</v>
      </c>
      <c r="EZ68" s="72">
        <v>0</v>
      </c>
      <c r="FA68" s="72">
        <v>0</v>
      </c>
      <c r="FB68" s="72">
        <v>0</v>
      </c>
      <c r="FC68" s="72">
        <v>0</v>
      </c>
      <c r="FD68" s="72">
        <v>0</v>
      </c>
      <c r="FE68" s="72">
        <v>0</v>
      </c>
      <c r="FF68" s="72">
        <v>0</v>
      </c>
      <c r="FG68" s="72">
        <v>0</v>
      </c>
      <c r="FH68" s="72">
        <v>0</v>
      </c>
      <c r="FI68" s="72">
        <v>0</v>
      </c>
      <c r="FJ68" s="72">
        <v>0</v>
      </c>
      <c r="FK68" s="72">
        <v>0</v>
      </c>
      <c r="FL68" s="72">
        <v>0</v>
      </c>
      <c r="FM68" s="72">
        <v>0</v>
      </c>
      <c r="FN68" s="72">
        <v>0</v>
      </c>
      <c r="FO68" s="72">
        <v>0</v>
      </c>
      <c r="FP68" s="72">
        <v>0</v>
      </c>
      <c r="FQ68" s="72">
        <v>0</v>
      </c>
      <c r="FR68" s="72">
        <v>0</v>
      </c>
      <c r="FS68" s="72">
        <v>0</v>
      </c>
      <c r="FT68" s="72">
        <v>0</v>
      </c>
      <c r="FU68" s="72">
        <v>0</v>
      </c>
      <c r="FV68" s="74">
        <v>489.18574941516243</v>
      </c>
      <c r="FW68" s="74">
        <v>923.25393251927073</v>
      </c>
      <c r="FX68" s="74">
        <v>974.50060212906237</v>
      </c>
      <c r="FY68" s="74">
        <v>895.793934798289</v>
      </c>
      <c r="FZ68" s="74">
        <v>779.80655270535237</v>
      </c>
      <c r="GA68" s="74">
        <v>497.13522748645278</v>
      </c>
      <c r="GB68" s="74">
        <v>572.90061229211858</v>
      </c>
      <c r="GC68" s="74">
        <v>1179.5833628453959</v>
      </c>
      <c r="GD68" s="74">
        <v>2194.2932067604493</v>
      </c>
      <c r="GE68" s="74">
        <v>1720.7190464528567</v>
      </c>
      <c r="GF68" s="74">
        <v>764.54130779380273</v>
      </c>
      <c r="GG68" s="74">
        <v>1981.7980669053029</v>
      </c>
      <c r="GH68" s="74">
        <v>1179.3297675103395</v>
      </c>
      <c r="GI68" s="74">
        <v>3704.8462228178919</v>
      </c>
      <c r="GJ68" s="72">
        <v>0</v>
      </c>
      <c r="GK68" s="72">
        <v>0</v>
      </c>
      <c r="GL68" s="72">
        <v>0</v>
      </c>
      <c r="GM68" s="72">
        <v>0</v>
      </c>
      <c r="GN68" s="72">
        <v>0</v>
      </c>
      <c r="GO68" s="72">
        <v>6532.8842183773922</v>
      </c>
      <c r="GP68" s="72">
        <v>-1.600184043699592</v>
      </c>
      <c r="GQ68" s="72">
        <v>6243.514803430161</v>
      </c>
      <c r="GR68" s="72">
        <f t="shared" si="0"/>
        <v>101213.14711078834</v>
      </c>
      <c r="GS68" s="72">
        <f>SUM(BM$5:BM$202)</f>
        <v>101213.14711078833</v>
      </c>
      <c r="GT68" s="73">
        <v>0</v>
      </c>
    </row>
    <row r="69" spans="1:202" x14ac:dyDescent="0.2">
      <c r="A69" s="66" t="s">
        <v>648</v>
      </c>
      <c r="B69" s="72">
        <v>0</v>
      </c>
      <c r="C69" s="72">
        <v>2922.7739217342482</v>
      </c>
      <c r="D69" s="72">
        <v>0</v>
      </c>
      <c r="E69" s="72">
        <v>0</v>
      </c>
      <c r="F69" s="72">
        <v>0</v>
      </c>
      <c r="G69" s="72">
        <v>0</v>
      </c>
      <c r="H69" s="72">
        <v>0</v>
      </c>
      <c r="I69" s="72">
        <v>0</v>
      </c>
      <c r="J69" s="72">
        <v>0</v>
      </c>
      <c r="K69" s="72">
        <v>11.33316802579556</v>
      </c>
      <c r="L69" s="72">
        <v>4.0778564088369675</v>
      </c>
      <c r="M69" s="72">
        <v>0</v>
      </c>
      <c r="N69" s="72">
        <v>0</v>
      </c>
      <c r="O69" s="72">
        <v>9189.5485120640096</v>
      </c>
      <c r="P69" s="72">
        <v>1.0957794551153126</v>
      </c>
      <c r="Q69" s="72">
        <v>0</v>
      </c>
      <c r="R69" s="72">
        <v>54.496431698636407</v>
      </c>
      <c r="S69" s="72">
        <v>345.87298536101014</v>
      </c>
      <c r="T69" s="72">
        <v>247.49375809803763</v>
      </c>
      <c r="U69" s="72">
        <v>1642.0921716873518</v>
      </c>
      <c r="V69" s="72">
        <v>238.06044959369532</v>
      </c>
      <c r="W69" s="72">
        <v>0</v>
      </c>
      <c r="X69" s="72">
        <v>0</v>
      </c>
      <c r="Y69" s="72">
        <v>113.35735930976301</v>
      </c>
      <c r="Z69" s="72">
        <v>0.67844380989002318</v>
      </c>
      <c r="AA69" s="72">
        <v>0.14120143465738624</v>
      </c>
      <c r="AB69" s="72">
        <v>2.6889188892205413</v>
      </c>
      <c r="AC69" s="72">
        <v>0</v>
      </c>
      <c r="AD69" s="72">
        <v>199.04437169489145</v>
      </c>
      <c r="AE69" s="72">
        <v>58.287945700706622</v>
      </c>
      <c r="AF69" s="72">
        <v>0</v>
      </c>
      <c r="AG69" s="72">
        <v>368.79672139979129</v>
      </c>
      <c r="AH69" s="72">
        <v>39.88120214685199</v>
      </c>
      <c r="AI69" s="72">
        <v>1.0349793918985959</v>
      </c>
      <c r="AJ69" s="72">
        <v>1.1787577370844227</v>
      </c>
      <c r="AK69" s="72">
        <v>0</v>
      </c>
      <c r="AL69" s="72">
        <v>0</v>
      </c>
      <c r="AM69" s="72">
        <v>0</v>
      </c>
      <c r="AN69" s="72">
        <v>0</v>
      </c>
      <c r="AO69" s="72">
        <v>0</v>
      </c>
      <c r="AP69" s="72">
        <v>0</v>
      </c>
      <c r="AQ69" s="72">
        <v>0</v>
      </c>
      <c r="AR69" s="72">
        <v>0</v>
      </c>
      <c r="AS69" s="72">
        <v>0</v>
      </c>
      <c r="AT69" s="72">
        <v>0</v>
      </c>
      <c r="AU69" s="72">
        <v>0</v>
      </c>
      <c r="AV69" s="72">
        <v>0</v>
      </c>
      <c r="AW69" s="72">
        <v>0</v>
      </c>
      <c r="AX69" s="72">
        <v>0</v>
      </c>
      <c r="AY69" s="72">
        <v>0</v>
      </c>
      <c r="AZ69" s="72">
        <v>0</v>
      </c>
      <c r="BA69" s="72">
        <v>0</v>
      </c>
      <c r="BB69" s="72">
        <v>0</v>
      </c>
      <c r="BC69" s="72">
        <v>11.427027663443308</v>
      </c>
      <c r="BD69" s="72">
        <v>0.15268139186792246</v>
      </c>
      <c r="BE69" s="72">
        <v>65.079032129769274</v>
      </c>
      <c r="BF69" s="72">
        <v>0</v>
      </c>
      <c r="BG69" s="72">
        <v>0</v>
      </c>
      <c r="BH69" s="72">
        <v>0</v>
      </c>
      <c r="BI69" s="72">
        <v>0</v>
      </c>
      <c r="BJ69" s="72">
        <v>486.00211194170322</v>
      </c>
      <c r="BK69" s="72">
        <v>0</v>
      </c>
      <c r="BL69" s="72">
        <v>0</v>
      </c>
      <c r="BM69" s="72">
        <v>0</v>
      </c>
      <c r="BN69" s="72">
        <v>0</v>
      </c>
      <c r="BO69" s="72">
        <v>0</v>
      </c>
      <c r="BP69" s="72">
        <v>0</v>
      </c>
      <c r="BQ69" s="72">
        <v>0</v>
      </c>
      <c r="BR69" s="72">
        <v>0</v>
      </c>
      <c r="BS69" s="72">
        <v>0</v>
      </c>
      <c r="BT69" s="72">
        <v>0</v>
      </c>
      <c r="BU69" s="72">
        <v>0</v>
      </c>
      <c r="BV69" s="72">
        <v>0</v>
      </c>
      <c r="BW69" s="72">
        <v>0</v>
      </c>
      <c r="BX69" s="72">
        <v>0</v>
      </c>
      <c r="BY69" s="72">
        <v>0</v>
      </c>
      <c r="BZ69" s="72">
        <v>0</v>
      </c>
      <c r="CA69" s="72">
        <v>0</v>
      </c>
      <c r="CB69" s="72">
        <v>0</v>
      </c>
      <c r="CC69" s="72">
        <v>0</v>
      </c>
      <c r="CD69" s="72">
        <v>0</v>
      </c>
      <c r="CE69" s="72">
        <v>0</v>
      </c>
      <c r="CF69" s="72">
        <v>0</v>
      </c>
      <c r="CG69" s="72">
        <v>0</v>
      </c>
      <c r="CH69" s="72">
        <v>0</v>
      </c>
      <c r="CI69" s="72">
        <v>0</v>
      </c>
      <c r="CJ69" s="72">
        <v>0</v>
      </c>
      <c r="CK69" s="72">
        <v>0</v>
      </c>
      <c r="CL69" s="72">
        <v>0</v>
      </c>
      <c r="CM69" s="72">
        <v>0</v>
      </c>
      <c r="CN69" s="72">
        <v>0</v>
      </c>
      <c r="CO69" s="72">
        <v>0</v>
      </c>
      <c r="CP69" s="72">
        <v>0</v>
      </c>
      <c r="CQ69" s="72">
        <v>0</v>
      </c>
      <c r="CR69" s="72">
        <v>0</v>
      </c>
      <c r="CS69" s="72">
        <v>0</v>
      </c>
      <c r="CT69" s="72">
        <v>0</v>
      </c>
      <c r="CU69" s="72">
        <v>0</v>
      </c>
      <c r="CV69" s="72">
        <v>0</v>
      </c>
      <c r="CW69" s="72">
        <v>0</v>
      </c>
      <c r="CX69" s="72">
        <v>0</v>
      </c>
      <c r="CY69" s="72">
        <v>0</v>
      </c>
      <c r="CZ69" s="72">
        <v>0</v>
      </c>
      <c r="DA69" s="72">
        <v>0</v>
      </c>
      <c r="DB69" s="72">
        <v>0</v>
      </c>
      <c r="DC69" s="72">
        <v>0</v>
      </c>
      <c r="DD69" s="72">
        <v>0</v>
      </c>
      <c r="DE69" s="72">
        <v>0</v>
      </c>
      <c r="DF69" s="72">
        <v>0</v>
      </c>
      <c r="DG69" s="72">
        <v>0</v>
      </c>
      <c r="DH69" s="72">
        <v>0</v>
      </c>
      <c r="DI69" s="72">
        <v>0</v>
      </c>
      <c r="DJ69" s="72">
        <v>0</v>
      </c>
      <c r="DK69" s="72">
        <v>0</v>
      </c>
      <c r="DL69" s="72">
        <v>0</v>
      </c>
      <c r="DM69" s="72">
        <v>0</v>
      </c>
      <c r="DN69" s="72">
        <v>0</v>
      </c>
      <c r="DO69" s="72">
        <v>0</v>
      </c>
      <c r="DP69" s="72">
        <v>0</v>
      </c>
      <c r="DQ69" s="72">
        <v>0</v>
      </c>
      <c r="DR69" s="72">
        <v>0</v>
      </c>
      <c r="DS69" s="72">
        <v>0</v>
      </c>
      <c r="DT69" s="72">
        <v>0</v>
      </c>
      <c r="DU69" s="72">
        <v>0</v>
      </c>
      <c r="DV69" s="72">
        <v>0</v>
      </c>
      <c r="DW69" s="72">
        <v>0</v>
      </c>
      <c r="DX69" s="72">
        <v>0</v>
      </c>
      <c r="DY69" s="72">
        <v>0</v>
      </c>
      <c r="DZ69" s="72">
        <v>0</v>
      </c>
      <c r="EA69" s="72">
        <v>0</v>
      </c>
      <c r="EB69" s="72">
        <v>0</v>
      </c>
      <c r="EC69" s="72">
        <v>0</v>
      </c>
      <c r="ED69" s="72">
        <v>0</v>
      </c>
      <c r="EE69" s="72">
        <v>0</v>
      </c>
      <c r="EF69" s="72">
        <v>0</v>
      </c>
      <c r="EG69" s="72">
        <v>0</v>
      </c>
      <c r="EH69" s="72">
        <v>0</v>
      </c>
      <c r="EI69" s="72">
        <v>0</v>
      </c>
      <c r="EJ69" s="72">
        <v>0</v>
      </c>
      <c r="EK69" s="72">
        <v>0</v>
      </c>
      <c r="EL69" s="72">
        <v>0</v>
      </c>
      <c r="EM69" s="72">
        <v>0</v>
      </c>
      <c r="EN69" s="72">
        <v>0</v>
      </c>
      <c r="EO69" s="72">
        <v>0</v>
      </c>
      <c r="EP69" s="72">
        <v>0</v>
      </c>
      <c r="EQ69" s="72">
        <v>0</v>
      </c>
      <c r="ER69" s="72">
        <v>0</v>
      </c>
      <c r="ES69" s="72">
        <v>0</v>
      </c>
      <c r="ET69" s="72">
        <v>0</v>
      </c>
      <c r="EU69" s="72">
        <v>0</v>
      </c>
      <c r="EV69" s="72">
        <v>0</v>
      </c>
      <c r="EW69" s="72">
        <v>0</v>
      </c>
      <c r="EX69" s="72">
        <v>0</v>
      </c>
      <c r="EY69" s="72">
        <v>0</v>
      </c>
      <c r="EZ69" s="72">
        <v>0</v>
      </c>
      <c r="FA69" s="72">
        <v>0</v>
      </c>
      <c r="FB69" s="72">
        <v>0</v>
      </c>
      <c r="FC69" s="72">
        <v>0</v>
      </c>
      <c r="FD69" s="72">
        <v>0</v>
      </c>
      <c r="FE69" s="72">
        <v>0</v>
      </c>
      <c r="FF69" s="72">
        <v>0</v>
      </c>
      <c r="FG69" s="72">
        <v>0</v>
      </c>
      <c r="FH69" s="72">
        <v>0</v>
      </c>
      <c r="FI69" s="72">
        <v>0</v>
      </c>
      <c r="FJ69" s="72">
        <v>0</v>
      </c>
      <c r="FK69" s="72">
        <v>0</v>
      </c>
      <c r="FL69" s="72">
        <v>0</v>
      </c>
      <c r="FM69" s="72">
        <v>0</v>
      </c>
      <c r="FN69" s="72">
        <v>0</v>
      </c>
      <c r="FO69" s="72">
        <v>0</v>
      </c>
      <c r="FP69" s="72">
        <v>0</v>
      </c>
      <c r="FQ69" s="72">
        <v>0</v>
      </c>
      <c r="FR69" s="72">
        <v>0</v>
      </c>
      <c r="FS69" s="72">
        <v>0</v>
      </c>
      <c r="FT69" s="72">
        <v>0</v>
      </c>
      <c r="FU69" s="72">
        <v>0</v>
      </c>
      <c r="FV69" s="74">
        <v>414.0070061304084</v>
      </c>
      <c r="FW69" s="74">
        <v>734.52481297988629</v>
      </c>
      <c r="FX69" s="74">
        <v>934.41640822696786</v>
      </c>
      <c r="FY69" s="74">
        <v>409.07359462240566</v>
      </c>
      <c r="FZ69" s="74">
        <v>204.3684881125283</v>
      </c>
      <c r="GA69" s="74">
        <v>219.22228154720796</v>
      </c>
      <c r="GB69" s="74">
        <v>132.10972599456321</v>
      </c>
      <c r="GC69" s="74">
        <v>73.500234458949834</v>
      </c>
      <c r="GD69" s="74">
        <v>325.51632105679022</v>
      </c>
      <c r="GE69" s="74">
        <v>16.864111400668662</v>
      </c>
      <c r="GF69" s="74">
        <v>83.660127218500193</v>
      </c>
      <c r="GG69" s="74">
        <v>126.35925849987943</v>
      </c>
      <c r="GH69" s="74">
        <v>175.06707654610682</v>
      </c>
      <c r="GI69" s="74">
        <v>49.858445593434823</v>
      </c>
      <c r="GJ69" s="72">
        <v>0</v>
      </c>
      <c r="GK69" s="72">
        <v>0</v>
      </c>
      <c r="GL69" s="72">
        <v>0</v>
      </c>
      <c r="GM69" s="72">
        <v>0</v>
      </c>
      <c r="GN69" s="72">
        <v>0</v>
      </c>
      <c r="GO69" s="72">
        <v>0</v>
      </c>
      <c r="GP69" s="72">
        <v>294.73841896666806</v>
      </c>
      <c r="GQ69" s="72">
        <v>923.64493682071384</v>
      </c>
      <c r="GR69" s="72">
        <f t="shared" ref="GR69:GR132" si="1">SUM(B69:GQ69)</f>
        <v>21121.527036943957</v>
      </c>
      <c r="GS69" s="72">
        <f>SUM(BN$5:BN$202)</f>
        <v>21121.527036943953</v>
      </c>
      <c r="GT69" s="73">
        <v>0</v>
      </c>
    </row>
    <row r="70" spans="1:202" outlineLevel="1" x14ac:dyDescent="0.2">
      <c r="A70" s="66" t="s">
        <v>655</v>
      </c>
      <c r="B70" s="72">
        <v>0</v>
      </c>
      <c r="C70" s="72">
        <v>0</v>
      </c>
      <c r="D70" s="72">
        <v>5033.666798825383</v>
      </c>
      <c r="E70" s="72">
        <v>0</v>
      </c>
      <c r="F70" s="72">
        <v>0</v>
      </c>
      <c r="G70" s="72">
        <v>0</v>
      </c>
      <c r="H70" s="72">
        <v>0</v>
      </c>
      <c r="I70" s="72">
        <v>1169.9861844842565</v>
      </c>
      <c r="J70" s="72">
        <v>0</v>
      </c>
      <c r="K70" s="72">
        <v>0</v>
      </c>
      <c r="L70" s="72">
        <v>0</v>
      </c>
      <c r="M70" s="72">
        <v>0</v>
      </c>
      <c r="N70" s="72">
        <v>0</v>
      </c>
      <c r="O70" s="72">
        <v>0</v>
      </c>
      <c r="P70" s="72">
        <v>0</v>
      </c>
      <c r="Q70" s="72">
        <v>0</v>
      </c>
      <c r="R70" s="72">
        <v>0</v>
      </c>
      <c r="S70" s="72">
        <v>0</v>
      </c>
      <c r="T70" s="72">
        <v>0</v>
      </c>
      <c r="U70" s="72">
        <v>0</v>
      </c>
      <c r="V70" s="72">
        <v>0</v>
      </c>
      <c r="W70" s="72">
        <v>0</v>
      </c>
      <c r="X70" s="72">
        <v>0</v>
      </c>
      <c r="Y70" s="72">
        <v>0</v>
      </c>
      <c r="Z70" s="72">
        <v>0</v>
      </c>
      <c r="AA70" s="72">
        <v>0</v>
      </c>
      <c r="AB70" s="72">
        <v>0</v>
      </c>
      <c r="AC70" s="72">
        <v>0</v>
      </c>
      <c r="AD70" s="72">
        <v>0</v>
      </c>
      <c r="AE70" s="72">
        <v>0</v>
      </c>
      <c r="AF70" s="72">
        <v>0</v>
      </c>
      <c r="AG70" s="72">
        <v>0</v>
      </c>
      <c r="AH70" s="72">
        <v>34.293525111359145</v>
      </c>
      <c r="AI70" s="72">
        <v>0</v>
      </c>
      <c r="AJ70" s="72">
        <v>0</v>
      </c>
      <c r="AK70" s="72">
        <v>0</v>
      </c>
      <c r="AL70" s="72">
        <v>0</v>
      </c>
      <c r="AM70" s="72">
        <v>0</v>
      </c>
      <c r="AN70" s="72">
        <v>0</v>
      </c>
      <c r="AO70" s="72">
        <v>0</v>
      </c>
      <c r="AP70" s="72">
        <v>0</v>
      </c>
      <c r="AQ70" s="72">
        <v>0</v>
      </c>
      <c r="AR70" s="72">
        <v>0</v>
      </c>
      <c r="AS70" s="72">
        <v>0</v>
      </c>
      <c r="AT70" s="72">
        <v>0</v>
      </c>
      <c r="AU70" s="72">
        <v>0</v>
      </c>
      <c r="AV70" s="72">
        <v>0</v>
      </c>
      <c r="AW70" s="72">
        <v>0</v>
      </c>
      <c r="AX70" s="72">
        <v>0</v>
      </c>
      <c r="AY70" s="72">
        <v>0</v>
      </c>
      <c r="AZ70" s="72">
        <v>0</v>
      </c>
      <c r="BA70" s="72">
        <v>0</v>
      </c>
      <c r="BB70" s="72">
        <v>0</v>
      </c>
      <c r="BC70" s="72">
        <v>0</v>
      </c>
      <c r="BD70" s="72">
        <v>0</v>
      </c>
      <c r="BE70" s="72">
        <v>0</v>
      </c>
      <c r="BF70" s="72">
        <v>0</v>
      </c>
      <c r="BG70" s="72">
        <v>0</v>
      </c>
      <c r="BH70" s="72">
        <v>0</v>
      </c>
      <c r="BI70" s="72">
        <v>0</v>
      </c>
      <c r="BJ70" s="72">
        <v>233.26971896939781</v>
      </c>
      <c r="BK70" s="72">
        <v>0</v>
      </c>
      <c r="BL70" s="72">
        <v>0</v>
      </c>
      <c r="BM70" s="72">
        <v>0</v>
      </c>
      <c r="BN70" s="72">
        <v>0</v>
      </c>
      <c r="BO70" s="72">
        <v>0</v>
      </c>
      <c r="BP70" s="72">
        <v>0</v>
      </c>
      <c r="BQ70" s="72">
        <v>0</v>
      </c>
      <c r="BR70" s="72">
        <v>0</v>
      </c>
      <c r="BS70" s="72">
        <v>0</v>
      </c>
      <c r="BT70" s="72">
        <v>0</v>
      </c>
      <c r="BU70" s="72">
        <v>0</v>
      </c>
      <c r="BV70" s="72">
        <v>0</v>
      </c>
      <c r="BW70" s="72">
        <v>0</v>
      </c>
      <c r="BX70" s="72">
        <v>0</v>
      </c>
      <c r="BY70" s="72">
        <v>0</v>
      </c>
      <c r="BZ70" s="72">
        <v>0</v>
      </c>
      <c r="CA70" s="72">
        <v>0</v>
      </c>
      <c r="CB70" s="72">
        <v>0</v>
      </c>
      <c r="CC70" s="72">
        <v>0</v>
      </c>
      <c r="CD70" s="72">
        <v>0</v>
      </c>
      <c r="CE70" s="72">
        <v>0</v>
      </c>
      <c r="CF70" s="72">
        <v>0</v>
      </c>
      <c r="CG70" s="72">
        <v>0</v>
      </c>
      <c r="CH70" s="72">
        <v>0</v>
      </c>
      <c r="CI70" s="72">
        <v>0</v>
      </c>
      <c r="CJ70" s="72">
        <v>0</v>
      </c>
      <c r="CK70" s="72">
        <v>0</v>
      </c>
      <c r="CL70" s="72">
        <v>0</v>
      </c>
      <c r="CM70" s="72">
        <v>0</v>
      </c>
      <c r="CN70" s="72">
        <v>0</v>
      </c>
      <c r="CO70" s="72">
        <v>0</v>
      </c>
      <c r="CP70" s="72">
        <v>0</v>
      </c>
      <c r="CQ70" s="72">
        <v>0</v>
      </c>
      <c r="CR70" s="72">
        <v>0</v>
      </c>
      <c r="CS70" s="72">
        <v>0</v>
      </c>
      <c r="CT70" s="72">
        <v>0</v>
      </c>
      <c r="CU70" s="72">
        <v>0</v>
      </c>
      <c r="CV70" s="72">
        <v>0</v>
      </c>
      <c r="CW70" s="72">
        <v>0</v>
      </c>
      <c r="CX70" s="72">
        <v>0</v>
      </c>
      <c r="CY70" s="72">
        <v>0</v>
      </c>
      <c r="CZ70" s="72">
        <v>0</v>
      </c>
      <c r="DA70" s="72">
        <v>0</v>
      </c>
      <c r="DB70" s="72">
        <v>0</v>
      </c>
      <c r="DC70" s="72">
        <v>0</v>
      </c>
      <c r="DD70" s="72">
        <v>0</v>
      </c>
      <c r="DE70" s="72">
        <v>0</v>
      </c>
      <c r="DF70" s="72">
        <v>0</v>
      </c>
      <c r="DG70" s="72">
        <v>0</v>
      </c>
      <c r="DH70" s="72">
        <v>0</v>
      </c>
      <c r="DI70" s="72">
        <v>0</v>
      </c>
      <c r="DJ70" s="72">
        <v>0</v>
      </c>
      <c r="DK70" s="72">
        <v>0</v>
      </c>
      <c r="DL70" s="72">
        <v>0</v>
      </c>
      <c r="DM70" s="72">
        <v>0</v>
      </c>
      <c r="DN70" s="72">
        <v>0</v>
      </c>
      <c r="DO70" s="72">
        <v>0</v>
      </c>
      <c r="DP70" s="72">
        <v>0</v>
      </c>
      <c r="DQ70" s="72">
        <v>0</v>
      </c>
      <c r="DR70" s="72">
        <v>0</v>
      </c>
      <c r="DS70" s="72">
        <v>0</v>
      </c>
      <c r="DT70" s="72">
        <v>0</v>
      </c>
      <c r="DU70" s="72">
        <v>0</v>
      </c>
      <c r="DV70" s="72">
        <v>0</v>
      </c>
      <c r="DW70" s="72">
        <v>0</v>
      </c>
      <c r="DX70" s="72">
        <v>0</v>
      </c>
      <c r="DY70" s="72">
        <v>0</v>
      </c>
      <c r="DZ70" s="72">
        <v>0</v>
      </c>
      <c r="EA70" s="72">
        <v>0</v>
      </c>
      <c r="EB70" s="72">
        <v>0</v>
      </c>
      <c r="EC70" s="72">
        <v>0</v>
      </c>
      <c r="ED70" s="72">
        <v>0</v>
      </c>
      <c r="EE70" s="72">
        <v>0</v>
      </c>
      <c r="EF70" s="72">
        <v>0</v>
      </c>
      <c r="EG70" s="72">
        <v>0</v>
      </c>
      <c r="EH70" s="72">
        <v>0</v>
      </c>
      <c r="EI70" s="72">
        <v>0</v>
      </c>
      <c r="EJ70" s="72">
        <v>0</v>
      </c>
      <c r="EK70" s="72">
        <v>0</v>
      </c>
      <c r="EL70" s="72">
        <v>0</v>
      </c>
      <c r="EM70" s="72">
        <v>0</v>
      </c>
      <c r="EN70" s="72">
        <v>0</v>
      </c>
      <c r="EO70" s="72">
        <v>0</v>
      </c>
      <c r="EP70" s="72">
        <v>0</v>
      </c>
      <c r="EQ70" s="72">
        <v>0</v>
      </c>
      <c r="ER70" s="72">
        <v>0</v>
      </c>
      <c r="ES70" s="72">
        <v>0</v>
      </c>
      <c r="ET70" s="72">
        <v>0</v>
      </c>
      <c r="EU70" s="72">
        <v>0</v>
      </c>
      <c r="EV70" s="72">
        <v>0</v>
      </c>
      <c r="EW70" s="72">
        <v>0</v>
      </c>
      <c r="EX70" s="72">
        <v>0</v>
      </c>
      <c r="EY70" s="72">
        <v>0</v>
      </c>
      <c r="EZ70" s="72">
        <v>0</v>
      </c>
      <c r="FA70" s="72">
        <v>0</v>
      </c>
      <c r="FB70" s="72">
        <v>0</v>
      </c>
      <c r="FC70" s="72">
        <v>0</v>
      </c>
      <c r="FD70" s="72">
        <v>0</v>
      </c>
      <c r="FE70" s="72">
        <v>0</v>
      </c>
      <c r="FF70" s="72">
        <v>0</v>
      </c>
      <c r="FG70" s="72">
        <v>0</v>
      </c>
      <c r="FH70" s="72">
        <v>0</v>
      </c>
      <c r="FI70" s="72">
        <v>0</v>
      </c>
      <c r="FJ70" s="72">
        <v>0</v>
      </c>
      <c r="FK70" s="72">
        <v>0</v>
      </c>
      <c r="FL70" s="72">
        <v>0</v>
      </c>
      <c r="FM70" s="72">
        <v>0</v>
      </c>
      <c r="FN70" s="72">
        <v>0</v>
      </c>
      <c r="FO70" s="72">
        <v>0</v>
      </c>
      <c r="FP70" s="72">
        <v>0</v>
      </c>
      <c r="FQ70" s="72">
        <v>0</v>
      </c>
      <c r="FR70" s="72">
        <v>0</v>
      </c>
      <c r="FS70" s="72">
        <v>0</v>
      </c>
      <c r="FT70" s="72">
        <v>0</v>
      </c>
      <c r="FU70" s="72">
        <v>0</v>
      </c>
      <c r="FV70" s="74">
        <v>103.36916317694556</v>
      </c>
      <c r="FW70" s="74">
        <v>195.09150975562559</v>
      </c>
      <c r="FX70" s="74">
        <v>205.9203725332161</v>
      </c>
      <c r="FY70" s="74">
        <v>189.28897566984682</v>
      </c>
      <c r="FZ70" s="74">
        <v>164.77984260461474</v>
      </c>
      <c r="GA70" s="74">
        <v>105.04895637800502</v>
      </c>
      <c r="GB70" s="74">
        <v>121.05883490472849</v>
      </c>
      <c r="GC70" s="74">
        <v>249.25612665649044</v>
      </c>
      <c r="GD70" s="74">
        <v>463.67305838090635</v>
      </c>
      <c r="GE70" s="74">
        <v>363.60275847592055</v>
      </c>
      <c r="GF70" s="74">
        <v>161.55416484502237</v>
      </c>
      <c r="GG70" s="74">
        <v>418.7710046881017</v>
      </c>
      <c r="GH70" s="74">
        <v>249.20253977747421</v>
      </c>
      <c r="GI70" s="74">
        <v>782.86592405809552</v>
      </c>
      <c r="GJ70" s="72">
        <v>0</v>
      </c>
      <c r="GK70" s="72">
        <v>0</v>
      </c>
      <c r="GL70" s="72">
        <v>0</v>
      </c>
      <c r="GM70" s="72">
        <v>0</v>
      </c>
      <c r="GN70" s="72">
        <v>0</v>
      </c>
      <c r="GO70" s="72">
        <v>0</v>
      </c>
      <c r="GP70" s="72">
        <v>441.508169069004</v>
      </c>
      <c r="GQ70" s="72">
        <v>258.77041649914906</v>
      </c>
      <c r="GR70" s="72">
        <f t="shared" si="1"/>
        <v>10944.978044863541</v>
      </c>
      <c r="GS70" s="72">
        <f>SUM(BO$5:BO$202)</f>
        <v>10944.978044863545</v>
      </c>
      <c r="GT70" s="73">
        <v>0</v>
      </c>
    </row>
    <row r="71" spans="1:202" outlineLevel="1" x14ac:dyDescent="0.2">
      <c r="A71" s="66" t="s">
        <v>662</v>
      </c>
      <c r="B71" s="72">
        <v>0</v>
      </c>
      <c r="C71" s="72">
        <v>0</v>
      </c>
      <c r="D71" s="72">
        <v>46.511294970834065</v>
      </c>
      <c r="E71" s="72">
        <v>0</v>
      </c>
      <c r="F71" s="72">
        <v>0</v>
      </c>
      <c r="G71" s="72">
        <v>0</v>
      </c>
      <c r="H71" s="72">
        <v>0</v>
      </c>
      <c r="I71" s="72">
        <v>855.9289947189568</v>
      </c>
      <c r="J71" s="72">
        <v>20.245867877102153</v>
      </c>
      <c r="K71" s="72">
        <v>119.41653078994005</v>
      </c>
      <c r="L71" s="72">
        <v>2.2844095363312227</v>
      </c>
      <c r="M71" s="72">
        <v>6.9453614468461451</v>
      </c>
      <c r="N71" s="72">
        <v>0</v>
      </c>
      <c r="O71" s="72">
        <v>556.3761283347485</v>
      </c>
      <c r="P71" s="72">
        <v>1889.3003023178185</v>
      </c>
      <c r="Q71" s="72">
        <v>8.5593076717281757</v>
      </c>
      <c r="R71" s="72">
        <v>24678.219774757261</v>
      </c>
      <c r="S71" s="72">
        <v>170.46753233348161</v>
      </c>
      <c r="T71" s="72">
        <v>86.468626059152967</v>
      </c>
      <c r="U71" s="72">
        <v>57.018059594715922</v>
      </c>
      <c r="V71" s="72">
        <v>12.895385229409962</v>
      </c>
      <c r="W71" s="72">
        <v>0</v>
      </c>
      <c r="X71" s="72">
        <v>531.47191017083151</v>
      </c>
      <c r="Y71" s="72">
        <v>1363.848257639044</v>
      </c>
      <c r="Z71" s="72">
        <v>7.1043814555129661</v>
      </c>
      <c r="AA71" s="72">
        <v>23.250502555310408</v>
      </c>
      <c r="AB71" s="72">
        <v>1024.0689360345314</v>
      </c>
      <c r="AC71" s="72">
        <v>0</v>
      </c>
      <c r="AD71" s="72">
        <v>0</v>
      </c>
      <c r="AE71" s="72">
        <v>0</v>
      </c>
      <c r="AF71" s="72">
        <v>0</v>
      </c>
      <c r="AG71" s="72">
        <v>0</v>
      </c>
      <c r="AH71" s="72">
        <v>6.0515831061945669</v>
      </c>
      <c r="AI71" s="72">
        <v>43446.8458300286</v>
      </c>
      <c r="AJ71" s="72">
        <v>4.5074605024282155</v>
      </c>
      <c r="AK71" s="72">
        <v>0</v>
      </c>
      <c r="AL71" s="72">
        <v>0</v>
      </c>
      <c r="AM71" s="72">
        <v>0</v>
      </c>
      <c r="AN71" s="72">
        <v>0</v>
      </c>
      <c r="AO71" s="72">
        <v>0</v>
      </c>
      <c r="AP71" s="72">
        <v>128.35470505064521</v>
      </c>
      <c r="AQ71" s="72">
        <v>0</v>
      </c>
      <c r="AR71" s="72">
        <v>0</v>
      </c>
      <c r="AS71" s="72">
        <v>0</v>
      </c>
      <c r="AT71" s="72">
        <v>0</v>
      </c>
      <c r="AU71" s="72">
        <v>0</v>
      </c>
      <c r="AV71" s="72">
        <v>0</v>
      </c>
      <c r="AW71" s="72">
        <v>0</v>
      </c>
      <c r="AX71" s="72">
        <v>0</v>
      </c>
      <c r="AY71" s="72">
        <v>0</v>
      </c>
      <c r="AZ71" s="72">
        <v>0</v>
      </c>
      <c r="BA71" s="72">
        <v>0</v>
      </c>
      <c r="BB71" s="72">
        <v>0</v>
      </c>
      <c r="BC71" s="72">
        <v>63.323674120192202</v>
      </c>
      <c r="BD71" s="72">
        <v>0.59339746625321832</v>
      </c>
      <c r="BE71" s="72">
        <v>256.23342152092772</v>
      </c>
      <c r="BF71" s="72">
        <v>0</v>
      </c>
      <c r="BG71" s="72">
        <v>0</v>
      </c>
      <c r="BH71" s="72">
        <v>0</v>
      </c>
      <c r="BI71" s="72">
        <v>0</v>
      </c>
      <c r="BJ71" s="72">
        <v>67.4485317162776</v>
      </c>
      <c r="BK71" s="72">
        <v>0</v>
      </c>
      <c r="BL71" s="72">
        <v>0</v>
      </c>
      <c r="BM71" s="72">
        <v>0</v>
      </c>
      <c r="BN71" s="72">
        <v>0</v>
      </c>
      <c r="BO71" s="72">
        <v>0</v>
      </c>
      <c r="BP71" s="72">
        <v>0</v>
      </c>
      <c r="BQ71" s="72">
        <v>0</v>
      </c>
      <c r="BR71" s="72">
        <v>0</v>
      </c>
      <c r="BS71" s="72">
        <v>0</v>
      </c>
      <c r="BT71" s="72">
        <v>0</v>
      </c>
      <c r="BU71" s="72">
        <v>0</v>
      </c>
      <c r="BV71" s="72">
        <v>0</v>
      </c>
      <c r="BW71" s="72">
        <v>0</v>
      </c>
      <c r="BX71" s="72">
        <v>0</v>
      </c>
      <c r="BY71" s="72">
        <v>0</v>
      </c>
      <c r="BZ71" s="72">
        <v>0</v>
      </c>
      <c r="CA71" s="72">
        <v>0</v>
      </c>
      <c r="CB71" s="72">
        <v>0</v>
      </c>
      <c r="CC71" s="72">
        <v>0</v>
      </c>
      <c r="CD71" s="72">
        <v>0</v>
      </c>
      <c r="CE71" s="72">
        <v>0</v>
      </c>
      <c r="CF71" s="72">
        <v>0</v>
      </c>
      <c r="CG71" s="72">
        <v>0</v>
      </c>
      <c r="CH71" s="72">
        <v>0</v>
      </c>
      <c r="CI71" s="72">
        <v>0</v>
      </c>
      <c r="CJ71" s="72">
        <v>0</v>
      </c>
      <c r="CK71" s="72">
        <v>0</v>
      </c>
      <c r="CL71" s="72">
        <v>0</v>
      </c>
      <c r="CM71" s="72">
        <v>0</v>
      </c>
      <c r="CN71" s="72">
        <v>0</v>
      </c>
      <c r="CO71" s="72">
        <v>0</v>
      </c>
      <c r="CP71" s="72">
        <v>0</v>
      </c>
      <c r="CQ71" s="72">
        <v>0</v>
      </c>
      <c r="CR71" s="72">
        <v>0</v>
      </c>
      <c r="CS71" s="72">
        <v>0</v>
      </c>
      <c r="CT71" s="72">
        <v>0</v>
      </c>
      <c r="CU71" s="72">
        <v>0</v>
      </c>
      <c r="CV71" s="72">
        <v>0</v>
      </c>
      <c r="CW71" s="72">
        <v>0</v>
      </c>
      <c r="CX71" s="72">
        <v>0</v>
      </c>
      <c r="CY71" s="72">
        <v>0</v>
      </c>
      <c r="CZ71" s="72">
        <v>0</v>
      </c>
      <c r="DA71" s="72">
        <v>0</v>
      </c>
      <c r="DB71" s="72">
        <v>0</v>
      </c>
      <c r="DC71" s="72">
        <v>0</v>
      </c>
      <c r="DD71" s="72">
        <v>0</v>
      </c>
      <c r="DE71" s="72">
        <v>0</v>
      </c>
      <c r="DF71" s="72">
        <v>0</v>
      </c>
      <c r="DG71" s="72">
        <v>0</v>
      </c>
      <c r="DH71" s="72">
        <v>0</v>
      </c>
      <c r="DI71" s="72">
        <v>0</v>
      </c>
      <c r="DJ71" s="72">
        <v>0</v>
      </c>
      <c r="DK71" s="72">
        <v>0</v>
      </c>
      <c r="DL71" s="72">
        <v>0</v>
      </c>
      <c r="DM71" s="72">
        <v>0</v>
      </c>
      <c r="DN71" s="72">
        <v>0</v>
      </c>
      <c r="DO71" s="72">
        <v>0</v>
      </c>
      <c r="DP71" s="72">
        <v>0</v>
      </c>
      <c r="DQ71" s="72">
        <v>0</v>
      </c>
      <c r="DR71" s="72">
        <v>0</v>
      </c>
      <c r="DS71" s="72">
        <v>0</v>
      </c>
      <c r="DT71" s="72">
        <v>0</v>
      </c>
      <c r="DU71" s="72">
        <v>0</v>
      </c>
      <c r="DV71" s="72">
        <v>0</v>
      </c>
      <c r="DW71" s="72">
        <v>0</v>
      </c>
      <c r="DX71" s="72">
        <v>0</v>
      </c>
      <c r="DY71" s="72">
        <v>0</v>
      </c>
      <c r="DZ71" s="72">
        <v>0</v>
      </c>
      <c r="EA71" s="72">
        <v>0</v>
      </c>
      <c r="EB71" s="72">
        <v>0</v>
      </c>
      <c r="EC71" s="72">
        <v>0</v>
      </c>
      <c r="ED71" s="72">
        <v>0</v>
      </c>
      <c r="EE71" s="72">
        <v>0</v>
      </c>
      <c r="EF71" s="72">
        <v>0</v>
      </c>
      <c r="EG71" s="72">
        <v>0</v>
      </c>
      <c r="EH71" s="72">
        <v>0</v>
      </c>
      <c r="EI71" s="72">
        <v>0</v>
      </c>
      <c r="EJ71" s="72">
        <v>0</v>
      </c>
      <c r="EK71" s="72">
        <v>0</v>
      </c>
      <c r="EL71" s="72">
        <v>0</v>
      </c>
      <c r="EM71" s="72">
        <v>0</v>
      </c>
      <c r="EN71" s="72">
        <v>0</v>
      </c>
      <c r="EO71" s="72">
        <v>0</v>
      </c>
      <c r="EP71" s="72">
        <v>0</v>
      </c>
      <c r="EQ71" s="72">
        <v>0</v>
      </c>
      <c r="ER71" s="72">
        <v>0</v>
      </c>
      <c r="ES71" s="72">
        <v>0</v>
      </c>
      <c r="ET71" s="72">
        <v>0</v>
      </c>
      <c r="EU71" s="72">
        <v>0</v>
      </c>
      <c r="EV71" s="72">
        <v>0</v>
      </c>
      <c r="EW71" s="72">
        <v>0</v>
      </c>
      <c r="EX71" s="72">
        <v>0</v>
      </c>
      <c r="EY71" s="72">
        <v>0</v>
      </c>
      <c r="EZ71" s="72">
        <v>0</v>
      </c>
      <c r="FA71" s="72">
        <v>0</v>
      </c>
      <c r="FB71" s="72">
        <v>0</v>
      </c>
      <c r="FC71" s="72">
        <v>0</v>
      </c>
      <c r="FD71" s="72">
        <v>0</v>
      </c>
      <c r="FE71" s="72">
        <v>0</v>
      </c>
      <c r="FF71" s="72">
        <v>0</v>
      </c>
      <c r="FG71" s="72">
        <v>0</v>
      </c>
      <c r="FH71" s="72">
        <v>0</v>
      </c>
      <c r="FI71" s="72">
        <v>0</v>
      </c>
      <c r="FJ71" s="72">
        <v>0</v>
      </c>
      <c r="FK71" s="72">
        <v>0</v>
      </c>
      <c r="FL71" s="72">
        <v>0</v>
      </c>
      <c r="FM71" s="72">
        <v>0</v>
      </c>
      <c r="FN71" s="72">
        <v>0</v>
      </c>
      <c r="FO71" s="72">
        <v>0</v>
      </c>
      <c r="FP71" s="72">
        <v>0</v>
      </c>
      <c r="FQ71" s="72">
        <v>0</v>
      </c>
      <c r="FR71" s="72">
        <v>0</v>
      </c>
      <c r="FS71" s="72">
        <v>0</v>
      </c>
      <c r="FT71" s="72">
        <v>0</v>
      </c>
      <c r="FU71" s="72">
        <v>0</v>
      </c>
      <c r="FV71" s="74">
        <v>18.160397110849519</v>
      </c>
      <c r="FW71" s="74">
        <v>27.088322306535677</v>
      </c>
      <c r="FX71" s="74">
        <v>12.025189818642431</v>
      </c>
      <c r="FY71" s="74">
        <v>10.415410457917519</v>
      </c>
      <c r="FZ71" s="74">
        <v>35.320780219370789</v>
      </c>
      <c r="GA71" s="74">
        <v>14.415349105467673</v>
      </c>
      <c r="GB71" s="74">
        <v>11.525726645715292</v>
      </c>
      <c r="GC71" s="74">
        <v>4.3105601336786599</v>
      </c>
      <c r="GD71" s="74">
        <v>0.88399448827604676</v>
      </c>
      <c r="GE71" s="74">
        <v>0</v>
      </c>
      <c r="GF71" s="74">
        <v>0</v>
      </c>
      <c r="GG71" s="74">
        <v>0</v>
      </c>
      <c r="GH71" s="74">
        <v>1.0385534198671309</v>
      </c>
      <c r="GI71" s="74">
        <v>0</v>
      </c>
      <c r="GJ71" s="72">
        <v>0</v>
      </c>
      <c r="GK71" s="72">
        <v>0</v>
      </c>
      <c r="GL71" s="72">
        <v>0</v>
      </c>
      <c r="GM71" s="72">
        <v>0</v>
      </c>
      <c r="GN71" s="72">
        <v>0</v>
      </c>
      <c r="GO71" s="72">
        <v>0</v>
      </c>
      <c r="GP71" s="72">
        <v>7740.8668597920323</v>
      </c>
      <c r="GQ71" s="72">
        <v>67073.541053824214</v>
      </c>
      <c r="GR71" s="72">
        <f t="shared" si="1"/>
        <v>150383.33236432765</v>
      </c>
      <c r="GS71" s="72">
        <f>SUM(BP$5:BP$202)</f>
        <v>150383.33236432765</v>
      </c>
      <c r="GT71" s="73">
        <v>0</v>
      </c>
    </row>
    <row r="72" spans="1:202" outlineLevel="1" x14ac:dyDescent="0.2">
      <c r="A72" s="66" t="s">
        <v>1500</v>
      </c>
      <c r="B72" s="72">
        <v>0</v>
      </c>
      <c r="C72" s="72">
        <v>0</v>
      </c>
      <c r="D72" s="72">
        <v>0</v>
      </c>
      <c r="E72" s="72">
        <v>0</v>
      </c>
      <c r="F72" s="72">
        <v>0</v>
      </c>
      <c r="G72" s="72">
        <v>0</v>
      </c>
      <c r="H72" s="72">
        <v>0</v>
      </c>
      <c r="I72" s="72">
        <v>0</v>
      </c>
      <c r="J72" s="72">
        <v>0</v>
      </c>
      <c r="K72" s="72">
        <v>0</v>
      </c>
      <c r="L72" s="72">
        <v>0</v>
      </c>
      <c r="M72" s="72">
        <v>0</v>
      </c>
      <c r="N72" s="72">
        <v>0</v>
      </c>
      <c r="O72" s="72">
        <v>0</v>
      </c>
      <c r="P72" s="72">
        <v>0</v>
      </c>
      <c r="Q72" s="72">
        <v>0</v>
      </c>
      <c r="R72" s="72">
        <v>151424.64000918515</v>
      </c>
      <c r="S72" s="72">
        <v>6228.6723584690035</v>
      </c>
      <c r="T72" s="72">
        <v>884.50603087634317</v>
      </c>
      <c r="U72" s="72">
        <v>0</v>
      </c>
      <c r="V72" s="72">
        <v>0</v>
      </c>
      <c r="W72" s="72">
        <v>0</v>
      </c>
      <c r="X72" s="72">
        <v>0</v>
      </c>
      <c r="Y72" s="72">
        <v>0</v>
      </c>
      <c r="Z72" s="72">
        <v>0</v>
      </c>
      <c r="AA72" s="72">
        <v>0</v>
      </c>
      <c r="AB72" s="72">
        <v>0</v>
      </c>
      <c r="AC72" s="72">
        <v>0</v>
      </c>
      <c r="AD72" s="72">
        <v>0</v>
      </c>
      <c r="AE72" s="72">
        <v>0</v>
      </c>
      <c r="AF72" s="72">
        <v>0</v>
      </c>
      <c r="AG72" s="72">
        <v>0</v>
      </c>
      <c r="AH72" s="72">
        <v>0</v>
      </c>
      <c r="AI72" s="72">
        <v>0</v>
      </c>
      <c r="AJ72" s="72">
        <v>0</v>
      </c>
      <c r="AK72" s="72">
        <v>0</v>
      </c>
      <c r="AL72" s="72">
        <v>0</v>
      </c>
      <c r="AM72" s="72">
        <v>0</v>
      </c>
      <c r="AN72" s="72">
        <v>0</v>
      </c>
      <c r="AO72" s="72">
        <v>0</v>
      </c>
      <c r="AP72" s="72">
        <v>0</v>
      </c>
      <c r="AQ72" s="72">
        <v>0</v>
      </c>
      <c r="AR72" s="72">
        <v>0</v>
      </c>
      <c r="AS72" s="72">
        <v>0</v>
      </c>
      <c r="AT72" s="72">
        <v>48.008309177277212</v>
      </c>
      <c r="AU72" s="72">
        <v>0</v>
      </c>
      <c r="AV72" s="72">
        <v>0</v>
      </c>
      <c r="AW72" s="72">
        <v>0</v>
      </c>
      <c r="AX72" s="72">
        <v>0</v>
      </c>
      <c r="AY72" s="72">
        <v>0</v>
      </c>
      <c r="AZ72" s="72">
        <v>0</v>
      </c>
      <c r="BA72" s="72">
        <v>0</v>
      </c>
      <c r="BB72" s="72">
        <v>0</v>
      </c>
      <c r="BC72" s="72">
        <v>0</v>
      </c>
      <c r="BD72" s="72">
        <v>0</v>
      </c>
      <c r="BE72" s="72">
        <v>0</v>
      </c>
      <c r="BF72" s="72">
        <v>0</v>
      </c>
      <c r="BG72" s="72">
        <v>0</v>
      </c>
      <c r="BH72" s="72">
        <v>0</v>
      </c>
      <c r="BI72" s="72">
        <v>0</v>
      </c>
      <c r="BJ72" s="72">
        <v>0</v>
      </c>
      <c r="BK72" s="72">
        <v>0</v>
      </c>
      <c r="BL72" s="72">
        <v>0</v>
      </c>
      <c r="BM72" s="72">
        <v>0</v>
      </c>
      <c r="BN72" s="72">
        <v>0</v>
      </c>
      <c r="BO72" s="72">
        <v>0</v>
      </c>
      <c r="BP72" s="72">
        <v>0</v>
      </c>
      <c r="BQ72" s="72">
        <v>0</v>
      </c>
      <c r="BR72" s="72">
        <v>0</v>
      </c>
      <c r="BS72" s="72">
        <v>0</v>
      </c>
      <c r="BT72" s="72">
        <v>0</v>
      </c>
      <c r="BU72" s="72">
        <v>0</v>
      </c>
      <c r="BV72" s="72">
        <v>0</v>
      </c>
      <c r="BW72" s="72">
        <v>0</v>
      </c>
      <c r="BX72" s="72">
        <v>0</v>
      </c>
      <c r="BY72" s="72">
        <v>0</v>
      </c>
      <c r="BZ72" s="72">
        <v>0</v>
      </c>
      <c r="CA72" s="72">
        <v>0</v>
      </c>
      <c r="CB72" s="72">
        <v>0</v>
      </c>
      <c r="CC72" s="72">
        <v>0</v>
      </c>
      <c r="CD72" s="72">
        <v>0</v>
      </c>
      <c r="CE72" s="72">
        <v>0</v>
      </c>
      <c r="CF72" s="72">
        <v>0</v>
      </c>
      <c r="CG72" s="72">
        <v>0</v>
      </c>
      <c r="CH72" s="72">
        <v>0</v>
      </c>
      <c r="CI72" s="72">
        <v>0</v>
      </c>
      <c r="CJ72" s="72">
        <v>0</v>
      </c>
      <c r="CK72" s="72">
        <v>0</v>
      </c>
      <c r="CL72" s="72">
        <v>0</v>
      </c>
      <c r="CM72" s="72">
        <v>0</v>
      </c>
      <c r="CN72" s="72">
        <v>0</v>
      </c>
      <c r="CO72" s="72">
        <v>0</v>
      </c>
      <c r="CP72" s="72">
        <v>0</v>
      </c>
      <c r="CQ72" s="72">
        <v>0</v>
      </c>
      <c r="CR72" s="72">
        <v>0</v>
      </c>
      <c r="CS72" s="72">
        <v>0</v>
      </c>
      <c r="CT72" s="72">
        <v>0</v>
      </c>
      <c r="CU72" s="72">
        <v>0</v>
      </c>
      <c r="CV72" s="72">
        <v>0</v>
      </c>
      <c r="CW72" s="72">
        <v>0</v>
      </c>
      <c r="CX72" s="72">
        <v>0</v>
      </c>
      <c r="CY72" s="72">
        <v>0</v>
      </c>
      <c r="CZ72" s="72">
        <v>0</v>
      </c>
      <c r="DA72" s="72">
        <v>0</v>
      </c>
      <c r="DB72" s="72">
        <v>0</v>
      </c>
      <c r="DC72" s="72">
        <v>0</v>
      </c>
      <c r="DD72" s="72">
        <v>0</v>
      </c>
      <c r="DE72" s="72">
        <v>0</v>
      </c>
      <c r="DF72" s="72">
        <v>0</v>
      </c>
      <c r="DG72" s="72">
        <v>0</v>
      </c>
      <c r="DH72" s="72">
        <v>0</v>
      </c>
      <c r="DI72" s="72">
        <v>0</v>
      </c>
      <c r="DJ72" s="72">
        <v>0</v>
      </c>
      <c r="DK72" s="72">
        <v>0</v>
      </c>
      <c r="DL72" s="72">
        <v>0</v>
      </c>
      <c r="DM72" s="72">
        <v>0</v>
      </c>
      <c r="DN72" s="72">
        <v>0</v>
      </c>
      <c r="DO72" s="72">
        <v>0</v>
      </c>
      <c r="DP72" s="72">
        <v>0</v>
      </c>
      <c r="DQ72" s="72">
        <v>0</v>
      </c>
      <c r="DR72" s="72">
        <v>0</v>
      </c>
      <c r="DS72" s="72">
        <v>0</v>
      </c>
      <c r="DT72" s="72">
        <v>0</v>
      </c>
      <c r="DU72" s="72">
        <v>0</v>
      </c>
      <c r="DV72" s="72">
        <v>0</v>
      </c>
      <c r="DW72" s="72">
        <v>0</v>
      </c>
      <c r="DX72" s="72">
        <v>0</v>
      </c>
      <c r="DY72" s="72">
        <v>0</v>
      </c>
      <c r="DZ72" s="72">
        <v>0</v>
      </c>
      <c r="EA72" s="72">
        <v>0</v>
      </c>
      <c r="EB72" s="72">
        <v>0</v>
      </c>
      <c r="EC72" s="72">
        <v>0</v>
      </c>
      <c r="ED72" s="72">
        <v>0</v>
      </c>
      <c r="EE72" s="72">
        <v>0</v>
      </c>
      <c r="EF72" s="72">
        <v>0</v>
      </c>
      <c r="EG72" s="72">
        <v>0</v>
      </c>
      <c r="EH72" s="72">
        <v>0</v>
      </c>
      <c r="EI72" s="72">
        <v>0</v>
      </c>
      <c r="EJ72" s="72">
        <v>0</v>
      </c>
      <c r="EK72" s="72">
        <v>0</v>
      </c>
      <c r="EL72" s="72">
        <v>0</v>
      </c>
      <c r="EM72" s="72">
        <v>0</v>
      </c>
      <c r="EN72" s="72">
        <v>0</v>
      </c>
      <c r="EO72" s="72">
        <v>0</v>
      </c>
      <c r="EP72" s="72">
        <v>0</v>
      </c>
      <c r="EQ72" s="72">
        <v>0</v>
      </c>
      <c r="ER72" s="72">
        <v>0</v>
      </c>
      <c r="ES72" s="72">
        <v>0</v>
      </c>
      <c r="ET72" s="72">
        <v>0</v>
      </c>
      <c r="EU72" s="72">
        <v>0</v>
      </c>
      <c r="EV72" s="72">
        <v>0</v>
      </c>
      <c r="EW72" s="72">
        <v>0</v>
      </c>
      <c r="EX72" s="72">
        <v>0</v>
      </c>
      <c r="EY72" s="72">
        <v>0</v>
      </c>
      <c r="EZ72" s="72">
        <v>0</v>
      </c>
      <c r="FA72" s="72">
        <v>0</v>
      </c>
      <c r="FB72" s="72">
        <v>0</v>
      </c>
      <c r="FC72" s="72">
        <v>0</v>
      </c>
      <c r="FD72" s="72">
        <v>0</v>
      </c>
      <c r="FE72" s="72">
        <v>0</v>
      </c>
      <c r="FF72" s="72">
        <v>0</v>
      </c>
      <c r="FG72" s="72">
        <v>0</v>
      </c>
      <c r="FH72" s="72">
        <v>0</v>
      </c>
      <c r="FI72" s="72">
        <v>0</v>
      </c>
      <c r="FJ72" s="72">
        <v>0</v>
      </c>
      <c r="FK72" s="72">
        <v>0</v>
      </c>
      <c r="FL72" s="72">
        <v>0</v>
      </c>
      <c r="FM72" s="72">
        <v>0</v>
      </c>
      <c r="FN72" s="72">
        <v>0</v>
      </c>
      <c r="FO72" s="72">
        <v>0</v>
      </c>
      <c r="FP72" s="72">
        <v>0</v>
      </c>
      <c r="FQ72" s="72">
        <v>0</v>
      </c>
      <c r="FR72" s="72">
        <v>0</v>
      </c>
      <c r="FS72" s="72">
        <v>0</v>
      </c>
      <c r="FT72" s="72">
        <v>0</v>
      </c>
      <c r="FU72" s="72">
        <v>0</v>
      </c>
      <c r="FV72" s="74">
        <v>0</v>
      </c>
      <c r="FW72" s="74">
        <v>0</v>
      </c>
      <c r="FX72" s="74">
        <v>0</v>
      </c>
      <c r="FY72" s="74">
        <v>0</v>
      </c>
      <c r="FZ72" s="74">
        <v>0</v>
      </c>
      <c r="GA72" s="74">
        <v>0</v>
      </c>
      <c r="GB72" s="74">
        <v>0</v>
      </c>
      <c r="GC72" s="74">
        <v>0</v>
      </c>
      <c r="GD72" s="74">
        <v>0</v>
      </c>
      <c r="GE72" s="74">
        <v>0</v>
      </c>
      <c r="GF72" s="74">
        <v>0</v>
      </c>
      <c r="GG72" s="74">
        <v>0</v>
      </c>
      <c r="GH72" s="74">
        <v>0</v>
      </c>
      <c r="GI72" s="74">
        <v>0</v>
      </c>
      <c r="GJ72" s="72">
        <v>0</v>
      </c>
      <c r="GK72" s="72">
        <v>0</v>
      </c>
      <c r="GL72" s="72">
        <v>0</v>
      </c>
      <c r="GM72" s="72">
        <v>0</v>
      </c>
      <c r="GN72" s="72">
        <v>0</v>
      </c>
      <c r="GO72" s="72">
        <v>0</v>
      </c>
      <c r="GP72" s="72">
        <v>-1924.3393681232417</v>
      </c>
      <c r="GQ72" s="72">
        <v>99.027306064662199</v>
      </c>
      <c r="GR72" s="72">
        <f t="shared" si="1"/>
        <v>156760.51464564918</v>
      </c>
      <c r="GS72" s="72">
        <f>SUM(BQ$5:BQ$202)</f>
        <v>156760.51464564906</v>
      </c>
      <c r="GT72" s="73">
        <v>0</v>
      </c>
    </row>
    <row r="73" spans="1:202" outlineLevel="1" x14ac:dyDescent="0.2">
      <c r="A73" s="66" t="s">
        <v>667</v>
      </c>
      <c r="B73" s="72">
        <v>0</v>
      </c>
      <c r="C73" s="72">
        <v>0</v>
      </c>
      <c r="D73" s="72">
        <v>0</v>
      </c>
      <c r="E73" s="72">
        <v>0</v>
      </c>
      <c r="F73" s="72">
        <v>0</v>
      </c>
      <c r="G73" s="72">
        <v>0</v>
      </c>
      <c r="H73" s="72">
        <v>0</v>
      </c>
      <c r="I73" s="72">
        <v>47.493971125867375</v>
      </c>
      <c r="J73" s="72">
        <v>0</v>
      </c>
      <c r="K73" s="72">
        <v>24.411019054547115</v>
      </c>
      <c r="L73" s="72">
        <v>0</v>
      </c>
      <c r="M73" s="72">
        <v>0</v>
      </c>
      <c r="N73" s="72">
        <v>0</v>
      </c>
      <c r="O73" s="72">
        <v>0</v>
      </c>
      <c r="P73" s="72">
        <v>0</v>
      </c>
      <c r="Q73" s="72">
        <v>0</v>
      </c>
      <c r="R73" s="72">
        <v>0</v>
      </c>
      <c r="S73" s="72">
        <v>1977.0874295906551</v>
      </c>
      <c r="T73" s="72">
        <v>149.08674586564149</v>
      </c>
      <c r="U73" s="72">
        <v>0</v>
      </c>
      <c r="V73" s="72">
        <v>0</v>
      </c>
      <c r="W73" s="72">
        <v>97.622267332265153</v>
      </c>
      <c r="X73" s="72">
        <v>11.311762366176325</v>
      </c>
      <c r="Y73" s="72">
        <v>83559.447674020383</v>
      </c>
      <c r="Z73" s="72">
        <v>5479.1820598652521</v>
      </c>
      <c r="AA73" s="72">
        <v>3026.0292239462387</v>
      </c>
      <c r="AB73" s="72">
        <v>339.4035044668326</v>
      </c>
      <c r="AC73" s="72">
        <v>9.6005840460097325</v>
      </c>
      <c r="AD73" s="72">
        <v>0</v>
      </c>
      <c r="AE73" s="72">
        <v>35451.200419969646</v>
      </c>
      <c r="AF73" s="72">
        <v>1.9755879699408787</v>
      </c>
      <c r="AG73" s="72">
        <v>0</v>
      </c>
      <c r="AH73" s="72">
        <v>0</v>
      </c>
      <c r="AI73" s="72">
        <v>0</v>
      </c>
      <c r="AJ73" s="72">
        <v>0</v>
      </c>
      <c r="AK73" s="72">
        <v>0</v>
      </c>
      <c r="AL73" s="72">
        <v>0</v>
      </c>
      <c r="AM73" s="72">
        <v>0</v>
      </c>
      <c r="AN73" s="72">
        <v>0</v>
      </c>
      <c r="AO73" s="72">
        <v>0</v>
      </c>
      <c r="AP73" s="72">
        <v>0</v>
      </c>
      <c r="AQ73" s="72">
        <v>0</v>
      </c>
      <c r="AR73" s="72">
        <v>0</v>
      </c>
      <c r="AS73" s="72">
        <v>0</v>
      </c>
      <c r="AT73" s="72">
        <v>0</v>
      </c>
      <c r="AU73" s="72">
        <v>0</v>
      </c>
      <c r="AV73" s="72">
        <v>0</v>
      </c>
      <c r="AW73" s="72">
        <v>0</v>
      </c>
      <c r="AX73" s="72">
        <v>0</v>
      </c>
      <c r="AY73" s="72">
        <v>0</v>
      </c>
      <c r="AZ73" s="72">
        <v>0</v>
      </c>
      <c r="BA73" s="72">
        <v>0</v>
      </c>
      <c r="BB73" s="72">
        <v>0</v>
      </c>
      <c r="BC73" s="72">
        <v>0</v>
      </c>
      <c r="BD73" s="72">
        <v>0</v>
      </c>
      <c r="BE73" s="72">
        <v>0</v>
      </c>
      <c r="BF73" s="72">
        <v>0</v>
      </c>
      <c r="BG73" s="72">
        <v>0</v>
      </c>
      <c r="BH73" s="72">
        <v>0</v>
      </c>
      <c r="BI73" s="72">
        <v>0</v>
      </c>
      <c r="BJ73" s="72">
        <v>0</v>
      </c>
      <c r="BK73" s="72">
        <v>0</v>
      </c>
      <c r="BL73" s="72">
        <v>0</v>
      </c>
      <c r="BM73" s="72">
        <v>0</v>
      </c>
      <c r="BN73" s="72">
        <v>0</v>
      </c>
      <c r="BO73" s="72">
        <v>0</v>
      </c>
      <c r="BP73" s="72">
        <v>0</v>
      </c>
      <c r="BQ73" s="72">
        <v>0</v>
      </c>
      <c r="BR73" s="72">
        <v>0</v>
      </c>
      <c r="BS73" s="72">
        <v>0</v>
      </c>
      <c r="BT73" s="72">
        <v>0</v>
      </c>
      <c r="BU73" s="72">
        <v>0</v>
      </c>
      <c r="BV73" s="72">
        <v>0</v>
      </c>
      <c r="BW73" s="72">
        <v>0</v>
      </c>
      <c r="BX73" s="72">
        <v>0</v>
      </c>
      <c r="BY73" s="72">
        <v>0</v>
      </c>
      <c r="BZ73" s="72">
        <v>0</v>
      </c>
      <c r="CA73" s="72">
        <v>0</v>
      </c>
      <c r="CB73" s="72">
        <v>0</v>
      </c>
      <c r="CC73" s="72">
        <v>0</v>
      </c>
      <c r="CD73" s="72">
        <v>0</v>
      </c>
      <c r="CE73" s="72">
        <v>0</v>
      </c>
      <c r="CF73" s="72">
        <v>0</v>
      </c>
      <c r="CG73" s="72">
        <v>0</v>
      </c>
      <c r="CH73" s="72">
        <v>0</v>
      </c>
      <c r="CI73" s="72">
        <v>0</v>
      </c>
      <c r="CJ73" s="72">
        <v>0</v>
      </c>
      <c r="CK73" s="72">
        <v>0</v>
      </c>
      <c r="CL73" s="72">
        <v>0</v>
      </c>
      <c r="CM73" s="72">
        <v>0</v>
      </c>
      <c r="CN73" s="72">
        <v>0</v>
      </c>
      <c r="CO73" s="72">
        <v>0</v>
      </c>
      <c r="CP73" s="72">
        <v>0</v>
      </c>
      <c r="CQ73" s="72">
        <v>0</v>
      </c>
      <c r="CR73" s="72">
        <v>0</v>
      </c>
      <c r="CS73" s="72">
        <v>0</v>
      </c>
      <c r="CT73" s="72">
        <v>0</v>
      </c>
      <c r="CU73" s="72">
        <v>0</v>
      </c>
      <c r="CV73" s="72">
        <v>0</v>
      </c>
      <c r="CW73" s="72">
        <v>0</v>
      </c>
      <c r="CX73" s="72">
        <v>0</v>
      </c>
      <c r="CY73" s="72">
        <v>0</v>
      </c>
      <c r="CZ73" s="72">
        <v>0</v>
      </c>
      <c r="DA73" s="72">
        <v>0</v>
      </c>
      <c r="DB73" s="72">
        <v>0</v>
      </c>
      <c r="DC73" s="72">
        <v>0</v>
      </c>
      <c r="DD73" s="72">
        <v>0</v>
      </c>
      <c r="DE73" s="72">
        <v>0</v>
      </c>
      <c r="DF73" s="72">
        <v>0</v>
      </c>
      <c r="DG73" s="72">
        <v>0</v>
      </c>
      <c r="DH73" s="72">
        <v>0</v>
      </c>
      <c r="DI73" s="72">
        <v>0</v>
      </c>
      <c r="DJ73" s="72">
        <v>0</v>
      </c>
      <c r="DK73" s="72">
        <v>0</v>
      </c>
      <c r="DL73" s="72">
        <v>0</v>
      </c>
      <c r="DM73" s="72">
        <v>0</v>
      </c>
      <c r="DN73" s="72">
        <v>0</v>
      </c>
      <c r="DO73" s="72">
        <v>0</v>
      </c>
      <c r="DP73" s="72">
        <v>0</v>
      </c>
      <c r="DQ73" s="72">
        <v>0</v>
      </c>
      <c r="DR73" s="72">
        <v>0</v>
      </c>
      <c r="DS73" s="72">
        <v>0</v>
      </c>
      <c r="DT73" s="72">
        <v>0</v>
      </c>
      <c r="DU73" s="72">
        <v>0</v>
      </c>
      <c r="DV73" s="72">
        <v>0</v>
      </c>
      <c r="DW73" s="72">
        <v>0</v>
      </c>
      <c r="DX73" s="72">
        <v>0</v>
      </c>
      <c r="DY73" s="72">
        <v>0</v>
      </c>
      <c r="DZ73" s="72">
        <v>0</v>
      </c>
      <c r="EA73" s="72">
        <v>0</v>
      </c>
      <c r="EB73" s="72">
        <v>0</v>
      </c>
      <c r="EC73" s="72">
        <v>0</v>
      </c>
      <c r="ED73" s="72">
        <v>0</v>
      </c>
      <c r="EE73" s="72">
        <v>0</v>
      </c>
      <c r="EF73" s="72">
        <v>0</v>
      </c>
      <c r="EG73" s="72">
        <v>0</v>
      </c>
      <c r="EH73" s="72">
        <v>0</v>
      </c>
      <c r="EI73" s="72">
        <v>0</v>
      </c>
      <c r="EJ73" s="72">
        <v>0</v>
      </c>
      <c r="EK73" s="72">
        <v>0</v>
      </c>
      <c r="EL73" s="72">
        <v>0</v>
      </c>
      <c r="EM73" s="72">
        <v>0</v>
      </c>
      <c r="EN73" s="72">
        <v>0</v>
      </c>
      <c r="EO73" s="72">
        <v>0</v>
      </c>
      <c r="EP73" s="72">
        <v>0</v>
      </c>
      <c r="EQ73" s="72">
        <v>0</v>
      </c>
      <c r="ER73" s="72">
        <v>0</v>
      </c>
      <c r="ES73" s="72">
        <v>0</v>
      </c>
      <c r="ET73" s="72">
        <v>0</v>
      </c>
      <c r="EU73" s="72">
        <v>0</v>
      </c>
      <c r="EV73" s="72">
        <v>0</v>
      </c>
      <c r="EW73" s="72">
        <v>0</v>
      </c>
      <c r="EX73" s="72">
        <v>0</v>
      </c>
      <c r="EY73" s="72">
        <v>0</v>
      </c>
      <c r="EZ73" s="72">
        <v>0</v>
      </c>
      <c r="FA73" s="72">
        <v>0</v>
      </c>
      <c r="FB73" s="72">
        <v>0</v>
      </c>
      <c r="FC73" s="72">
        <v>0</v>
      </c>
      <c r="FD73" s="72">
        <v>0</v>
      </c>
      <c r="FE73" s="72">
        <v>0</v>
      </c>
      <c r="FF73" s="72">
        <v>0</v>
      </c>
      <c r="FG73" s="72">
        <v>0</v>
      </c>
      <c r="FH73" s="72">
        <v>0</v>
      </c>
      <c r="FI73" s="72">
        <v>0</v>
      </c>
      <c r="FJ73" s="72">
        <v>0</v>
      </c>
      <c r="FK73" s="72">
        <v>0</v>
      </c>
      <c r="FL73" s="72">
        <v>0</v>
      </c>
      <c r="FM73" s="72">
        <v>0</v>
      </c>
      <c r="FN73" s="72">
        <v>0</v>
      </c>
      <c r="FO73" s="72">
        <v>0</v>
      </c>
      <c r="FP73" s="72">
        <v>0</v>
      </c>
      <c r="FQ73" s="72">
        <v>0</v>
      </c>
      <c r="FR73" s="72">
        <v>0</v>
      </c>
      <c r="FS73" s="72">
        <v>0</v>
      </c>
      <c r="FT73" s="72">
        <v>0</v>
      </c>
      <c r="FU73" s="72">
        <v>0</v>
      </c>
      <c r="FV73" s="74">
        <v>0</v>
      </c>
      <c r="FW73" s="74">
        <v>0</v>
      </c>
      <c r="FX73" s="74">
        <v>0</v>
      </c>
      <c r="FY73" s="74">
        <v>0</v>
      </c>
      <c r="FZ73" s="74">
        <v>0</v>
      </c>
      <c r="GA73" s="74">
        <v>0</v>
      </c>
      <c r="GB73" s="74">
        <v>0</v>
      </c>
      <c r="GC73" s="74">
        <v>0</v>
      </c>
      <c r="GD73" s="74">
        <v>0</v>
      </c>
      <c r="GE73" s="74">
        <v>0</v>
      </c>
      <c r="GF73" s="74">
        <v>0</v>
      </c>
      <c r="GG73" s="74">
        <v>0</v>
      </c>
      <c r="GH73" s="74">
        <v>0</v>
      </c>
      <c r="GI73" s="74">
        <v>0</v>
      </c>
      <c r="GJ73" s="72">
        <v>0</v>
      </c>
      <c r="GK73" s="72">
        <v>0</v>
      </c>
      <c r="GL73" s="72">
        <v>0</v>
      </c>
      <c r="GM73" s="72">
        <v>0</v>
      </c>
      <c r="GN73" s="72">
        <v>0</v>
      </c>
      <c r="GO73" s="72">
        <v>0</v>
      </c>
      <c r="GP73" s="72">
        <v>585.949930179023</v>
      </c>
      <c r="GQ73" s="72">
        <v>180255.79651514877</v>
      </c>
      <c r="GR73" s="72">
        <f t="shared" si="1"/>
        <v>311015.59869494726</v>
      </c>
      <c r="GS73" s="72">
        <f>SUM(BR$5:BR$202)</f>
        <v>311015.59869494726</v>
      </c>
      <c r="GT73" s="73">
        <v>0</v>
      </c>
    </row>
    <row r="74" spans="1:202" outlineLevel="1" x14ac:dyDescent="0.2">
      <c r="A74" s="66" t="s">
        <v>1501</v>
      </c>
      <c r="B74" s="72">
        <v>0</v>
      </c>
      <c r="C74" s="72">
        <v>0</v>
      </c>
      <c r="D74" s="72">
        <v>0</v>
      </c>
      <c r="E74" s="72">
        <v>135.4787858990409</v>
      </c>
      <c r="F74" s="72">
        <v>117.5454676946579</v>
      </c>
      <c r="G74" s="72">
        <v>1199.3888665060072</v>
      </c>
      <c r="H74" s="72">
        <v>995.10374926349857</v>
      </c>
      <c r="I74" s="72">
        <v>6.977915905421192E-2</v>
      </c>
      <c r="J74" s="72">
        <v>0</v>
      </c>
      <c r="K74" s="72">
        <v>0</v>
      </c>
      <c r="L74" s="72">
        <v>0</v>
      </c>
      <c r="M74" s="72">
        <v>0</v>
      </c>
      <c r="N74" s="72">
        <v>0</v>
      </c>
      <c r="O74" s="72">
        <v>0</v>
      </c>
      <c r="P74" s="72">
        <v>0</v>
      </c>
      <c r="Q74" s="72">
        <v>0</v>
      </c>
      <c r="R74" s="72">
        <v>2564.8886934200386</v>
      </c>
      <c r="S74" s="72">
        <v>132.80939019967045</v>
      </c>
      <c r="T74" s="72">
        <v>601.11729606390509</v>
      </c>
      <c r="U74" s="72">
        <v>10.301003453340208</v>
      </c>
      <c r="V74" s="72">
        <v>124.36551851615863</v>
      </c>
      <c r="W74" s="72">
        <v>567.31145224644979</v>
      </c>
      <c r="X74" s="72">
        <v>9795.6827527580263</v>
      </c>
      <c r="Y74" s="72">
        <v>31.476713873460874</v>
      </c>
      <c r="Z74" s="72">
        <v>0</v>
      </c>
      <c r="AA74" s="72">
        <v>3.9685461013797365</v>
      </c>
      <c r="AB74" s="72">
        <v>2.2663189574663365</v>
      </c>
      <c r="AC74" s="72">
        <v>0</v>
      </c>
      <c r="AD74" s="72">
        <v>0</v>
      </c>
      <c r="AE74" s="72">
        <v>0</v>
      </c>
      <c r="AF74" s="72">
        <v>0</v>
      </c>
      <c r="AG74" s="72">
        <v>0</v>
      </c>
      <c r="AH74" s="72">
        <v>0</v>
      </c>
      <c r="AI74" s="72">
        <v>0</v>
      </c>
      <c r="AJ74" s="72">
        <v>0</v>
      </c>
      <c r="AK74" s="72">
        <v>11619.857381531418</v>
      </c>
      <c r="AL74" s="72">
        <v>0</v>
      </c>
      <c r="AM74" s="72">
        <v>0</v>
      </c>
      <c r="AN74" s="72">
        <v>0</v>
      </c>
      <c r="AO74" s="72">
        <v>0</v>
      </c>
      <c r="AP74" s="72">
        <v>0</v>
      </c>
      <c r="AQ74" s="72">
        <v>0</v>
      </c>
      <c r="AR74" s="72">
        <v>0</v>
      </c>
      <c r="AS74" s="72">
        <v>0</v>
      </c>
      <c r="AT74" s="72">
        <v>0</v>
      </c>
      <c r="AU74" s="72">
        <v>0</v>
      </c>
      <c r="AV74" s="72">
        <v>0</v>
      </c>
      <c r="AW74" s="72">
        <v>0</v>
      </c>
      <c r="AX74" s="72">
        <v>1157.3735700340244</v>
      </c>
      <c r="AY74" s="72">
        <v>0</v>
      </c>
      <c r="AZ74" s="72">
        <v>0</v>
      </c>
      <c r="BA74" s="72">
        <v>0</v>
      </c>
      <c r="BB74" s="72">
        <v>0</v>
      </c>
      <c r="BC74" s="72">
        <v>17.2092846411939</v>
      </c>
      <c r="BD74" s="72">
        <v>3.1216825425170924E-4</v>
      </c>
      <c r="BE74" s="72">
        <v>0.4742917301801719</v>
      </c>
      <c r="BF74" s="72">
        <v>0</v>
      </c>
      <c r="BG74" s="72">
        <v>0</v>
      </c>
      <c r="BH74" s="72">
        <v>0</v>
      </c>
      <c r="BI74" s="72">
        <v>0</v>
      </c>
      <c r="BJ74" s="72">
        <v>765.62018713884379</v>
      </c>
      <c r="BK74" s="72">
        <v>0</v>
      </c>
      <c r="BL74" s="72">
        <v>0</v>
      </c>
      <c r="BM74" s="72">
        <v>0</v>
      </c>
      <c r="BN74" s="72">
        <v>0</v>
      </c>
      <c r="BO74" s="72">
        <v>0</v>
      </c>
      <c r="BP74" s="72">
        <v>0</v>
      </c>
      <c r="BQ74" s="72">
        <v>0</v>
      </c>
      <c r="BR74" s="72">
        <v>0</v>
      </c>
      <c r="BS74" s="72">
        <v>0</v>
      </c>
      <c r="BT74" s="72">
        <v>0</v>
      </c>
      <c r="BU74" s="72">
        <v>0</v>
      </c>
      <c r="BV74" s="72">
        <v>0</v>
      </c>
      <c r="BW74" s="72">
        <v>0</v>
      </c>
      <c r="BX74" s="72">
        <v>0</v>
      </c>
      <c r="BY74" s="72">
        <v>0</v>
      </c>
      <c r="BZ74" s="72">
        <v>0</v>
      </c>
      <c r="CA74" s="72">
        <v>0</v>
      </c>
      <c r="CB74" s="72">
        <v>0</v>
      </c>
      <c r="CC74" s="72">
        <v>0</v>
      </c>
      <c r="CD74" s="72">
        <v>0</v>
      </c>
      <c r="CE74" s="72">
        <v>0</v>
      </c>
      <c r="CF74" s="72">
        <v>0</v>
      </c>
      <c r="CG74" s="72">
        <v>0</v>
      </c>
      <c r="CH74" s="72">
        <v>0</v>
      </c>
      <c r="CI74" s="72">
        <v>0</v>
      </c>
      <c r="CJ74" s="72">
        <v>0</v>
      </c>
      <c r="CK74" s="72">
        <v>0</v>
      </c>
      <c r="CL74" s="72">
        <v>0</v>
      </c>
      <c r="CM74" s="72">
        <v>0</v>
      </c>
      <c r="CN74" s="72">
        <v>0</v>
      </c>
      <c r="CO74" s="72">
        <v>0</v>
      </c>
      <c r="CP74" s="72">
        <v>0</v>
      </c>
      <c r="CQ74" s="72">
        <v>0</v>
      </c>
      <c r="CR74" s="72">
        <v>0</v>
      </c>
      <c r="CS74" s="72">
        <v>0</v>
      </c>
      <c r="CT74" s="72">
        <v>0</v>
      </c>
      <c r="CU74" s="72">
        <v>0</v>
      </c>
      <c r="CV74" s="72">
        <v>0</v>
      </c>
      <c r="CW74" s="72">
        <v>0</v>
      </c>
      <c r="CX74" s="72">
        <v>0</v>
      </c>
      <c r="CY74" s="72">
        <v>0</v>
      </c>
      <c r="CZ74" s="72">
        <v>0</v>
      </c>
      <c r="DA74" s="72">
        <v>0</v>
      </c>
      <c r="DB74" s="72">
        <v>0</v>
      </c>
      <c r="DC74" s="72">
        <v>0</v>
      </c>
      <c r="DD74" s="72">
        <v>0</v>
      </c>
      <c r="DE74" s="72">
        <v>0</v>
      </c>
      <c r="DF74" s="72">
        <v>0</v>
      </c>
      <c r="DG74" s="72">
        <v>0</v>
      </c>
      <c r="DH74" s="72">
        <v>0</v>
      </c>
      <c r="DI74" s="72">
        <v>0</v>
      </c>
      <c r="DJ74" s="72">
        <v>0</v>
      </c>
      <c r="DK74" s="72">
        <v>0</v>
      </c>
      <c r="DL74" s="72">
        <v>0</v>
      </c>
      <c r="DM74" s="72">
        <v>0</v>
      </c>
      <c r="DN74" s="72">
        <v>0</v>
      </c>
      <c r="DO74" s="72">
        <v>0</v>
      </c>
      <c r="DP74" s="72">
        <v>0</v>
      </c>
      <c r="DQ74" s="72">
        <v>0</v>
      </c>
      <c r="DR74" s="72">
        <v>0</v>
      </c>
      <c r="DS74" s="72">
        <v>0</v>
      </c>
      <c r="DT74" s="72">
        <v>0</v>
      </c>
      <c r="DU74" s="72">
        <v>0</v>
      </c>
      <c r="DV74" s="72">
        <v>0</v>
      </c>
      <c r="DW74" s="72">
        <v>0</v>
      </c>
      <c r="DX74" s="72">
        <v>0</v>
      </c>
      <c r="DY74" s="72">
        <v>0</v>
      </c>
      <c r="DZ74" s="72">
        <v>0</v>
      </c>
      <c r="EA74" s="72">
        <v>0</v>
      </c>
      <c r="EB74" s="72">
        <v>0</v>
      </c>
      <c r="EC74" s="72">
        <v>0</v>
      </c>
      <c r="ED74" s="72">
        <v>0</v>
      </c>
      <c r="EE74" s="72">
        <v>0</v>
      </c>
      <c r="EF74" s="72">
        <v>0</v>
      </c>
      <c r="EG74" s="72">
        <v>0</v>
      </c>
      <c r="EH74" s="72">
        <v>0</v>
      </c>
      <c r="EI74" s="72">
        <v>0</v>
      </c>
      <c r="EJ74" s="72">
        <v>0</v>
      </c>
      <c r="EK74" s="72">
        <v>0</v>
      </c>
      <c r="EL74" s="72">
        <v>0</v>
      </c>
      <c r="EM74" s="72">
        <v>0</v>
      </c>
      <c r="EN74" s="72">
        <v>0</v>
      </c>
      <c r="EO74" s="72">
        <v>0</v>
      </c>
      <c r="EP74" s="72">
        <v>0</v>
      </c>
      <c r="EQ74" s="72">
        <v>0</v>
      </c>
      <c r="ER74" s="72">
        <v>0</v>
      </c>
      <c r="ES74" s="72">
        <v>0</v>
      </c>
      <c r="ET74" s="72">
        <v>0</v>
      </c>
      <c r="EU74" s="72">
        <v>0</v>
      </c>
      <c r="EV74" s="72">
        <v>0</v>
      </c>
      <c r="EW74" s="72">
        <v>0</v>
      </c>
      <c r="EX74" s="72">
        <v>0</v>
      </c>
      <c r="EY74" s="72">
        <v>0</v>
      </c>
      <c r="EZ74" s="72">
        <v>0</v>
      </c>
      <c r="FA74" s="72">
        <v>0</v>
      </c>
      <c r="FB74" s="72">
        <v>0</v>
      </c>
      <c r="FC74" s="72">
        <v>0</v>
      </c>
      <c r="FD74" s="72">
        <v>0</v>
      </c>
      <c r="FE74" s="72">
        <v>0</v>
      </c>
      <c r="FF74" s="72">
        <v>0</v>
      </c>
      <c r="FG74" s="72">
        <v>0</v>
      </c>
      <c r="FH74" s="72">
        <v>0</v>
      </c>
      <c r="FI74" s="72">
        <v>0</v>
      </c>
      <c r="FJ74" s="72">
        <v>0</v>
      </c>
      <c r="FK74" s="72">
        <v>0</v>
      </c>
      <c r="FL74" s="72">
        <v>0</v>
      </c>
      <c r="FM74" s="72">
        <v>0</v>
      </c>
      <c r="FN74" s="72">
        <v>0</v>
      </c>
      <c r="FO74" s="72">
        <v>0</v>
      </c>
      <c r="FP74" s="72">
        <v>0</v>
      </c>
      <c r="FQ74" s="72">
        <v>0</v>
      </c>
      <c r="FR74" s="72">
        <v>0</v>
      </c>
      <c r="FS74" s="72">
        <v>0</v>
      </c>
      <c r="FT74" s="72">
        <v>0</v>
      </c>
      <c r="FU74" s="72">
        <v>0</v>
      </c>
      <c r="FV74" s="74">
        <v>1.9274294683212132</v>
      </c>
      <c r="FW74" s="74">
        <v>2.8749828730236042</v>
      </c>
      <c r="FX74" s="74">
        <v>1.2762774446578951</v>
      </c>
      <c r="FY74" s="74">
        <v>1.1054256643571867</v>
      </c>
      <c r="FZ74" s="74">
        <v>3.7487237874462784</v>
      </c>
      <c r="GA74" s="74">
        <v>1.5299538051079824</v>
      </c>
      <c r="GB74" s="74">
        <v>1.2232675885426976</v>
      </c>
      <c r="GC74" s="74">
        <v>0.45749553690427119</v>
      </c>
      <c r="GD74" s="74">
        <v>9.3821573181286019E-2</v>
      </c>
      <c r="GE74" s="74">
        <v>0</v>
      </c>
      <c r="GF74" s="74">
        <v>0</v>
      </c>
      <c r="GG74" s="74">
        <v>0</v>
      </c>
      <c r="GH74" s="74">
        <v>0.11022547875243256</v>
      </c>
      <c r="GI74" s="74">
        <v>0</v>
      </c>
      <c r="GJ74" s="72">
        <v>0</v>
      </c>
      <c r="GK74" s="72">
        <v>0</v>
      </c>
      <c r="GL74" s="72">
        <v>0</v>
      </c>
      <c r="GM74" s="72">
        <v>0</v>
      </c>
      <c r="GN74" s="72">
        <v>0</v>
      </c>
      <c r="GO74" s="72">
        <v>0</v>
      </c>
      <c r="GP74" s="72">
        <v>1532.6398606765772</v>
      </c>
      <c r="GQ74" s="72">
        <v>1659.7388887380616</v>
      </c>
      <c r="GR74" s="72">
        <f t="shared" si="1"/>
        <v>33049.035713990997</v>
      </c>
      <c r="GS74" s="72">
        <f>SUM(BS$5:BS$202)</f>
        <v>33049.035713990997</v>
      </c>
      <c r="GT74" s="73">
        <v>0</v>
      </c>
    </row>
    <row r="75" spans="1:202" outlineLevel="1" x14ac:dyDescent="0.2">
      <c r="A75" s="66" t="s">
        <v>672</v>
      </c>
      <c r="B75" s="72">
        <v>0</v>
      </c>
      <c r="C75" s="72">
        <v>0</v>
      </c>
      <c r="D75" s="72">
        <v>0</v>
      </c>
      <c r="E75" s="72">
        <v>174.64172454346865</v>
      </c>
      <c r="F75" s="72">
        <v>182.86955087172257</v>
      </c>
      <c r="G75" s="72">
        <v>1531.1267251503696</v>
      </c>
      <c r="H75" s="72">
        <v>624.35248883281838</v>
      </c>
      <c r="I75" s="72">
        <v>449.81197552269407</v>
      </c>
      <c r="J75" s="72">
        <v>0</v>
      </c>
      <c r="K75" s="72">
        <v>0</v>
      </c>
      <c r="L75" s="72">
        <v>0</v>
      </c>
      <c r="M75" s="72">
        <v>16.200724305890521</v>
      </c>
      <c r="N75" s="72">
        <v>0</v>
      </c>
      <c r="O75" s="72">
        <v>109.93802842704613</v>
      </c>
      <c r="P75" s="72">
        <v>0</v>
      </c>
      <c r="Q75" s="72">
        <v>0</v>
      </c>
      <c r="R75" s="72">
        <v>261.50886781235511</v>
      </c>
      <c r="S75" s="72">
        <v>1605.6598572477053</v>
      </c>
      <c r="T75" s="72">
        <v>1489.5442087383981</v>
      </c>
      <c r="U75" s="72">
        <v>0</v>
      </c>
      <c r="V75" s="72">
        <v>111.82207737334279</v>
      </c>
      <c r="W75" s="72">
        <v>51.550263827821894</v>
      </c>
      <c r="X75" s="72">
        <v>4790.4453875748977</v>
      </c>
      <c r="Y75" s="72">
        <v>2166.6815185280739</v>
      </c>
      <c r="Z75" s="72">
        <v>192.31350001999317</v>
      </c>
      <c r="AA75" s="72">
        <v>29.346135492834676</v>
      </c>
      <c r="AB75" s="72">
        <v>67.045850794163599</v>
      </c>
      <c r="AC75" s="72">
        <v>0.20772499106923126</v>
      </c>
      <c r="AD75" s="72">
        <v>1.5435465823802454</v>
      </c>
      <c r="AE75" s="72">
        <v>3.0657569500534407</v>
      </c>
      <c r="AF75" s="72">
        <v>15.014005209232346</v>
      </c>
      <c r="AG75" s="72">
        <v>0.37029548921422062</v>
      </c>
      <c r="AH75" s="72">
        <v>9666.5057128125936</v>
      </c>
      <c r="AI75" s="72">
        <v>0</v>
      </c>
      <c r="AJ75" s="72">
        <v>0</v>
      </c>
      <c r="AK75" s="72">
        <v>0</v>
      </c>
      <c r="AL75" s="72">
        <v>0</v>
      </c>
      <c r="AM75" s="72">
        <v>0</v>
      </c>
      <c r="AN75" s="72">
        <v>0</v>
      </c>
      <c r="AO75" s="72">
        <v>0</v>
      </c>
      <c r="AP75" s="72">
        <v>0</v>
      </c>
      <c r="AQ75" s="72">
        <v>0</v>
      </c>
      <c r="AR75" s="72">
        <v>0</v>
      </c>
      <c r="AS75" s="72">
        <v>0</v>
      </c>
      <c r="AT75" s="72">
        <v>0</v>
      </c>
      <c r="AU75" s="72">
        <v>0</v>
      </c>
      <c r="AV75" s="72">
        <v>0</v>
      </c>
      <c r="AW75" s="72">
        <v>0</v>
      </c>
      <c r="AX75" s="72">
        <v>0</v>
      </c>
      <c r="AY75" s="72">
        <v>0</v>
      </c>
      <c r="AZ75" s="72">
        <v>0</v>
      </c>
      <c r="BA75" s="72">
        <v>0</v>
      </c>
      <c r="BB75" s="72">
        <v>0</v>
      </c>
      <c r="BC75" s="72">
        <v>0</v>
      </c>
      <c r="BD75" s="72">
        <v>0</v>
      </c>
      <c r="BE75" s="72">
        <v>0</v>
      </c>
      <c r="BF75" s="72">
        <v>0</v>
      </c>
      <c r="BG75" s="72">
        <v>0</v>
      </c>
      <c r="BH75" s="72">
        <v>0</v>
      </c>
      <c r="BI75" s="72">
        <v>0</v>
      </c>
      <c r="BJ75" s="72">
        <v>96.510365626380022</v>
      </c>
      <c r="BK75" s="72">
        <v>0</v>
      </c>
      <c r="BL75" s="72">
        <v>0</v>
      </c>
      <c r="BM75" s="72">
        <v>0</v>
      </c>
      <c r="BN75" s="72">
        <v>0</v>
      </c>
      <c r="BO75" s="72">
        <v>0</v>
      </c>
      <c r="BP75" s="72">
        <v>0</v>
      </c>
      <c r="BQ75" s="72">
        <v>0</v>
      </c>
      <c r="BR75" s="72">
        <v>0</v>
      </c>
      <c r="BS75" s="72">
        <v>0</v>
      </c>
      <c r="BT75" s="72">
        <v>0</v>
      </c>
      <c r="BU75" s="72">
        <v>0</v>
      </c>
      <c r="BV75" s="72">
        <v>0</v>
      </c>
      <c r="BW75" s="72">
        <v>0</v>
      </c>
      <c r="BX75" s="72">
        <v>0</v>
      </c>
      <c r="BY75" s="72">
        <v>0</v>
      </c>
      <c r="BZ75" s="72">
        <v>0</v>
      </c>
      <c r="CA75" s="72">
        <v>0</v>
      </c>
      <c r="CB75" s="72">
        <v>0</v>
      </c>
      <c r="CC75" s="72">
        <v>0</v>
      </c>
      <c r="CD75" s="72">
        <v>0</v>
      </c>
      <c r="CE75" s="72">
        <v>0</v>
      </c>
      <c r="CF75" s="72">
        <v>0</v>
      </c>
      <c r="CG75" s="72">
        <v>0</v>
      </c>
      <c r="CH75" s="72">
        <v>0</v>
      </c>
      <c r="CI75" s="72">
        <v>0</v>
      </c>
      <c r="CJ75" s="72">
        <v>0</v>
      </c>
      <c r="CK75" s="72">
        <v>0</v>
      </c>
      <c r="CL75" s="72">
        <v>0</v>
      </c>
      <c r="CM75" s="72">
        <v>0</v>
      </c>
      <c r="CN75" s="72">
        <v>0</v>
      </c>
      <c r="CO75" s="72">
        <v>0</v>
      </c>
      <c r="CP75" s="72">
        <v>0</v>
      </c>
      <c r="CQ75" s="72">
        <v>0</v>
      </c>
      <c r="CR75" s="72">
        <v>0</v>
      </c>
      <c r="CS75" s="72">
        <v>0</v>
      </c>
      <c r="CT75" s="72">
        <v>0</v>
      </c>
      <c r="CU75" s="72">
        <v>0</v>
      </c>
      <c r="CV75" s="72">
        <v>0</v>
      </c>
      <c r="CW75" s="72">
        <v>0</v>
      </c>
      <c r="CX75" s="72">
        <v>0</v>
      </c>
      <c r="CY75" s="72">
        <v>0</v>
      </c>
      <c r="CZ75" s="72">
        <v>0</v>
      </c>
      <c r="DA75" s="72">
        <v>0</v>
      </c>
      <c r="DB75" s="72">
        <v>0</v>
      </c>
      <c r="DC75" s="72">
        <v>0</v>
      </c>
      <c r="DD75" s="72">
        <v>0</v>
      </c>
      <c r="DE75" s="72">
        <v>0</v>
      </c>
      <c r="DF75" s="72">
        <v>0</v>
      </c>
      <c r="DG75" s="72">
        <v>0</v>
      </c>
      <c r="DH75" s="72">
        <v>0</v>
      </c>
      <c r="DI75" s="72">
        <v>0</v>
      </c>
      <c r="DJ75" s="72">
        <v>0</v>
      </c>
      <c r="DK75" s="72">
        <v>0</v>
      </c>
      <c r="DL75" s="72">
        <v>0</v>
      </c>
      <c r="DM75" s="72">
        <v>0</v>
      </c>
      <c r="DN75" s="72">
        <v>0</v>
      </c>
      <c r="DO75" s="72">
        <v>0</v>
      </c>
      <c r="DP75" s="72">
        <v>0</v>
      </c>
      <c r="DQ75" s="72">
        <v>0</v>
      </c>
      <c r="DR75" s="72">
        <v>0</v>
      </c>
      <c r="DS75" s="72">
        <v>0</v>
      </c>
      <c r="DT75" s="72">
        <v>0</v>
      </c>
      <c r="DU75" s="72">
        <v>0</v>
      </c>
      <c r="DV75" s="72">
        <v>0</v>
      </c>
      <c r="DW75" s="72">
        <v>0</v>
      </c>
      <c r="DX75" s="72">
        <v>0</v>
      </c>
      <c r="DY75" s="72">
        <v>0</v>
      </c>
      <c r="DZ75" s="72">
        <v>0</v>
      </c>
      <c r="EA75" s="72">
        <v>0</v>
      </c>
      <c r="EB75" s="72">
        <v>0</v>
      </c>
      <c r="EC75" s="72">
        <v>0</v>
      </c>
      <c r="ED75" s="72">
        <v>0</v>
      </c>
      <c r="EE75" s="72">
        <v>0</v>
      </c>
      <c r="EF75" s="72">
        <v>0</v>
      </c>
      <c r="EG75" s="72">
        <v>0</v>
      </c>
      <c r="EH75" s="72">
        <v>0</v>
      </c>
      <c r="EI75" s="72">
        <v>0</v>
      </c>
      <c r="EJ75" s="72">
        <v>0</v>
      </c>
      <c r="EK75" s="72">
        <v>0</v>
      </c>
      <c r="EL75" s="72">
        <v>0</v>
      </c>
      <c r="EM75" s="72">
        <v>0</v>
      </c>
      <c r="EN75" s="72">
        <v>0</v>
      </c>
      <c r="EO75" s="72">
        <v>0</v>
      </c>
      <c r="EP75" s="72">
        <v>0</v>
      </c>
      <c r="EQ75" s="72">
        <v>0</v>
      </c>
      <c r="ER75" s="72">
        <v>0</v>
      </c>
      <c r="ES75" s="72">
        <v>0</v>
      </c>
      <c r="ET75" s="72">
        <v>0</v>
      </c>
      <c r="EU75" s="72">
        <v>0</v>
      </c>
      <c r="EV75" s="72">
        <v>0</v>
      </c>
      <c r="EW75" s="72">
        <v>0</v>
      </c>
      <c r="EX75" s="72">
        <v>0</v>
      </c>
      <c r="EY75" s="72">
        <v>0</v>
      </c>
      <c r="EZ75" s="72">
        <v>0</v>
      </c>
      <c r="FA75" s="72">
        <v>0</v>
      </c>
      <c r="FB75" s="72">
        <v>0</v>
      </c>
      <c r="FC75" s="72">
        <v>0</v>
      </c>
      <c r="FD75" s="72">
        <v>0</v>
      </c>
      <c r="FE75" s="72">
        <v>0</v>
      </c>
      <c r="FF75" s="72">
        <v>0</v>
      </c>
      <c r="FG75" s="72">
        <v>0</v>
      </c>
      <c r="FH75" s="72">
        <v>0</v>
      </c>
      <c r="FI75" s="72">
        <v>0</v>
      </c>
      <c r="FJ75" s="72">
        <v>0</v>
      </c>
      <c r="FK75" s="72">
        <v>0</v>
      </c>
      <c r="FL75" s="72">
        <v>0</v>
      </c>
      <c r="FM75" s="72">
        <v>0</v>
      </c>
      <c r="FN75" s="72">
        <v>0</v>
      </c>
      <c r="FO75" s="72">
        <v>0</v>
      </c>
      <c r="FP75" s="72">
        <v>0</v>
      </c>
      <c r="FQ75" s="72">
        <v>0</v>
      </c>
      <c r="FR75" s="72">
        <v>0</v>
      </c>
      <c r="FS75" s="72">
        <v>0</v>
      </c>
      <c r="FT75" s="72">
        <v>0</v>
      </c>
      <c r="FU75" s="72">
        <v>0</v>
      </c>
      <c r="FV75" s="74">
        <v>123.36329265599369</v>
      </c>
      <c r="FW75" s="74">
        <v>184.01054844029906</v>
      </c>
      <c r="FX75" s="74">
        <v>81.68692577514166</v>
      </c>
      <c r="FY75" s="74">
        <v>70.75171983352466</v>
      </c>
      <c r="FZ75" s="74">
        <v>239.93350588336577</v>
      </c>
      <c r="GA75" s="74">
        <v>97.923240311397436</v>
      </c>
      <c r="GB75" s="74">
        <v>78.294080277512592</v>
      </c>
      <c r="GC75" s="74">
        <v>29.281567359811138</v>
      </c>
      <c r="GD75" s="74">
        <v>6.0049606898922043</v>
      </c>
      <c r="GE75" s="74">
        <v>0</v>
      </c>
      <c r="GF75" s="74">
        <v>0</v>
      </c>
      <c r="GG75" s="74">
        <v>0</v>
      </c>
      <c r="GH75" s="74">
        <v>7.0548770873193023</v>
      </c>
      <c r="GI75" s="74">
        <v>0</v>
      </c>
      <c r="GJ75" s="72">
        <v>0</v>
      </c>
      <c r="GK75" s="72">
        <v>0</v>
      </c>
      <c r="GL75" s="72">
        <v>0</v>
      </c>
      <c r="GM75" s="72">
        <v>0</v>
      </c>
      <c r="GN75" s="72">
        <v>0</v>
      </c>
      <c r="GO75" s="72">
        <v>0</v>
      </c>
      <c r="GP75" s="72">
        <v>1696.7899111532377</v>
      </c>
      <c r="GQ75" s="72">
        <v>19942.401884351573</v>
      </c>
      <c r="GR75" s="72">
        <f t="shared" si="1"/>
        <v>46195.572806543598</v>
      </c>
      <c r="GS75" s="72">
        <f>SUM(BT$5:BT$202)</f>
        <v>46195.572806543532</v>
      </c>
      <c r="GT75" s="73">
        <v>6.5483618527650833E-11</v>
      </c>
    </row>
    <row r="76" spans="1:202" outlineLevel="1" x14ac:dyDescent="0.2">
      <c r="A76" s="66" t="s">
        <v>679</v>
      </c>
      <c r="B76" s="72">
        <v>10466.781856033402</v>
      </c>
      <c r="C76" s="72">
        <v>0</v>
      </c>
      <c r="D76" s="72">
        <v>91.892023799547104</v>
      </c>
      <c r="E76" s="72">
        <v>3044.5376913351806</v>
      </c>
      <c r="F76" s="72">
        <v>6835.7971398854506</v>
      </c>
      <c r="G76" s="72">
        <v>18065.517445917998</v>
      </c>
      <c r="H76" s="72">
        <v>4610.9184987019671</v>
      </c>
      <c r="I76" s="72">
        <v>4107.985629520661</v>
      </c>
      <c r="J76" s="72">
        <v>394.92419893106478</v>
      </c>
      <c r="K76" s="72">
        <v>365.47547736401623</v>
      </c>
      <c r="L76" s="72">
        <v>252.35310619269046</v>
      </c>
      <c r="M76" s="72">
        <v>112.49505867387553</v>
      </c>
      <c r="N76" s="72">
        <v>55.167454290557998</v>
      </c>
      <c r="O76" s="72">
        <v>748.17945507450668</v>
      </c>
      <c r="P76" s="72">
        <v>618.63491329248984</v>
      </c>
      <c r="Q76" s="72">
        <v>401.29870145081412</v>
      </c>
      <c r="R76" s="72">
        <v>1936.2915587552611</v>
      </c>
      <c r="S76" s="72">
        <v>2686.5771796194554</v>
      </c>
      <c r="T76" s="72">
        <v>974.80794990319032</v>
      </c>
      <c r="U76" s="72">
        <v>324.63450762909338</v>
      </c>
      <c r="V76" s="72">
        <v>1244.738596448766</v>
      </c>
      <c r="W76" s="72">
        <v>450.87798780335771</v>
      </c>
      <c r="X76" s="72">
        <v>570.68020249689664</v>
      </c>
      <c r="Y76" s="72">
        <v>7690.5388382098445</v>
      </c>
      <c r="Z76" s="72">
        <v>1064.8449563491429</v>
      </c>
      <c r="AA76" s="72">
        <v>662.34246885834796</v>
      </c>
      <c r="AB76" s="72">
        <v>305.92468520032457</v>
      </c>
      <c r="AC76" s="72">
        <v>86.156266229152848</v>
      </c>
      <c r="AD76" s="72">
        <v>50.44115128769166</v>
      </c>
      <c r="AE76" s="72">
        <v>464.38072297904057</v>
      </c>
      <c r="AF76" s="72">
        <v>138.73738814495013</v>
      </c>
      <c r="AG76" s="72">
        <v>187.70294619596086</v>
      </c>
      <c r="AH76" s="72">
        <v>272.30339825587373</v>
      </c>
      <c r="AI76" s="72">
        <v>28545.842532512066</v>
      </c>
      <c r="AJ76" s="72">
        <v>5343.703195056919</v>
      </c>
      <c r="AK76" s="72">
        <v>1030.5982605095414</v>
      </c>
      <c r="AL76" s="72">
        <v>3611.2465175331536</v>
      </c>
      <c r="AM76" s="72">
        <v>10262.659425355138</v>
      </c>
      <c r="AN76" s="72">
        <v>2800.1215448450112</v>
      </c>
      <c r="AO76" s="72">
        <v>6072.0872238257834</v>
      </c>
      <c r="AP76" s="72">
        <v>8209.7250056984831</v>
      </c>
      <c r="AQ76" s="72">
        <v>215.21283955080824</v>
      </c>
      <c r="AR76" s="72">
        <v>151.12923996665481</v>
      </c>
      <c r="AS76" s="72">
        <v>4785.1242066464929</v>
      </c>
      <c r="AT76" s="72">
        <v>1957.1344304823683</v>
      </c>
      <c r="AU76" s="72">
        <v>858.29850162144066</v>
      </c>
      <c r="AV76" s="72">
        <v>1503.1441948334568</v>
      </c>
      <c r="AW76" s="72">
        <v>2414.2055545022549</v>
      </c>
      <c r="AX76" s="72">
        <v>7070.3219757908028</v>
      </c>
      <c r="AY76" s="72">
        <v>208.22548333126085</v>
      </c>
      <c r="AZ76" s="72">
        <v>433.400661710706</v>
      </c>
      <c r="BA76" s="72">
        <v>151.44956026389207</v>
      </c>
      <c r="BB76" s="72">
        <v>1938.3374301388769</v>
      </c>
      <c r="BC76" s="72">
        <v>13745.489468993768</v>
      </c>
      <c r="BD76" s="72">
        <v>2756.2604025858604</v>
      </c>
      <c r="BE76" s="72">
        <v>6011.8875058327421</v>
      </c>
      <c r="BF76" s="72">
        <v>2087.4941716319049</v>
      </c>
      <c r="BG76" s="72">
        <v>190.20215615709381</v>
      </c>
      <c r="BH76" s="72">
        <v>1089.893549494747</v>
      </c>
      <c r="BI76" s="72">
        <v>82.754602421147396</v>
      </c>
      <c r="BJ76" s="72">
        <v>3401.6819907976233</v>
      </c>
      <c r="BK76" s="72">
        <v>0</v>
      </c>
      <c r="BL76" s="72">
        <v>0</v>
      </c>
      <c r="BM76" s="72">
        <v>0</v>
      </c>
      <c r="BN76" s="72">
        <v>0</v>
      </c>
      <c r="BO76" s="72">
        <v>0</v>
      </c>
      <c r="BP76" s="72">
        <v>0</v>
      </c>
      <c r="BQ76" s="72">
        <v>0</v>
      </c>
      <c r="BR76" s="72">
        <v>0</v>
      </c>
      <c r="BS76" s="72">
        <v>0</v>
      </c>
      <c r="BT76" s="72">
        <v>0</v>
      </c>
      <c r="BU76" s="72">
        <v>0</v>
      </c>
      <c r="BV76" s="72">
        <v>0</v>
      </c>
      <c r="BW76" s="72">
        <v>0</v>
      </c>
      <c r="BX76" s="72">
        <v>0</v>
      </c>
      <c r="BY76" s="72">
        <v>0</v>
      </c>
      <c r="BZ76" s="72">
        <v>0</v>
      </c>
      <c r="CA76" s="72">
        <v>0</v>
      </c>
      <c r="CB76" s="72">
        <v>0</v>
      </c>
      <c r="CC76" s="72">
        <v>0</v>
      </c>
      <c r="CD76" s="72">
        <v>0</v>
      </c>
      <c r="CE76" s="72">
        <v>0</v>
      </c>
      <c r="CF76" s="72">
        <v>0</v>
      </c>
      <c r="CG76" s="72">
        <v>0</v>
      </c>
      <c r="CH76" s="72">
        <v>0</v>
      </c>
      <c r="CI76" s="72">
        <v>0</v>
      </c>
      <c r="CJ76" s="72">
        <v>0</v>
      </c>
      <c r="CK76" s="72">
        <v>0</v>
      </c>
      <c r="CL76" s="72">
        <v>0</v>
      </c>
      <c r="CM76" s="72">
        <v>0</v>
      </c>
      <c r="CN76" s="72">
        <v>0</v>
      </c>
      <c r="CO76" s="72">
        <v>0</v>
      </c>
      <c r="CP76" s="72">
        <v>0</v>
      </c>
      <c r="CQ76" s="72">
        <v>0</v>
      </c>
      <c r="CR76" s="72">
        <v>0</v>
      </c>
      <c r="CS76" s="72">
        <v>0</v>
      </c>
      <c r="CT76" s="72">
        <v>0</v>
      </c>
      <c r="CU76" s="72">
        <v>0</v>
      </c>
      <c r="CV76" s="72">
        <v>0</v>
      </c>
      <c r="CW76" s="72">
        <v>0</v>
      </c>
      <c r="CX76" s="72">
        <v>0</v>
      </c>
      <c r="CY76" s="72">
        <v>0</v>
      </c>
      <c r="CZ76" s="72">
        <v>0</v>
      </c>
      <c r="DA76" s="72">
        <v>0</v>
      </c>
      <c r="DB76" s="72">
        <v>0</v>
      </c>
      <c r="DC76" s="72">
        <v>0</v>
      </c>
      <c r="DD76" s="72">
        <v>0</v>
      </c>
      <c r="DE76" s="72">
        <v>0</v>
      </c>
      <c r="DF76" s="72">
        <v>0</v>
      </c>
      <c r="DG76" s="72">
        <v>0</v>
      </c>
      <c r="DH76" s="72">
        <v>0</v>
      </c>
      <c r="DI76" s="72">
        <v>0</v>
      </c>
      <c r="DJ76" s="72">
        <v>0</v>
      </c>
      <c r="DK76" s="72">
        <v>0</v>
      </c>
      <c r="DL76" s="72">
        <v>0</v>
      </c>
      <c r="DM76" s="72">
        <v>0</v>
      </c>
      <c r="DN76" s="72">
        <v>0</v>
      </c>
      <c r="DO76" s="72">
        <v>0</v>
      </c>
      <c r="DP76" s="72">
        <v>0</v>
      </c>
      <c r="DQ76" s="72">
        <v>0</v>
      </c>
      <c r="DR76" s="72">
        <v>0</v>
      </c>
      <c r="DS76" s="72">
        <v>0</v>
      </c>
      <c r="DT76" s="72">
        <v>0</v>
      </c>
      <c r="DU76" s="72">
        <v>0</v>
      </c>
      <c r="DV76" s="72">
        <v>0</v>
      </c>
      <c r="DW76" s="72">
        <v>0</v>
      </c>
      <c r="DX76" s="72">
        <v>0</v>
      </c>
      <c r="DY76" s="72">
        <v>0</v>
      </c>
      <c r="DZ76" s="72">
        <v>0</v>
      </c>
      <c r="EA76" s="72">
        <v>0</v>
      </c>
      <c r="EB76" s="72">
        <v>0</v>
      </c>
      <c r="EC76" s="72">
        <v>0</v>
      </c>
      <c r="ED76" s="72">
        <v>0</v>
      </c>
      <c r="EE76" s="72">
        <v>0</v>
      </c>
      <c r="EF76" s="72">
        <v>0</v>
      </c>
      <c r="EG76" s="72">
        <v>0</v>
      </c>
      <c r="EH76" s="72">
        <v>0</v>
      </c>
      <c r="EI76" s="72">
        <v>0</v>
      </c>
      <c r="EJ76" s="72">
        <v>0</v>
      </c>
      <c r="EK76" s="72">
        <v>0</v>
      </c>
      <c r="EL76" s="72">
        <v>0</v>
      </c>
      <c r="EM76" s="72">
        <v>0</v>
      </c>
      <c r="EN76" s="72">
        <v>0</v>
      </c>
      <c r="EO76" s="72">
        <v>0</v>
      </c>
      <c r="EP76" s="72">
        <v>0</v>
      </c>
      <c r="EQ76" s="72">
        <v>0</v>
      </c>
      <c r="ER76" s="72">
        <v>0</v>
      </c>
      <c r="ES76" s="72">
        <v>0</v>
      </c>
      <c r="ET76" s="72">
        <v>0</v>
      </c>
      <c r="EU76" s="72">
        <v>0</v>
      </c>
      <c r="EV76" s="72">
        <v>0</v>
      </c>
      <c r="EW76" s="72">
        <v>0</v>
      </c>
      <c r="EX76" s="72">
        <v>0</v>
      </c>
      <c r="EY76" s="72">
        <v>0</v>
      </c>
      <c r="EZ76" s="72">
        <v>0</v>
      </c>
      <c r="FA76" s="72">
        <v>0</v>
      </c>
      <c r="FB76" s="72">
        <v>0</v>
      </c>
      <c r="FC76" s="72">
        <v>0</v>
      </c>
      <c r="FD76" s="72">
        <v>0</v>
      </c>
      <c r="FE76" s="72">
        <v>0</v>
      </c>
      <c r="FF76" s="72">
        <v>0</v>
      </c>
      <c r="FG76" s="72">
        <v>0</v>
      </c>
      <c r="FH76" s="72">
        <v>0</v>
      </c>
      <c r="FI76" s="72">
        <v>0</v>
      </c>
      <c r="FJ76" s="72">
        <v>0</v>
      </c>
      <c r="FK76" s="72">
        <v>0</v>
      </c>
      <c r="FL76" s="72">
        <v>0</v>
      </c>
      <c r="FM76" s="72">
        <v>0</v>
      </c>
      <c r="FN76" s="72">
        <v>0</v>
      </c>
      <c r="FO76" s="72">
        <v>0</v>
      </c>
      <c r="FP76" s="72">
        <v>0</v>
      </c>
      <c r="FQ76" s="72">
        <v>0</v>
      </c>
      <c r="FR76" s="72">
        <v>0</v>
      </c>
      <c r="FS76" s="72">
        <v>0</v>
      </c>
      <c r="FT76" s="72">
        <v>0</v>
      </c>
      <c r="FU76" s="72">
        <v>0</v>
      </c>
      <c r="FV76" s="74">
        <v>3066.4609955385508</v>
      </c>
      <c r="FW76" s="74">
        <v>3805.0852170762382</v>
      </c>
      <c r="FX76" s="74">
        <v>4455.4339188096765</v>
      </c>
      <c r="FY76" s="74">
        <v>5317.3039870727889</v>
      </c>
      <c r="FZ76" s="74">
        <v>6361.4883512269453</v>
      </c>
      <c r="GA76" s="74">
        <v>7557.849012771082</v>
      </c>
      <c r="GB76" s="74">
        <v>8770.669431448865</v>
      </c>
      <c r="GC76" s="74">
        <v>12991.789692135102</v>
      </c>
      <c r="GD76" s="74">
        <v>18451.435286868247</v>
      </c>
      <c r="GE76" s="74">
        <v>4588.7335043803823</v>
      </c>
      <c r="GF76" s="74">
        <v>4651.1059345433841</v>
      </c>
      <c r="GG76" s="74">
        <v>4979.7896301607016</v>
      </c>
      <c r="GH76" s="74">
        <v>6077.7150028017977</v>
      </c>
      <c r="GI76" s="74">
        <v>7170.9955017642587</v>
      </c>
      <c r="GJ76" s="72">
        <v>0</v>
      </c>
      <c r="GK76" s="72">
        <v>0</v>
      </c>
      <c r="GL76" s="72">
        <v>0</v>
      </c>
      <c r="GM76" s="72">
        <v>0</v>
      </c>
      <c r="GN76" s="72">
        <v>0</v>
      </c>
      <c r="GO76" s="72">
        <v>0</v>
      </c>
      <c r="GP76" s="72">
        <v>0</v>
      </c>
      <c r="GQ76" s="72">
        <v>11014.48142380955</v>
      </c>
      <c r="GR76" s="72">
        <f t="shared" si="1"/>
        <v>295471.90797732805</v>
      </c>
      <c r="GS76" s="72">
        <f>SUM(BU$5:BU$202)</f>
        <v>295471.90797732788</v>
      </c>
      <c r="GT76" s="73">
        <v>0</v>
      </c>
    </row>
    <row r="77" spans="1:202" outlineLevel="1" x14ac:dyDescent="0.2">
      <c r="A77" s="66" t="s">
        <v>686</v>
      </c>
      <c r="B77" s="72">
        <v>1039.4964054139787</v>
      </c>
      <c r="C77" s="72">
        <v>0</v>
      </c>
      <c r="D77" s="72">
        <v>12.641636941559939</v>
      </c>
      <c r="E77" s="72">
        <v>219.70551681665643</v>
      </c>
      <c r="F77" s="72">
        <v>886.02855880674849</v>
      </c>
      <c r="G77" s="72">
        <v>932.55771497301498</v>
      </c>
      <c r="H77" s="72">
        <v>470.87271832988978</v>
      </c>
      <c r="I77" s="72">
        <v>762.64648730800911</v>
      </c>
      <c r="J77" s="72">
        <v>1531.8219095953452</v>
      </c>
      <c r="K77" s="72">
        <v>66.471368523031671</v>
      </c>
      <c r="L77" s="72">
        <v>44.468903063173443</v>
      </c>
      <c r="M77" s="72">
        <v>11.642473436254839</v>
      </c>
      <c r="N77" s="72">
        <v>10.04909096699474</v>
      </c>
      <c r="O77" s="72">
        <v>127.94969676583365</v>
      </c>
      <c r="P77" s="72">
        <v>113.89410130737264</v>
      </c>
      <c r="Q77" s="72">
        <v>74.03180114540605</v>
      </c>
      <c r="R77" s="72">
        <v>301.61089566236234</v>
      </c>
      <c r="S77" s="72">
        <v>601.1222617052822</v>
      </c>
      <c r="T77" s="72">
        <v>340.42708450414466</v>
      </c>
      <c r="U77" s="72">
        <v>57.910085812203981</v>
      </c>
      <c r="V77" s="72">
        <v>233.67642101826331</v>
      </c>
      <c r="W77" s="72">
        <v>80.105410203221126</v>
      </c>
      <c r="X77" s="72">
        <v>105.62906330972193</v>
      </c>
      <c r="Y77" s="72">
        <v>1053.2262097522093</v>
      </c>
      <c r="Z77" s="72">
        <v>181.59546717122939</v>
      </c>
      <c r="AA77" s="72">
        <v>113.73538021851871</v>
      </c>
      <c r="AB77" s="72">
        <v>50.590807529279338</v>
      </c>
      <c r="AC77" s="72">
        <v>15.07316407711536</v>
      </c>
      <c r="AD77" s="72">
        <v>8.6683628239410826</v>
      </c>
      <c r="AE77" s="72">
        <v>70.845260226688396</v>
      </c>
      <c r="AF77" s="72">
        <v>24.128352775921197</v>
      </c>
      <c r="AG77" s="72">
        <v>33.31472946039068</v>
      </c>
      <c r="AH77" s="72">
        <v>43.518660920152868</v>
      </c>
      <c r="AI77" s="72">
        <v>2744.9424120906028</v>
      </c>
      <c r="AJ77" s="72">
        <v>2008.6482850146474</v>
      </c>
      <c r="AK77" s="72">
        <v>187.00336183737645</v>
      </c>
      <c r="AL77" s="72">
        <v>600.42380739262001</v>
      </c>
      <c r="AM77" s="72">
        <v>1742.4095307437813</v>
      </c>
      <c r="AN77" s="72">
        <v>468.42636181727971</v>
      </c>
      <c r="AO77" s="72">
        <v>974.18146899360454</v>
      </c>
      <c r="AP77" s="72">
        <v>1310.470459342881</v>
      </c>
      <c r="AQ77" s="72">
        <v>34.959547244929716</v>
      </c>
      <c r="AR77" s="72">
        <v>27.504881661412568</v>
      </c>
      <c r="AS77" s="72">
        <v>1099.3650432195871</v>
      </c>
      <c r="AT77" s="72">
        <v>340.16315454489836</v>
      </c>
      <c r="AU77" s="72">
        <v>45.253380402713837</v>
      </c>
      <c r="AV77" s="72">
        <v>167.40181698223671</v>
      </c>
      <c r="AW77" s="72">
        <v>337.86092415925748</v>
      </c>
      <c r="AX77" s="72">
        <v>1137.2479332252374</v>
      </c>
      <c r="AY77" s="72">
        <v>33.768843425629612</v>
      </c>
      <c r="AZ77" s="72">
        <v>71.070783609790553</v>
      </c>
      <c r="BA77" s="72">
        <v>24.593676655373731</v>
      </c>
      <c r="BB77" s="72">
        <v>238.34720201416383</v>
      </c>
      <c r="BC77" s="72">
        <v>2305.6552745553599</v>
      </c>
      <c r="BD77" s="72">
        <v>272.57116535949154</v>
      </c>
      <c r="BE77" s="72">
        <v>1111.6037683083584</v>
      </c>
      <c r="BF77" s="72">
        <v>433.00830845443159</v>
      </c>
      <c r="BG77" s="72">
        <v>31.366858881330479</v>
      </c>
      <c r="BH77" s="72">
        <v>208.78232353737044</v>
      </c>
      <c r="BI77" s="72">
        <v>14.06184237912767</v>
      </c>
      <c r="BJ77" s="72">
        <v>486.22039583974686</v>
      </c>
      <c r="BK77" s="72">
        <v>0</v>
      </c>
      <c r="BL77" s="72">
        <v>0</v>
      </c>
      <c r="BM77" s="72">
        <v>0</v>
      </c>
      <c r="BN77" s="72">
        <v>0</v>
      </c>
      <c r="BO77" s="72">
        <v>0</v>
      </c>
      <c r="BP77" s="72">
        <v>0</v>
      </c>
      <c r="BQ77" s="72">
        <v>0</v>
      </c>
      <c r="BR77" s="72">
        <v>0</v>
      </c>
      <c r="BS77" s="72">
        <v>0</v>
      </c>
      <c r="BT77" s="72">
        <v>0</v>
      </c>
      <c r="BU77" s="72">
        <v>0</v>
      </c>
      <c r="BV77" s="72">
        <v>0</v>
      </c>
      <c r="BW77" s="72">
        <v>0</v>
      </c>
      <c r="BX77" s="72">
        <v>0</v>
      </c>
      <c r="BY77" s="72">
        <v>0</v>
      </c>
      <c r="BZ77" s="72">
        <v>0</v>
      </c>
      <c r="CA77" s="72">
        <v>0</v>
      </c>
      <c r="CB77" s="72">
        <v>0</v>
      </c>
      <c r="CC77" s="72">
        <v>0</v>
      </c>
      <c r="CD77" s="72">
        <v>0</v>
      </c>
      <c r="CE77" s="72">
        <v>0</v>
      </c>
      <c r="CF77" s="72">
        <v>0</v>
      </c>
      <c r="CG77" s="72">
        <v>0</v>
      </c>
      <c r="CH77" s="72">
        <v>0</v>
      </c>
      <c r="CI77" s="72">
        <v>0</v>
      </c>
      <c r="CJ77" s="72">
        <v>0</v>
      </c>
      <c r="CK77" s="72">
        <v>0</v>
      </c>
      <c r="CL77" s="72">
        <v>0</v>
      </c>
      <c r="CM77" s="72">
        <v>0</v>
      </c>
      <c r="CN77" s="72">
        <v>0</v>
      </c>
      <c r="CO77" s="72">
        <v>0</v>
      </c>
      <c r="CP77" s="72">
        <v>0</v>
      </c>
      <c r="CQ77" s="72">
        <v>0</v>
      </c>
      <c r="CR77" s="72">
        <v>0</v>
      </c>
      <c r="CS77" s="72">
        <v>0</v>
      </c>
      <c r="CT77" s="72">
        <v>0</v>
      </c>
      <c r="CU77" s="72">
        <v>0</v>
      </c>
      <c r="CV77" s="72">
        <v>0</v>
      </c>
      <c r="CW77" s="72">
        <v>0</v>
      </c>
      <c r="CX77" s="72">
        <v>0</v>
      </c>
      <c r="CY77" s="72">
        <v>0</v>
      </c>
      <c r="CZ77" s="72">
        <v>0</v>
      </c>
      <c r="DA77" s="72">
        <v>0</v>
      </c>
      <c r="DB77" s="72">
        <v>0</v>
      </c>
      <c r="DC77" s="72">
        <v>0</v>
      </c>
      <c r="DD77" s="72">
        <v>0</v>
      </c>
      <c r="DE77" s="72">
        <v>0</v>
      </c>
      <c r="DF77" s="72">
        <v>0</v>
      </c>
      <c r="DG77" s="72">
        <v>0</v>
      </c>
      <c r="DH77" s="72">
        <v>0</v>
      </c>
      <c r="DI77" s="72">
        <v>0</v>
      </c>
      <c r="DJ77" s="72">
        <v>0</v>
      </c>
      <c r="DK77" s="72">
        <v>0</v>
      </c>
      <c r="DL77" s="72">
        <v>0</v>
      </c>
      <c r="DM77" s="72">
        <v>0</v>
      </c>
      <c r="DN77" s="72">
        <v>0</v>
      </c>
      <c r="DO77" s="72">
        <v>0</v>
      </c>
      <c r="DP77" s="72">
        <v>0</v>
      </c>
      <c r="DQ77" s="72">
        <v>0</v>
      </c>
      <c r="DR77" s="72">
        <v>0</v>
      </c>
      <c r="DS77" s="72">
        <v>0</v>
      </c>
      <c r="DT77" s="72">
        <v>0</v>
      </c>
      <c r="DU77" s="72">
        <v>0</v>
      </c>
      <c r="DV77" s="72">
        <v>0</v>
      </c>
      <c r="DW77" s="72">
        <v>0</v>
      </c>
      <c r="DX77" s="72">
        <v>0</v>
      </c>
      <c r="DY77" s="72">
        <v>0</v>
      </c>
      <c r="DZ77" s="72">
        <v>0</v>
      </c>
      <c r="EA77" s="72">
        <v>0</v>
      </c>
      <c r="EB77" s="72">
        <v>0</v>
      </c>
      <c r="EC77" s="72">
        <v>0</v>
      </c>
      <c r="ED77" s="72">
        <v>0</v>
      </c>
      <c r="EE77" s="72">
        <v>0</v>
      </c>
      <c r="EF77" s="72">
        <v>0</v>
      </c>
      <c r="EG77" s="72">
        <v>0</v>
      </c>
      <c r="EH77" s="72">
        <v>0</v>
      </c>
      <c r="EI77" s="72">
        <v>0</v>
      </c>
      <c r="EJ77" s="72">
        <v>0</v>
      </c>
      <c r="EK77" s="72">
        <v>0</v>
      </c>
      <c r="EL77" s="72">
        <v>0</v>
      </c>
      <c r="EM77" s="72">
        <v>0</v>
      </c>
      <c r="EN77" s="72">
        <v>0</v>
      </c>
      <c r="EO77" s="72">
        <v>0</v>
      </c>
      <c r="EP77" s="72">
        <v>0</v>
      </c>
      <c r="EQ77" s="72">
        <v>0</v>
      </c>
      <c r="ER77" s="72">
        <v>0</v>
      </c>
      <c r="ES77" s="72">
        <v>0</v>
      </c>
      <c r="ET77" s="72">
        <v>0</v>
      </c>
      <c r="EU77" s="72">
        <v>0</v>
      </c>
      <c r="EV77" s="72">
        <v>0</v>
      </c>
      <c r="EW77" s="72">
        <v>0</v>
      </c>
      <c r="EX77" s="72">
        <v>0</v>
      </c>
      <c r="EY77" s="72">
        <v>0</v>
      </c>
      <c r="EZ77" s="72">
        <v>0</v>
      </c>
      <c r="FA77" s="72">
        <v>0</v>
      </c>
      <c r="FB77" s="72">
        <v>0</v>
      </c>
      <c r="FC77" s="72">
        <v>0</v>
      </c>
      <c r="FD77" s="72">
        <v>0</v>
      </c>
      <c r="FE77" s="72">
        <v>0</v>
      </c>
      <c r="FF77" s="72">
        <v>0</v>
      </c>
      <c r="FG77" s="72">
        <v>0</v>
      </c>
      <c r="FH77" s="72">
        <v>0</v>
      </c>
      <c r="FI77" s="72">
        <v>0</v>
      </c>
      <c r="FJ77" s="72">
        <v>0</v>
      </c>
      <c r="FK77" s="72">
        <v>0</v>
      </c>
      <c r="FL77" s="72">
        <v>0</v>
      </c>
      <c r="FM77" s="72">
        <v>0</v>
      </c>
      <c r="FN77" s="72">
        <v>0</v>
      </c>
      <c r="FO77" s="72">
        <v>0</v>
      </c>
      <c r="FP77" s="72">
        <v>0</v>
      </c>
      <c r="FQ77" s="72">
        <v>0</v>
      </c>
      <c r="FR77" s="72">
        <v>0</v>
      </c>
      <c r="FS77" s="72">
        <v>0</v>
      </c>
      <c r="FT77" s="72">
        <v>0</v>
      </c>
      <c r="FU77" s="72">
        <v>0</v>
      </c>
      <c r="FV77" s="74">
        <v>333.04547746152343</v>
      </c>
      <c r="FW77" s="74">
        <v>844.19381027136649</v>
      </c>
      <c r="FX77" s="74">
        <v>829.28786707067411</v>
      </c>
      <c r="FY77" s="74">
        <v>1339.260836708984</v>
      </c>
      <c r="FZ77" s="74">
        <v>2042.3650173602982</v>
      </c>
      <c r="GA77" s="74">
        <v>2321.4788271119069</v>
      </c>
      <c r="GB77" s="74">
        <v>2788.5857809469485</v>
      </c>
      <c r="GC77" s="74">
        <v>5280.7058364585801</v>
      </c>
      <c r="GD77" s="74">
        <v>8467.840880112346</v>
      </c>
      <c r="GE77" s="74">
        <v>2570.3004809656154</v>
      </c>
      <c r="GF77" s="74">
        <v>2040.3025848537286</v>
      </c>
      <c r="GG77" s="74">
        <v>2469.1265697030935</v>
      </c>
      <c r="GH77" s="74">
        <v>2634.237940486717</v>
      </c>
      <c r="GI77" s="74">
        <v>3128.1030728163632</v>
      </c>
      <c r="GJ77" s="72">
        <v>0</v>
      </c>
      <c r="GK77" s="72">
        <v>0</v>
      </c>
      <c r="GL77" s="72">
        <v>0</v>
      </c>
      <c r="GM77" s="72">
        <v>0</v>
      </c>
      <c r="GN77" s="72">
        <v>0</v>
      </c>
      <c r="GO77" s="72">
        <v>0</v>
      </c>
      <c r="GP77" s="72">
        <v>255.39736363591408</v>
      </c>
      <c r="GQ77" s="72">
        <v>0</v>
      </c>
      <c r="GR77" s="72">
        <f t="shared" si="1"/>
        <v>65421.001158221203</v>
      </c>
      <c r="GS77" s="72">
        <f>SUM(BV$5:BV$202)</f>
        <v>65421.00115822121</v>
      </c>
      <c r="GT77" s="73">
        <v>0</v>
      </c>
    </row>
    <row r="78" spans="1:202" outlineLevel="1" x14ac:dyDescent="0.2">
      <c r="A78" s="66" t="s">
        <v>693</v>
      </c>
      <c r="B78" s="72">
        <v>1593.601498596347</v>
      </c>
      <c r="C78" s="72">
        <v>0</v>
      </c>
      <c r="D78" s="72">
        <v>0</v>
      </c>
      <c r="E78" s="72">
        <v>0</v>
      </c>
      <c r="F78" s="72">
        <v>0</v>
      </c>
      <c r="G78" s="72">
        <v>0</v>
      </c>
      <c r="H78" s="72">
        <v>0</v>
      </c>
      <c r="I78" s="72">
        <v>15295.323039978684</v>
      </c>
      <c r="J78" s="72">
        <v>3.3031857602099701</v>
      </c>
      <c r="K78" s="72">
        <v>0</v>
      </c>
      <c r="L78" s="72">
        <v>0</v>
      </c>
      <c r="M78" s="72">
        <v>0</v>
      </c>
      <c r="N78" s="72">
        <v>0</v>
      </c>
      <c r="O78" s="72">
        <v>0</v>
      </c>
      <c r="P78" s="72">
        <v>0</v>
      </c>
      <c r="Q78" s="72">
        <v>33.14215832343335</v>
      </c>
      <c r="R78" s="72">
        <v>0</v>
      </c>
      <c r="S78" s="72">
        <v>26.600009253977881</v>
      </c>
      <c r="T78" s="72">
        <v>28.444774384421095</v>
      </c>
      <c r="U78" s="72">
        <v>0</v>
      </c>
      <c r="V78" s="72">
        <v>0</v>
      </c>
      <c r="W78" s="72">
        <v>0</v>
      </c>
      <c r="X78" s="72">
        <v>0</v>
      </c>
      <c r="Y78" s="72">
        <v>0</v>
      </c>
      <c r="Z78" s="72">
        <v>0</v>
      </c>
      <c r="AA78" s="72">
        <v>0</v>
      </c>
      <c r="AB78" s="72">
        <v>0</v>
      </c>
      <c r="AC78" s="72">
        <v>0</v>
      </c>
      <c r="AD78" s="72">
        <v>0</v>
      </c>
      <c r="AE78" s="72">
        <v>0</v>
      </c>
      <c r="AF78" s="72">
        <v>0</v>
      </c>
      <c r="AG78" s="72">
        <v>0</v>
      </c>
      <c r="AH78" s="72">
        <v>66.043904954466058</v>
      </c>
      <c r="AI78" s="72">
        <v>35.255134613094064</v>
      </c>
      <c r="AJ78" s="72">
        <v>40.082518028518855</v>
      </c>
      <c r="AK78" s="72">
        <v>0</v>
      </c>
      <c r="AL78" s="72">
        <v>0</v>
      </c>
      <c r="AM78" s="72">
        <v>0</v>
      </c>
      <c r="AN78" s="72">
        <v>0</v>
      </c>
      <c r="AO78" s="72">
        <v>7799.0127596524271</v>
      </c>
      <c r="AP78" s="72">
        <v>37.747448515079867</v>
      </c>
      <c r="AQ78" s="72">
        <v>38.525868196967295</v>
      </c>
      <c r="AR78" s="72">
        <v>80.632752644866741</v>
      </c>
      <c r="AS78" s="72">
        <v>0</v>
      </c>
      <c r="AT78" s="72">
        <v>0</v>
      </c>
      <c r="AU78" s="72">
        <v>0</v>
      </c>
      <c r="AV78" s="72">
        <v>0</v>
      </c>
      <c r="AW78" s="72">
        <v>0</v>
      </c>
      <c r="AX78" s="72">
        <v>0</v>
      </c>
      <c r="AY78" s="72">
        <v>0</v>
      </c>
      <c r="AZ78" s="72">
        <v>0</v>
      </c>
      <c r="BA78" s="72">
        <v>0</v>
      </c>
      <c r="BB78" s="72">
        <v>0</v>
      </c>
      <c r="BC78" s="72">
        <v>747.58662785269291</v>
      </c>
      <c r="BD78" s="72">
        <v>9.833285697448293</v>
      </c>
      <c r="BE78" s="72">
        <v>643.79548621952733</v>
      </c>
      <c r="BF78" s="72">
        <v>0</v>
      </c>
      <c r="BG78" s="72">
        <v>57.996534247214477</v>
      </c>
      <c r="BH78" s="72">
        <v>1167.7096099425085</v>
      </c>
      <c r="BI78" s="72">
        <v>0</v>
      </c>
      <c r="BJ78" s="72">
        <v>1994.7765036695048</v>
      </c>
      <c r="BK78" s="72">
        <v>0</v>
      </c>
      <c r="BL78" s="72">
        <v>0</v>
      </c>
      <c r="BM78" s="72">
        <v>0</v>
      </c>
      <c r="BN78" s="72">
        <v>0</v>
      </c>
      <c r="BO78" s="72">
        <v>0</v>
      </c>
      <c r="BP78" s="72">
        <v>0</v>
      </c>
      <c r="BQ78" s="72">
        <v>0</v>
      </c>
      <c r="BR78" s="72">
        <v>0</v>
      </c>
      <c r="BS78" s="72">
        <v>0</v>
      </c>
      <c r="BT78" s="72">
        <v>0</v>
      </c>
      <c r="BU78" s="72">
        <v>0</v>
      </c>
      <c r="BV78" s="72">
        <v>0</v>
      </c>
      <c r="BW78" s="72">
        <v>0</v>
      </c>
      <c r="BX78" s="72">
        <v>0</v>
      </c>
      <c r="BY78" s="72">
        <v>0</v>
      </c>
      <c r="BZ78" s="72">
        <v>0</v>
      </c>
      <c r="CA78" s="72">
        <v>0</v>
      </c>
      <c r="CB78" s="72">
        <v>0</v>
      </c>
      <c r="CC78" s="72">
        <v>0</v>
      </c>
      <c r="CD78" s="72">
        <v>0</v>
      </c>
      <c r="CE78" s="72">
        <v>0</v>
      </c>
      <c r="CF78" s="72">
        <v>0</v>
      </c>
      <c r="CG78" s="72">
        <v>0</v>
      </c>
      <c r="CH78" s="72">
        <v>0</v>
      </c>
      <c r="CI78" s="72">
        <v>0</v>
      </c>
      <c r="CJ78" s="72">
        <v>0</v>
      </c>
      <c r="CK78" s="72">
        <v>0</v>
      </c>
      <c r="CL78" s="72">
        <v>0</v>
      </c>
      <c r="CM78" s="72">
        <v>0</v>
      </c>
      <c r="CN78" s="72">
        <v>0</v>
      </c>
      <c r="CO78" s="72">
        <v>0</v>
      </c>
      <c r="CP78" s="72">
        <v>0</v>
      </c>
      <c r="CQ78" s="72">
        <v>0</v>
      </c>
      <c r="CR78" s="72">
        <v>0</v>
      </c>
      <c r="CS78" s="72">
        <v>0</v>
      </c>
      <c r="CT78" s="72">
        <v>0</v>
      </c>
      <c r="CU78" s="72">
        <v>0</v>
      </c>
      <c r="CV78" s="72">
        <v>0</v>
      </c>
      <c r="CW78" s="72">
        <v>0</v>
      </c>
      <c r="CX78" s="72">
        <v>0</v>
      </c>
      <c r="CY78" s="72">
        <v>0</v>
      </c>
      <c r="CZ78" s="72">
        <v>0</v>
      </c>
      <c r="DA78" s="72">
        <v>0</v>
      </c>
      <c r="DB78" s="72">
        <v>0</v>
      </c>
      <c r="DC78" s="72">
        <v>0</v>
      </c>
      <c r="DD78" s="72">
        <v>0</v>
      </c>
      <c r="DE78" s="72">
        <v>0</v>
      </c>
      <c r="DF78" s="72">
        <v>0</v>
      </c>
      <c r="DG78" s="72">
        <v>0</v>
      </c>
      <c r="DH78" s="72">
        <v>0</v>
      </c>
      <c r="DI78" s="72">
        <v>0</v>
      </c>
      <c r="DJ78" s="72">
        <v>0</v>
      </c>
      <c r="DK78" s="72">
        <v>0</v>
      </c>
      <c r="DL78" s="72">
        <v>0</v>
      </c>
      <c r="DM78" s="72">
        <v>0</v>
      </c>
      <c r="DN78" s="72">
        <v>0</v>
      </c>
      <c r="DO78" s="72">
        <v>0</v>
      </c>
      <c r="DP78" s="72">
        <v>0</v>
      </c>
      <c r="DQ78" s="72">
        <v>0</v>
      </c>
      <c r="DR78" s="72">
        <v>0</v>
      </c>
      <c r="DS78" s="72">
        <v>0</v>
      </c>
      <c r="DT78" s="72">
        <v>0</v>
      </c>
      <c r="DU78" s="72">
        <v>0</v>
      </c>
      <c r="DV78" s="72">
        <v>0</v>
      </c>
      <c r="DW78" s="72">
        <v>0</v>
      </c>
      <c r="DX78" s="72">
        <v>0</v>
      </c>
      <c r="DY78" s="72">
        <v>0</v>
      </c>
      <c r="DZ78" s="72">
        <v>0</v>
      </c>
      <c r="EA78" s="72">
        <v>0</v>
      </c>
      <c r="EB78" s="72">
        <v>0</v>
      </c>
      <c r="EC78" s="72">
        <v>0</v>
      </c>
      <c r="ED78" s="72">
        <v>0</v>
      </c>
      <c r="EE78" s="72">
        <v>0</v>
      </c>
      <c r="EF78" s="72">
        <v>0</v>
      </c>
      <c r="EG78" s="72">
        <v>0</v>
      </c>
      <c r="EH78" s="72">
        <v>0</v>
      </c>
      <c r="EI78" s="72">
        <v>0</v>
      </c>
      <c r="EJ78" s="72">
        <v>0</v>
      </c>
      <c r="EK78" s="72">
        <v>0</v>
      </c>
      <c r="EL78" s="72">
        <v>0</v>
      </c>
      <c r="EM78" s="72">
        <v>0</v>
      </c>
      <c r="EN78" s="72">
        <v>0</v>
      </c>
      <c r="EO78" s="72">
        <v>0</v>
      </c>
      <c r="EP78" s="72">
        <v>0</v>
      </c>
      <c r="EQ78" s="72">
        <v>0</v>
      </c>
      <c r="ER78" s="72">
        <v>0</v>
      </c>
      <c r="ES78" s="72">
        <v>0</v>
      </c>
      <c r="ET78" s="72">
        <v>0</v>
      </c>
      <c r="EU78" s="72">
        <v>0</v>
      </c>
      <c r="EV78" s="72">
        <v>0</v>
      </c>
      <c r="EW78" s="72">
        <v>0</v>
      </c>
      <c r="EX78" s="72">
        <v>0</v>
      </c>
      <c r="EY78" s="72">
        <v>0</v>
      </c>
      <c r="EZ78" s="72">
        <v>0</v>
      </c>
      <c r="FA78" s="72">
        <v>0</v>
      </c>
      <c r="FB78" s="72">
        <v>0</v>
      </c>
      <c r="FC78" s="72">
        <v>0</v>
      </c>
      <c r="FD78" s="72">
        <v>0</v>
      </c>
      <c r="FE78" s="72">
        <v>0</v>
      </c>
      <c r="FF78" s="72">
        <v>0</v>
      </c>
      <c r="FG78" s="72">
        <v>0</v>
      </c>
      <c r="FH78" s="72">
        <v>0</v>
      </c>
      <c r="FI78" s="72">
        <v>0</v>
      </c>
      <c r="FJ78" s="72">
        <v>0</v>
      </c>
      <c r="FK78" s="72">
        <v>0</v>
      </c>
      <c r="FL78" s="72">
        <v>0</v>
      </c>
      <c r="FM78" s="72">
        <v>0</v>
      </c>
      <c r="FN78" s="72">
        <v>0</v>
      </c>
      <c r="FO78" s="72">
        <v>0</v>
      </c>
      <c r="FP78" s="72">
        <v>0</v>
      </c>
      <c r="FQ78" s="72">
        <v>0</v>
      </c>
      <c r="FR78" s="72">
        <v>0</v>
      </c>
      <c r="FS78" s="72">
        <v>0</v>
      </c>
      <c r="FT78" s="72">
        <v>0</v>
      </c>
      <c r="FU78" s="72">
        <v>0</v>
      </c>
      <c r="FV78" s="74">
        <v>4554.83360825415</v>
      </c>
      <c r="FW78" s="74">
        <v>6625.753134401175</v>
      </c>
      <c r="FX78" s="74">
        <v>7825.1190519990041</v>
      </c>
      <c r="FY78" s="74">
        <v>8860.821740185138</v>
      </c>
      <c r="FZ78" s="74">
        <v>9670.5833510977063</v>
      </c>
      <c r="GA78" s="74">
        <v>10891.111168299552</v>
      </c>
      <c r="GB78" s="74">
        <v>10931.856125492492</v>
      </c>
      <c r="GC78" s="74">
        <v>14683.185549507707</v>
      </c>
      <c r="GD78" s="74">
        <v>16386.778764526625</v>
      </c>
      <c r="GE78" s="74">
        <v>4494.6174979349817</v>
      </c>
      <c r="GF78" s="74">
        <v>3517.0328803081634</v>
      </c>
      <c r="GG78" s="74">
        <v>3885.6934209036431</v>
      </c>
      <c r="GH78" s="74">
        <v>3721.2902852226898</v>
      </c>
      <c r="GI78" s="74">
        <v>4214.8885225823442</v>
      </c>
      <c r="GJ78" s="72">
        <v>0</v>
      </c>
      <c r="GK78" s="72">
        <v>0</v>
      </c>
      <c r="GL78" s="72">
        <v>0</v>
      </c>
      <c r="GM78" s="72">
        <v>0</v>
      </c>
      <c r="GN78" s="72">
        <v>0</v>
      </c>
      <c r="GO78" s="72">
        <v>0</v>
      </c>
      <c r="GP78" s="72">
        <v>106.03292878489601</v>
      </c>
      <c r="GQ78" s="72">
        <v>7914.434777076016</v>
      </c>
      <c r="GR78" s="72">
        <f t="shared" si="1"/>
        <v>147983.44590710764</v>
      </c>
      <c r="GS78" s="72">
        <f>SUM(BW$5:BW$202)</f>
        <v>147983.4459071077</v>
      </c>
      <c r="GT78" s="73">
        <v>0</v>
      </c>
    </row>
    <row r="79" spans="1:202" outlineLevel="1" x14ac:dyDescent="0.2">
      <c r="A79" s="66" t="s">
        <v>700</v>
      </c>
      <c r="B79" s="72">
        <v>2203.072268204985</v>
      </c>
      <c r="C79" s="72">
        <v>0</v>
      </c>
      <c r="D79" s="72">
        <v>0</v>
      </c>
      <c r="E79" s="72">
        <v>0</v>
      </c>
      <c r="F79" s="72">
        <v>0</v>
      </c>
      <c r="G79" s="72">
        <v>0</v>
      </c>
      <c r="H79" s="72">
        <v>0</v>
      </c>
      <c r="I79" s="72">
        <v>3259.3861906625784</v>
      </c>
      <c r="J79" s="72">
        <v>0</v>
      </c>
      <c r="K79" s="72">
        <v>0</v>
      </c>
      <c r="L79" s="72">
        <v>0</v>
      </c>
      <c r="M79" s="72">
        <v>0</v>
      </c>
      <c r="N79" s="72">
        <v>0</v>
      </c>
      <c r="O79" s="72">
        <v>0</v>
      </c>
      <c r="P79" s="72">
        <v>0</v>
      </c>
      <c r="Q79" s="72">
        <v>0</v>
      </c>
      <c r="R79" s="72">
        <v>0</v>
      </c>
      <c r="S79" s="72">
        <v>0</v>
      </c>
      <c r="T79" s="72">
        <v>0.49444583720830249</v>
      </c>
      <c r="U79" s="72">
        <v>0</v>
      </c>
      <c r="V79" s="72">
        <v>0</v>
      </c>
      <c r="W79" s="72">
        <v>0</v>
      </c>
      <c r="X79" s="72">
        <v>0</v>
      </c>
      <c r="Y79" s="72">
        <v>0</v>
      </c>
      <c r="Z79" s="72">
        <v>1030.7382033409153</v>
      </c>
      <c r="AA79" s="72">
        <v>0</v>
      </c>
      <c r="AB79" s="72">
        <v>0</v>
      </c>
      <c r="AC79" s="72">
        <v>0</v>
      </c>
      <c r="AD79" s="72">
        <v>0</v>
      </c>
      <c r="AE79" s="72">
        <v>0</v>
      </c>
      <c r="AF79" s="72">
        <v>0</v>
      </c>
      <c r="AG79" s="72">
        <v>0</v>
      </c>
      <c r="AH79" s="72">
        <v>0</v>
      </c>
      <c r="AI79" s="72">
        <v>15.526261270816523</v>
      </c>
      <c r="AJ79" s="72">
        <v>17.890407260270024</v>
      </c>
      <c r="AK79" s="72">
        <v>0</v>
      </c>
      <c r="AL79" s="72">
        <v>0</v>
      </c>
      <c r="AM79" s="72">
        <v>0</v>
      </c>
      <c r="AN79" s="72">
        <v>0</v>
      </c>
      <c r="AO79" s="72">
        <v>725.90185034597243</v>
      </c>
      <c r="AP79" s="72">
        <v>1.9771466700532074</v>
      </c>
      <c r="AQ79" s="72">
        <v>0</v>
      </c>
      <c r="AR79" s="72">
        <v>90.035287025227746</v>
      </c>
      <c r="AS79" s="72">
        <v>0</v>
      </c>
      <c r="AT79" s="72">
        <v>0</v>
      </c>
      <c r="AU79" s="72">
        <v>0</v>
      </c>
      <c r="AV79" s="72">
        <v>0</v>
      </c>
      <c r="AW79" s="72">
        <v>0</v>
      </c>
      <c r="AX79" s="72">
        <v>0</v>
      </c>
      <c r="AY79" s="72">
        <v>0</v>
      </c>
      <c r="AZ79" s="72">
        <v>0</v>
      </c>
      <c r="BA79" s="72">
        <v>0</v>
      </c>
      <c r="BB79" s="72">
        <v>0</v>
      </c>
      <c r="BC79" s="72">
        <v>122.6598236219112</v>
      </c>
      <c r="BD79" s="72">
        <v>9.8023528316088377</v>
      </c>
      <c r="BE79" s="72">
        <v>164.02939340685191</v>
      </c>
      <c r="BF79" s="72">
        <v>0</v>
      </c>
      <c r="BG79" s="72">
        <v>0</v>
      </c>
      <c r="BH79" s="72">
        <v>0</v>
      </c>
      <c r="BI79" s="72">
        <v>0</v>
      </c>
      <c r="BJ79" s="72">
        <v>3348.3912270123051</v>
      </c>
      <c r="BK79" s="72">
        <v>0</v>
      </c>
      <c r="BL79" s="72">
        <v>0</v>
      </c>
      <c r="BM79" s="72">
        <v>0</v>
      </c>
      <c r="BN79" s="72">
        <v>0</v>
      </c>
      <c r="BO79" s="72">
        <v>0</v>
      </c>
      <c r="BP79" s="72">
        <v>0</v>
      </c>
      <c r="BQ79" s="72">
        <v>0</v>
      </c>
      <c r="BR79" s="72">
        <v>0</v>
      </c>
      <c r="BS79" s="72">
        <v>0</v>
      </c>
      <c r="BT79" s="72">
        <v>0</v>
      </c>
      <c r="BU79" s="72">
        <v>0</v>
      </c>
      <c r="BV79" s="72">
        <v>0</v>
      </c>
      <c r="BW79" s="72">
        <v>0</v>
      </c>
      <c r="BX79" s="72">
        <v>0</v>
      </c>
      <c r="BY79" s="72">
        <v>0</v>
      </c>
      <c r="BZ79" s="72">
        <v>0</v>
      </c>
      <c r="CA79" s="72">
        <v>0</v>
      </c>
      <c r="CB79" s="72">
        <v>0</v>
      </c>
      <c r="CC79" s="72">
        <v>0</v>
      </c>
      <c r="CD79" s="72">
        <v>0</v>
      </c>
      <c r="CE79" s="72">
        <v>0</v>
      </c>
      <c r="CF79" s="72">
        <v>0</v>
      </c>
      <c r="CG79" s="72">
        <v>0</v>
      </c>
      <c r="CH79" s="72">
        <v>0</v>
      </c>
      <c r="CI79" s="72">
        <v>0</v>
      </c>
      <c r="CJ79" s="72">
        <v>0</v>
      </c>
      <c r="CK79" s="72">
        <v>0</v>
      </c>
      <c r="CL79" s="72">
        <v>0</v>
      </c>
      <c r="CM79" s="72">
        <v>0</v>
      </c>
      <c r="CN79" s="72">
        <v>0</v>
      </c>
      <c r="CO79" s="72">
        <v>0</v>
      </c>
      <c r="CP79" s="72">
        <v>0</v>
      </c>
      <c r="CQ79" s="72">
        <v>0</v>
      </c>
      <c r="CR79" s="72">
        <v>0</v>
      </c>
      <c r="CS79" s="72">
        <v>0</v>
      </c>
      <c r="CT79" s="72">
        <v>0</v>
      </c>
      <c r="CU79" s="72">
        <v>0</v>
      </c>
      <c r="CV79" s="72">
        <v>0</v>
      </c>
      <c r="CW79" s="72">
        <v>0</v>
      </c>
      <c r="CX79" s="72">
        <v>0</v>
      </c>
      <c r="CY79" s="72">
        <v>0</v>
      </c>
      <c r="CZ79" s="72">
        <v>0</v>
      </c>
      <c r="DA79" s="72">
        <v>0</v>
      </c>
      <c r="DB79" s="72">
        <v>0</v>
      </c>
      <c r="DC79" s="72">
        <v>0</v>
      </c>
      <c r="DD79" s="72">
        <v>0</v>
      </c>
      <c r="DE79" s="72">
        <v>0</v>
      </c>
      <c r="DF79" s="72">
        <v>0</v>
      </c>
      <c r="DG79" s="72">
        <v>0</v>
      </c>
      <c r="DH79" s="72">
        <v>0</v>
      </c>
      <c r="DI79" s="72">
        <v>0</v>
      </c>
      <c r="DJ79" s="72">
        <v>0</v>
      </c>
      <c r="DK79" s="72">
        <v>0</v>
      </c>
      <c r="DL79" s="72">
        <v>0</v>
      </c>
      <c r="DM79" s="72">
        <v>0</v>
      </c>
      <c r="DN79" s="72">
        <v>0</v>
      </c>
      <c r="DO79" s="72">
        <v>0</v>
      </c>
      <c r="DP79" s="72">
        <v>0</v>
      </c>
      <c r="DQ79" s="72">
        <v>0</v>
      </c>
      <c r="DR79" s="72">
        <v>0</v>
      </c>
      <c r="DS79" s="72">
        <v>0</v>
      </c>
      <c r="DT79" s="72">
        <v>0</v>
      </c>
      <c r="DU79" s="72">
        <v>0</v>
      </c>
      <c r="DV79" s="72">
        <v>0</v>
      </c>
      <c r="DW79" s="72">
        <v>0</v>
      </c>
      <c r="DX79" s="72">
        <v>0</v>
      </c>
      <c r="DY79" s="72">
        <v>0</v>
      </c>
      <c r="DZ79" s="72">
        <v>0</v>
      </c>
      <c r="EA79" s="72">
        <v>0</v>
      </c>
      <c r="EB79" s="72">
        <v>0</v>
      </c>
      <c r="EC79" s="72">
        <v>0</v>
      </c>
      <c r="ED79" s="72">
        <v>0</v>
      </c>
      <c r="EE79" s="72">
        <v>0</v>
      </c>
      <c r="EF79" s="72">
        <v>0</v>
      </c>
      <c r="EG79" s="72">
        <v>0</v>
      </c>
      <c r="EH79" s="72">
        <v>0</v>
      </c>
      <c r="EI79" s="72">
        <v>0</v>
      </c>
      <c r="EJ79" s="72">
        <v>0</v>
      </c>
      <c r="EK79" s="72">
        <v>0</v>
      </c>
      <c r="EL79" s="72">
        <v>0</v>
      </c>
      <c r="EM79" s="72">
        <v>0</v>
      </c>
      <c r="EN79" s="72">
        <v>0</v>
      </c>
      <c r="EO79" s="72">
        <v>0</v>
      </c>
      <c r="EP79" s="72">
        <v>0</v>
      </c>
      <c r="EQ79" s="72">
        <v>0</v>
      </c>
      <c r="ER79" s="72">
        <v>0</v>
      </c>
      <c r="ES79" s="72">
        <v>0</v>
      </c>
      <c r="ET79" s="72">
        <v>0</v>
      </c>
      <c r="EU79" s="72">
        <v>0</v>
      </c>
      <c r="EV79" s="72">
        <v>0</v>
      </c>
      <c r="EW79" s="72">
        <v>0</v>
      </c>
      <c r="EX79" s="72">
        <v>0</v>
      </c>
      <c r="EY79" s="72">
        <v>0</v>
      </c>
      <c r="EZ79" s="72">
        <v>0</v>
      </c>
      <c r="FA79" s="72">
        <v>0</v>
      </c>
      <c r="FB79" s="72">
        <v>0</v>
      </c>
      <c r="FC79" s="72">
        <v>0</v>
      </c>
      <c r="FD79" s="72">
        <v>0</v>
      </c>
      <c r="FE79" s="72">
        <v>0</v>
      </c>
      <c r="FF79" s="72">
        <v>0</v>
      </c>
      <c r="FG79" s="72">
        <v>0</v>
      </c>
      <c r="FH79" s="72">
        <v>0</v>
      </c>
      <c r="FI79" s="72">
        <v>0</v>
      </c>
      <c r="FJ79" s="72">
        <v>0</v>
      </c>
      <c r="FK79" s="72">
        <v>0</v>
      </c>
      <c r="FL79" s="72">
        <v>0</v>
      </c>
      <c r="FM79" s="72">
        <v>0</v>
      </c>
      <c r="FN79" s="72">
        <v>0</v>
      </c>
      <c r="FO79" s="72">
        <v>0</v>
      </c>
      <c r="FP79" s="72">
        <v>0</v>
      </c>
      <c r="FQ79" s="72">
        <v>0</v>
      </c>
      <c r="FR79" s="72">
        <v>0</v>
      </c>
      <c r="FS79" s="72">
        <v>0</v>
      </c>
      <c r="FT79" s="72">
        <v>0</v>
      </c>
      <c r="FU79" s="72">
        <v>0</v>
      </c>
      <c r="FV79" s="74">
        <v>719.07155005432026</v>
      </c>
      <c r="FW79" s="74">
        <v>831.30949959507359</v>
      </c>
      <c r="FX79" s="74">
        <v>940.80037056220488</v>
      </c>
      <c r="FY79" s="74">
        <v>935.03487473792518</v>
      </c>
      <c r="FZ79" s="74">
        <v>997.62677020328863</v>
      </c>
      <c r="GA79" s="74">
        <v>1224.8713584757636</v>
      </c>
      <c r="GB79" s="74">
        <v>1121.5227115633429</v>
      </c>
      <c r="GC79" s="74">
        <v>1327.9313113331655</v>
      </c>
      <c r="GD79" s="74">
        <v>1851.7198051452826</v>
      </c>
      <c r="GE79" s="74">
        <v>579.6476650191554</v>
      </c>
      <c r="GF79" s="74">
        <v>372.57969031909084</v>
      </c>
      <c r="GG79" s="74">
        <v>458.67808035811908</v>
      </c>
      <c r="GH79" s="74">
        <v>716.22863663911403</v>
      </c>
      <c r="GI79" s="74">
        <v>541.92158542315838</v>
      </c>
      <c r="GJ79" s="72">
        <v>0</v>
      </c>
      <c r="GK79" s="72">
        <v>0</v>
      </c>
      <c r="GL79" s="72">
        <v>0</v>
      </c>
      <c r="GM79" s="72">
        <v>0</v>
      </c>
      <c r="GN79" s="72">
        <v>0</v>
      </c>
      <c r="GO79" s="72">
        <v>0</v>
      </c>
      <c r="GP79" s="72">
        <v>927.58694142589343</v>
      </c>
      <c r="GQ79" s="72">
        <v>8230.4892095641335</v>
      </c>
      <c r="GR79" s="72">
        <f t="shared" si="1"/>
        <v>32766.924917909735</v>
      </c>
      <c r="GS79" s="72">
        <f>SUM(BX$5:BX$202)</f>
        <v>32766.924917909739</v>
      </c>
      <c r="GT79" s="73">
        <v>0</v>
      </c>
    </row>
    <row r="80" spans="1:202" outlineLevel="1" x14ac:dyDescent="0.2">
      <c r="A80" s="66" t="s">
        <v>704</v>
      </c>
      <c r="B80" s="72">
        <v>0</v>
      </c>
      <c r="C80" s="72">
        <v>0</v>
      </c>
      <c r="D80" s="72">
        <v>0</v>
      </c>
      <c r="E80" s="72">
        <v>0</v>
      </c>
      <c r="F80" s="72">
        <v>0</v>
      </c>
      <c r="G80" s="72">
        <v>0</v>
      </c>
      <c r="H80" s="72">
        <v>0</v>
      </c>
      <c r="I80" s="72">
        <v>1183.6274690288285</v>
      </c>
      <c r="J80" s="72">
        <v>0</v>
      </c>
      <c r="K80" s="72">
        <v>0</v>
      </c>
      <c r="L80" s="72">
        <v>0</v>
      </c>
      <c r="M80" s="72">
        <v>0</v>
      </c>
      <c r="N80" s="72">
        <v>0</v>
      </c>
      <c r="O80" s="72">
        <v>0</v>
      </c>
      <c r="P80" s="72">
        <v>0</v>
      </c>
      <c r="Q80" s="72">
        <v>0</v>
      </c>
      <c r="R80" s="72">
        <v>0</v>
      </c>
      <c r="S80" s="72">
        <v>0</v>
      </c>
      <c r="T80" s="72">
        <v>0</v>
      </c>
      <c r="U80" s="72">
        <v>0</v>
      </c>
      <c r="V80" s="72">
        <v>0</v>
      </c>
      <c r="W80" s="72">
        <v>0</v>
      </c>
      <c r="X80" s="72">
        <v>0</v>
      </c>
      <c r="Y80" s="72">
        <v>0</v>
      </c>
      <c r="Z80" s="72">
        <v>0</v>
      </c>
      <c r="AA80" s="72">
        <v>0</v>
      </c>
      <c r="AB80" s="72">
        <v>0</v>
      </c>
      <c r="AC80" s="72">
        <v>0</v>
      </c>
      <c r="AD80" s="72">
        <v>0</v>
      </c>
      <c r="AE80" s="72">
        <v>0</v>
      </c>
      <c r="AF80" s="72">
        <v>0</v>
      </c>
      <c r="AG80" s="72">
        <v>0</v>
      </c>
      <c r="AH80" s="72">
        <v>0</v>
      </c>
      <c r="AI80" s="72">
        <v>5.1624130317762056</v>
      </c>
      <c r="AJ80" s="72">
        <v>5.9690290194340108</v>
      </c>
      <c r="AK80" s="72">
        <v>0</v>
      </c>
      <c r="AL80" s="72">
        <v>0</v>
      </c>
      <c r="AM80" s="72">
        <v>0</v>
      </c>
      <c r="AN80" s="72">
        <v>0</v>
      </c>
      <c r="AO80" s="72">
        <v>2178.3004705572812</v>
      </c>
      <c r="AP80" s="72">
        <v>14.272606896808036</v>
      </c>
      <c r="AQ80" s="72">
        <v>0</v>
      </c>
      <c r="AR80" s="72">
        <v>28.031932940636281</v>
      </c>
      <c r="AS80" s="72">
        <v>0</v>
      </c>
      <c r="AT80" s="72">
        <v>0</v>
      </c>
      <c r="AU80" s="72">
        <v>0</v>
      </c>
      <c r="AV80" s="72">
        <v>0</v>
      </c>
      <c r="AW80" s="72">
        <v>0</v>
      </c>
      <c r="AX80" s="72">
        <v>0</v>
      </c>
      <c r="AY80" s="72">
        <v>0</v>
      </c>
      <c r="AZ80" s="72">
        <v>0</v>
      </c>
      <c r="BA80" s="72">
        <v>0</v>
      </c>
      <c r="BB80" s="72">
        <v>0</v>
      </c>
      <c r="BC80" s="72">
        <v>94.373241300435581</v>
      </c>
      <c r="BD80" s="72">
        <v>3.3497062416323575</v>
      </c>
      <c r="BE80" s="72">
        <v>357.00100855900052</v>
      </c>
      <c r="BF80" s="72">
        <v>0</v>
      </c>
      <c r="BG80" s="72">
        <v>21.416785858572553</v>
      </c>
      <c r="BH80" s="72">
        <v>426.44232697157088</v>
      </c>
      <c r="BI80" s="72">
        <v>0</v>
      </c>
      <c r="BJ80" s="72">
        <v>1021.7779509000187</v>
      </c>
      <c r="BK80" s="72">
        <v>0</v>
      </c>
      <c r="BL80" s="72">
        <v>0</v>
      </c>
      <c r="BM80" s="72">
        <v>0</v>
      </c>
      <c r="BN80" s="72">
        <v>0</v>
      </c>
      <c r="BO80" s="72">
        <v>0</v>
      </c>
      <c r="BP80" s="72">
        <v>0</v>
      </c>
      <c r="BQ80" s="72">
        <v>0</v>
      </c>
      <c r="BR80" s="72">
        <v>0</v>
      </c>
      <c r="BS80" s="72">
        <v>0</v>
      </c>
      <c r="BT80" s="72">
        <v>0</v>
      </c>
      <c r="BU80" s="72">
        <v>0</v>
      </c>
      <c r="BV80" s="72">
        <v>0</v>
      </c>
      <c r="BW80" s="72">
        <v>0</v>
      </c>
      <c r="BX80" s="72">
        <v>0</v>
      </c>
      <c r="BY80" s="72">
        <v>0</v>
      </c>
      <c r="BZ80" s="72">
        <v>0</v>
      </c>
      <c r="CA80" s="72">
        <v>0</v>
      </c>
      <c r="CB80" s="72">
        <v>0</v>
      </c>
      <c r="CC80" s="72">
        <v>0</v>
      </c>
      <c r="CD80" s="72">
        <v>0</v>
      </c>
      <c r="CE80" s="72">
        <v>0</v>
      </c>
      <c r="CF80" s="72">
        <v>0</v>
      </c>
      <c r="CG80" s="72">
        <v>0</v>
      </c>
      <c r="CH80" s="72">
        <v>0</v>
      </c>
      <c r="CI80" s="72">
        <v>0</v>
      </c>
      <c r="CJ80" s="72">
        <v>0</v>
      </c>
      <c r="CK80" s="72">
        <v>0</v>
      </c>
      <c r="CL80" s="72">
        <v>0</v>
      </c>
      <c r="CM80" s="72">
        <v>0</v>
      </c>
      <c r="CN80" s="72">
        <v>0</v>
      </c>
      <c r="CO80" s="72">
        <v>0</v>
      </c>
      <c r="CP80" s="72">
        <v>0</v>
      </c>
      <c r="CQ80" s="72">
        <v>0</v>
      </c>
      <c r="CR80" s="72">
        <v>0</v>
      </c>
      <c r="CS80" s="72">
        <v>0</v>
      </c>
      <c r="CT80" s="72">
        <v>0</v>
      </c>
      <c r="CU80" s="72">
        <v>0</v>
      </c>
      <c r="CV80" s="72">
        <v>0</v>
      </c>
      <c r="CW80" s="72">
        <v>0</v>
      </c>
      <c r="CX80" s="72">
        <v>0</v>
      </c>
      <c r="CY80" s="72">
        <v>0</v>
      </c>
      <c r="CZ80" s="72">
        <v>0</v>
      </c>
      <c r="DA80" s="72">
        <v>0</v>
      </c>
      <c r="DB80" s="72">
        <v>0</v>
      </c>
      <c r="DC80" s="72">
        <v>0</v>
      </c>
      <c r="DD80" s="72">
        <v>0</v>
      </c>
      <c r="DE80" s="72">
        <v>0</v>
      </c>
      <c r="DF80" s="72">
        <v>0</v>
      </c>
      <c r="DG80" s="72">
        <v>0</v>
      </c>
      <c r="DH80" s="72">
        <v>0</v>
      </c>
      <c r="DI80" s="72">
        <v>0</v>
      </c>
      <c r="DJ80" s="72">
        <v>0</v>
      </c>
      <c r="DK80" s="72">
        <v>0</v>
      </c>
      <c r="DL80" s="72">
        <v>0</v>
      </c>
      <c r="DM80" s="72">
        <v>0</v>
      </c>
      <c r="DN80" s="72">
        <v>0</v>
      </c>
      <c r="DO80" s="72">
        <v>0</v>
      </c>
      <c r="DP80" s="72">
        <v>0</v>
      </c>
      <c r="DQ80" s="72">
        <v>0</v>
      </c>
      <c r="DR80" s="72">
        <v>0</v>
      </c>
      <c r="DS80" s="72">
        <v>0</v>
      </c>
      <c r="DT80" s="72">
        <v>0</v>
      </c>
      <c r="DU80" s="72">
        <v>0</v>
      </c>
      <c r="DV80" s="72">
        <v>0</v>
      </c>
      <c r="DW80" s="72">
        <v>0</v>
      </c>
      <c r="DX80" s="72">
        <v>0</v>
      </c>
      <c r="DY80" s="72">
        <v>0</v>
      </c>
      <c r="DZ80" s="72">
        <v>0</v>
      </c>
      <c r="EA80" s="72">
        <v>0</v>
      </c>
      <c r="EB80" s="72">
        <v>0</v>
      </c>
      <c r="EC80" s="72">
        <v>0</v>
      </c>
      <c r="ED80" s="72">
        <v>0</v>
      </c>
      <c r="EE80" s="72">
        <v>0</v>
      </c>
      <c r="EF80" s="72">
        <v>0</v>
      </c>
      <c r="EG80" s="72">
        <v>0</v>
      </c>
      <c r="EH80" s="72">
        <v>0</v>
      </c>
      <c r="EI80" s="72">
        <v>0</v>
      </c>
      <c r="EJ80" s="72">
        <v>0</v>
      </c>
      <c r="EK80" s="72">
        <v>0</v>
      </c>
      <c r="EL80" s="72">
        <v>0</v>
      </c>
      <c r="EM80" s="72">
        <v>0</v>
      </c>
      <c r="EN80" s="72">
        <v>0</v>
      </c>
      <c r="EO80" s="72">
        <v>0</v>
      </c>
      <c r="EP80" s="72">
        <v>0</v>
      </c>
      <c r="EQ80" s="72">
        <v>0</v>
      </c>
      <c r="ER80" s="72">
        <v>0</v>
      </c>
      <c r="ES80" s="72">
        <v>0</v>
      </c>
      <c r="ET80" s="72">
        <v>0</v>
      </c>
      <c r="EU80" s="72">
        <v>0</v>
      </c>
      <c r="EV80" s="72">
        <v>0</v>
      </c>
      <c r="EW80" s="72">
        <v>0</v>
      </c>
      <c r="EX80" s="72">
        <v>0</v>
      </c>
      <c r="EY80" s="72">
        <v>0</v>
      </c>
      <c r="EZ80" s="72">
        <v>0</v>
      </c>
      <c r="FA80" s="72">
        <v>0</v>
      </c>
      <c r="FB80" s="72">
        <v>0</v>
      </c>
      <c r="FC80" s="72">
        <v>0</v>
      </c>
      <c r="FD80" s="72">
        <v>0</v>
      </c>
      <c r="FE80" s="72">
        <v>0</v>
      </c>
      <c r="FF80" s="72">
        <v>0</v>
      </c>
      <c r="FG80" s="72">
        <v>0</v>
      </c>
      <c r="FH80" s="72">
        <v>0</v>
      </c>
      <c r="FI80" s="72">
        <v>0</v>
      </c>
      <c r="FJ80" s="72">
        <v>0</v>
      </c>
      <c r="FK80" s="72">
        <v>0</v>
      </c>
      <c r="FL80" s="72">
        <v>0</v>
      </c>
      <c r="FM80" s="72">
        <v>0</v>
      </c>
      <c r="FN80" s="72">
        <v>0</v>
      </c>
      <c r="FO80" s="72">
        <v>0</v>
      </c>
      <c r="FP80" s="72">
        <v>0</v>
      </c>
      <c r="FQ80" s="72">
        <v>0</v>
      </c>
      <c r="FR80" s="72">
        <v>0</v>
      </c>
      <c r="FS80" s="72">
        <v>0</v>
      </c>
      <c r="FT80" s="72">
        <v>0</v>
      </c>
      <c r="FU80" s="72">
        <v>0</v>
      </c>
      <c r="FV80" s="74">
        <v>1370.4000148517305</v>
      </c>
      <c r="FW80" s="74">
        <v>1580.2066537367459</v>
      </c>
      <c r="FX80" s="74">
        <v>1618.0295199499178</v>
      </c>
      <c r="FY80" s="74">
        <v>1614.9870098526603</v>
      </c>
      <c r="FZ80" s="74">
        <v>1616.1276537392357</v>
      </c>
      <c r="GA80" s="74">
        <v>1668.2356694730186</v>
      </c>
      <c r="GB80" s="74">
        <v>1637.4411091856011</v>
      </c>
      <c r="GC80" s="74">
        <v>1905.3447513769127</v>
      </c>
      <c r="GD80" s="74">
        <v>2377.2058334909175</v>
      </c>
      <c r="GE80" s="74">
        <v>641.57148065024739</v>
      </c>
      <c r="GF80" s="74">
        <v>578.367935241532</v>
      </c>
      <c r="GG80" s="74">
        <v>845.55782050079142</v>
      </c>
      <c r="GH80" s="74">
        <v>603.76026508317807</v>
      </c>
      <c r="GI80" s="74">
        <v>705.09503407437978</v>
      </c>
      <c r="GJ80" s="72">
        <v>0</v>
      </c>
      <c r="GK80" s="72">
        <v>0</v>
      </c>
      <c r="GL80" s="72">
        <v>0</v>
      </c>
      <c r="GM80" s="72">
        <v>0</v>
      </c>
      <c r="GN80" s="72">
        <v>0</v>
      </c>
      <c r="GO80" s="72">
        <v>0</v>
      </c>
      <c r="GP80" s="72">
        <v>394.14570513182156</v>
      </c>
      <c r="GQ80" s="72">
        <v>1765.6107466842643</v>
      </c>
      <c r="GR80" s="72">
        <f t="shared" si="1"/>
        <v>26261.812144328949</v>
      </c>
      <c r="GS80" s="72">
        <f>SUM(BY$5:BY$202)</f>
        <v>26261.812144328953</v>
      </c>
      <c r="GT80" s="73">
        <v>0</v>
      </c>
    </row>
    <row r="81" spans="1:202" outlineLevel="1" x14ac:dyDescent="0.2">
      <c r="A81" s="66" t="s">
        <v>709</v>
      </c>
      <c r="B81" s="72">
        <v>0</v>
      </c>
      <c r="C81" s="72">
        <v>0</v>
      </c>
      <c r="D81" s="72">
        <v>0</v>
      </c>
      <c r="E81" s="72">
        <v>0</v>
      </c>
      <c r="F81" s="72">
        <v>0</v>
      </c>
      <c r="G81" s="72">
        <v>0</v>
      </c>
      <c r="H81" s="72">
        <v>0</v>
      </c>
      <c r="I81" s="72">
        <v>10663.439766706631</v>
      </c>
      <c r="J81" s="72">
        <v>4047.0336679732918</v>
      </c>
      <c r="K81" s="72">
        <v>0</v>
      </c>
      <c r="L81" s="72">
        <v>0</v>
      </c>
      <c r="M81" s="72">
        <v>0</v>
      </c>
      <c r="N81" s="72">
        <v>0</v>
      </c>
      <c r="O81" s="72">
        <v>0</v>
      </c>
      <c r="P81" s="72">
        <v>0</v>
      </c>
      <c r="Q81" s="72">
        <v>0</v>
      </c>
      <c r="R81" s="72">
        <v>0</v>
      </c>
      <c r="S81" s="72">
        <v>0</v>
      </c>
      <c r="T81" s="72">
        <v>1.8889430666852456</v>
      </c>
      <c r="U81" s="72">
        <v>0</v>
      </c>
      <c r="V81" s="72">
        <v>0</v>
      </c>
      <c r="W81" s="72">
        <v>0</v>
      </c>
      <c r="X81" s="72">
        <v>0</v>
      </c>
      <c r="Y81" s="72">
        <v>0</v>
      </c>
      <c r="Z81" s="72">
        <v>0</v>
      </c>
      <c r="AA81" s="72">
        <v>0</v>
      </c>
      <c r="AB81" s="72">
        <v>0</v>
      </c>
      <c r="AC81" s="72">
        <v>0</v>
      </c>
      <c r="AD81" s="72">
        <v>0</v>
      </c>
      <c r="AE81" s="72">
        <v>0</v>
      </c>
      <c r="AF81" s="72">
        <v>0</v>
      </c>
      <c r="AG81" s="72">
        <v>0</v>
      </c>
      <c r="AH81" s="72">
        <v>0</v>
      </c>
      <c r="AI81" s="72">
        <v>8.0289187856952164</v>
      </c>
      <c r="AJ81" s="72">
        <v>9.2387062330898928</v>
      </c>
      <c r="AK81" s="72">
        <v>0</v>
      </c>
      <c r="AL81" s="72">
        <v>0</v>
      </c>
      <c r="AM81" s="72">
        <v>0</v>
      </c>
      <c r="AN81" s="72">
        <v>0</v>
      </c>
      <c r="AO81" s="72">
        <v>582.76400205848574</v>
      </c>
      <c r="AP81" s="72">
        <v>21.44152167099486</v>
      </c>
      <c r="AQ81" s="72">
        <v>0</v>
      </c>
      <c r="AR81" s="72">
        <v>0</v>
      </c>
      <c r="AS81" s="72">
        <v>0</v>
      </c>
      <c r="AT81" s="72">
        <v>0</v>
      </c>
      <c r="AU81" s="72">
        <v>0</v>
      </c>
      <c r="AV81" s="72">
        <v>0</v>
      </c>
      <c r="AW81" s="72">
        <v>0</v>
      </c>
      <c r="AX81" s="72">
        <v>0</v>
      </c>
      <c r="AY81" s="72">
        <v>0</v>
      </c>
      <c r="AZ81" s="72">
        <v>0</v>
      </c>
      <c r="BA81" s="72">
        <v>0</v>
      </c>
      <c r="BB81" s="72">
        <v>0</v>
      </c>
      <c r="BC81" s="72">
        <v>102.20251779405683</v>
      </c>
      <c r="BD81" s="72">
        <v>5.1272728838953707</v>
      </c>
      <c r="BE81" s="72">
        <v>218.09097728205694</v>
      </c>
      <c r="BF81" s="72">
        <v>0</v>
      </c>
      <c r="BG81" s="72">
        <v>31.830941772303248</v>
      </c>
      <c r="BH81" s="72">
        <v>632.10666194605164</v>
      </c>
      <c r="BI81" s="72">
        <v>0</v>
      </c>
      <c r="BJ81" s="72">
        <v>3759.4129708882938</v>
      </c>
      <c r="BK81" s="72">
        <v>0</v>
      </c>
      <c r="BL81" s="72">
        <v>0</v>
      </c>
      <c r="BM81" s="72">
        <v>0</v>
      </c>
      <c r="BN81" s="72">
        <v>0</v>
      </c>
      <c r="BO81" s="72">
        <v>0</v>
      </c>
      <c r="BP81" s="72">
        <v>0</v>
      </c>
      <c r="BQ81" s="72">
        <v>0</v>
      </c>
      <c r="BR81" s="72">
        <v>0</v>
      </c>
      <c r="BS81" s="72">
        <v>0</v>
      </c>
      <c r="BT81" s="72">
        <v>0</v>
      </c>
      <c r="BU81" s="72">
        <v>0</v>
      </c>
      <c r="BV81" s="72">
        <v>0</v>
      </c>
      <c r="BW81" s="72">
        <v>0</v>
      </c>
      <c r="BX81" s="72">
        <v>0</v>
      </c>
      <c r="BY81" s="72">
        <v>0</v>
      </c>
      <c r="BZ81" s="72">
        <v>0</v>
      </c>
      <c r="CA81" s="72">
        <v>0</v>
      </c>
      <c r="CB81" s="72">
        <v>0</v>
      </c>
      <c r="CC81" s="72">
        <v>0</v>
      </c>
      <c r="CD81" s="72">
        <v>0</v>
      </c>
      <c r="CE81" s="72">
        <v>0</v>
      </c>
      <c r="CF81" s="72">
        <v>0</v>
      </c>
      <c r="CG81" s="72">
        <v>0</v>
      </c>
      <c r="CH81" s="72">
        <v>0</v>
      </c>
      <c r="CI81" s="72">
        <v>0</v>
      </c>
      <c r="CJ81" s="72">
        <v>0</v>
      </c>
      <c r="CK81" s="72">
        <v>0</v>
      </c>
      <c r="CL81" s="72">
        <v>0</v>
      </c>
      <c r="CM81" s="72">
        <v>0</v>
      </c>
      <c r="CN81" s="72">
        <v>0</v>
      </c>
      <c r="CO81" s="72">
        <v>0</v>
      </c>
      <c r="CP81" s="72">
        <v>0</v>
      </c>
      <c r="CQ81" s="72">
        <v>0</v>
      </c>
      <c r="CR81" s="72">
        <v>0</v>
      </c>
      <c r="CS81" s="72">
        <v>0</v>
      </c>
      <c r="CT81" s="72">
        <v>0</v>
      </c>
      <c r="CU81" s="72">
        <v>0</v>
      </c>
      <c r="CV81" s="72">
        <v>0</v>
      </c>
      <c r="CW81" s="72">
        <v>0</v>
      </c>
      <c r="CX81" s="72">
        <v>0</v>
      </c>
      <c r="CY81" s="72">
        <v>0</v>
      </c>
      <c r="CZ81" s="72">
        <v>0</v>
      </c>
      <c r="DA81" s="72">
        <v>0</v>
      </c>
      <c r="DB81" s="72">
        <v>0</v>
      </c>
      <c r="DC81" s="72">
        <v>0</v>
      </c>
      <c r="DD81" s="72">
        <v>0</v>
      </c>
      <c r="DE81" s="72">
        <v>0</v>
      </c>
      <c r="DF81" s="72">
        <v>0</v>
      </c>
      <c r="DG81" s="72">
        <v>0</v>
      </c>
      <c r="DH81" s="72">
        <v>0</v>
      </c>
      <c r="DI81" s="72">
        <v>0</v>
      </c>
      <c r="DJ81" s="72">
        <v>0</v>
      </c>
      <c r="DK81" s="72">
        <v>0</v>
      </c>
      <c r="DL81" s="72">
        <v>0</v>
      </c>
      <c r="DM81" s="72">
        <v>0</v>
      </c>
      <c r="DN81" s="72">
        <v>0</v>
      </c>
      <c r="DO81" s="72">
        <v>0</v>
      </c>
      <c r="DP81" s="72">
        <v>0</v>
      </c>
      <c r="DQ81" s="72">
        <v>0</v>
      </c>
      <c r="DR81" s="72">
        <v>0</v>
      </c>
      <c r="DS81" s="72">
        <v>0</v>
      </c>
      <c r="DT81" s="72">
        <v>0</v>
      </c>
      <c r="DU81" s="72">
        <v>0</v>
      </c>
      <c r="DV81" s="72">
        <v>0</v>
      </c>
      <c r="DW81" s="72">
        <v>0</v>
      </c>
      <c r="DX81" s="72">
        <v>0</v>
      </c>
      <c r="DY81" s="72">
        <v>0</v>
      </c>
      <c r="DZ81" s="72">
        <v>0</v>
      </c>
      <c r="EA81" s="72">
        <v>0</v>
      </c>
      <c r="EB81" s="72">
        <v>0</v>
      </c>
      <c r="EC81" s="72">
        <v>0</v>
      </c>
      <c r="ED81" s="72">
        <v>0</v>
      </c>
      <c r="EE81" s="72">
        <v>0</v>
      </c>
      <c r="EF81" s="72">
        <v>0</v>
      </c>
      <c r="EG81" s="72">
        <v>0</v>
      </c>
      <c r="EH81" s="72">
        <v>0</v>
      </c>
      <c r="EI81" s="72">
        <v>0</v>
      </c>
      <c r="EJ81" s="72">
        <v>0</v>
      </c>
      <c r="EK81" s="72">
        <v>0</v>
      </c>
      <c r="EL81" s="72">
        <v>0</v>
      </c>
      <c r="EM81" s="72">
        <v>0</v>
      </c>
      <c r="EN81" s="72">
        <v>0</v>
      </c>
      <c r="EO81" s="72">
        <v>0</v>
      </c>
      <c r="EP81" s="72">
        <v>0</v>
      </c>
      <c r="EQ81" s="72">
        <v>0</v>
      </c>
      <c r="ER81" s="72">
        <v>0</v>
      </c>
      <c r="ES81" s="72">
        <v>0</v>
      </c>
      <c r="ET81" s="72">
        <v>0</v>
      </c>
      <c r="EU81" s="72">
        <v>0</v>
      </c>
      <c r="EV81" s="72">
        <v>0</v>
      </c>
      <c r="EW81" s="72">
        <v>0</v>
      </c>
      <c r="EX81" s="72">
        <v>0</v>
      </c>
      <c r="EY81" s="72">
        <v>0</v>
      </c>
      <c r="EZ81" s="72">
        <v>0</v>
      </c>
      <c r="FA81" s="72">
        <v>0</v>
      </c>
      <c r="FB81" s="72">
        <v>0</v>
      </c>
      <c r="FC81" s="72">
        <v>0</v>
      </c>
      <c r="FD81" s="72">
        <v>0</v>
      </c>
      <c r="FE81" s="72">
        <v>0</v>
      </c>
      <c r="FF81" s="72">
        <v>0</v>
      </c>
      <c r="FG81" s="72">
        <v>0</v>
      </c>
      <c r="FH81" s="72">
        <v>0</v>
      </c>
      <c r="FI81" s="72">
        <v>0</v>
      </c>
      <c r="FJ81" s="72">
        <v>0</v>
      </c>
      <c r="FK81" s="72">
        <v>0</v>
      </c>
      <c r="FL81" s="72">
        <v>0</v>
      </c>
      <c r="FM81" s="72">
        <v>0</v>
      </c>
      <c r="FN81" s="72">
        <v>0</v>
      </c>
      <c r="FO81" s="72">
        <v>0</v>
      </c>
      <c r="FP81" s="72">
        <v>0</v>
      </c>
      <c r="FQ81" s="72">
        <v>0</v>
      </c>
      <c r="FR81" s="72">
        <v>0</v>
      </c>
      <c r="FS81" s="72">
        <v>0</v>
      </c>
      <c r="FT81" s="72">
        <v>0</v>
      </c>
      <c r="FU81" s="72">
        <v>0</v>
      </c>
      <c r="FV81" s="74">
        <v>348.61506006176785</v>
      </c>
      <c r="FW81" s="74">
        <v>582.079176233878</v>
      </c>
      <c r="FX81" s="74">
        <v>704.95940004450426</v>
      </c>
      <c r="FY81" s="74">
        <v>848.65799829547507</v>
      </c>
      <c r="FZ81" s="74">
        <v>907.1228963019812</v>
      </c>
      <c r="GA81" s="74">
        <v>1117.4254322350807</v>
      </c>
      <c r="GB81" s="74">
        <v>1158.8700965733954</v>
      </c>
      <c r="GC81" s="74">
        <v>1872.2934975517808</v>
      </c>
      <c r="GD81" s="74">
        <v>2548.2604089640968</v>
      </c>
      <c r="GE81" s="74">
        <v>940.40593591976665</v>
      </c>
      <c r="GF81" s="74">
        <v>792.88290520208034</v>
      </c>
      <c r="GG81" s="74">
        <v>829.7611869967094</v>
      </c>
      <c r="GH81" s="74">
        <v>1196.1354578901876</v>
      </c>
      <c r="GI81" s="74">
        <v>1230.0861132903956</v>
      </c>
      <c r="GJ81" s="72">
        <v>0</v>
      </c>
      <c r="GK81" s="72">
        <v>0</v>
      </c>
      <c r="GL81" s="72">
        <v>0</v>
      </c>
      <c r="GM81" s="72">
        <v>0</v>
      </c>
      <c r="GN81" s="72">
        <v>0</v>
      </c>
      <c r="GO81" s="72">
        <v>0</v>
      </c>
      <c r="GP81" s="72">
        <v>2506.1531086256427</v>
      </c>
      <c r="GQ81" s="72">
        <v>11375.70247474897</v>
      </c>
      <c r="GR81" s="72">
        <f t="shared" si="1"/>
        <v>49042.018017997252</v>
      </c>
      <c r="GS81" s="72">
        <f>SUM(BZ$5:BZ$202)</f>
        <v>49042.018017997238</v>
      </c>
      <c r="GT81" s="73">
        <v>0</v>
      </c>
    </row>
    <row r="82" spans="1:202" outlineLevel="1" x14ac:dyDescent="0.2">
      <c r="A82" s="66" t="s">
        <v>714</v>
      </c>
      <c r="B82" s="72">
        <v>0</v>
      </c>
      <c r="C82" s="72">
        <v>0</v>
      </c>
      <c r="D82" s="72">
        <v>0</v>
      </c>
      <c r="E82" s="72">
        <v>0</v>
      </c>
      <c r="F82" s="72">
        <v>0</v>
      </c>
      <c r="G82" s="72">
        <v>0</v>
      </c>
      <c r="H82" s="72">
        <v>0</v>
      </c>
      <c r="I82" s="72">
        <v>33931.244778696651</v>
      </c>
      <c r="J82" s="72">
        <v>0</v>
      </c>
      <c r="K82" s="72">
        <v>0</v>
      </c>
      <c r="L82" s="72">
        <v>0</v>
      </c>
      <c r="M82" s="72">
        <v>0</v>
      </c>
      <c r="N82" s="72">
        <v>0</v>
      </c>
      <c r="O82" s="72">
        <v>0</v>
      </c>
      <c r="P82" s="72">
        <v>0</v>
      </c>
      <c r="Q82" s="72">
        <v>0</v>
      </c>
      <c r="R82" s="72">
        <v>186.70433959189367</v>
      </c>
      <c r="S82" s="72">
        <v>43.578653034762013</v>
      </c>
      <c r="T82" s="72">
        <v>4853.7283205399472</v>
      </c>
      <c r="U82" s="72">
        <v>0</v>
      </c>
      <c r="V82" s="72">
        <v>0</v>
      </c>
      <c r="W82" s="72">
        <v>0</v>
      </c>
      <c r="X82" s="72">
        <v>0</v>
      </c>
      <c r="Y82" s="72">
        <v>0</v>
      </c>
      <c r="Z82" s="72">
        <v>0</v>
      </c>
      <c r="AA82" s="72">
        <v>0</v>
      </c>
      <c r="AB82" s="72">
        <v>0</v>
      </c>
      <c r="AC82" s="72">
        <v>0</v>
      </c>
      <c r="AD82" s="72">
        <v>0</v>
      </c>
      <c r="AE82" s="72">
        <v>0</v>
      </c>
      <c r="AF82" s="72">
        <v>0</v>
      </c>
      <c r="AG82" s="72">
        <v>30.46163631382251</v>
      </c>
      <c r="AH82" s="72">
        <v>308.67597200177903</v>
      </c>
      <c r="AI82" s="72">
        <v>14.469027037495193</v>
      </c>
      <c r="AJ82" s="72">
        <v>16.488692346086623</v>
      </c>
      <c r="AK82" s="72">
        <v>0</v>
      </c>
      <c r="AL82" s="72">
        <v>0</v>
      </c>
      <c r="AM82" s="72">
        <v>0</v>
      </c>
      <c r="AN82" s="72">
        <v>0</v>
      </c>
      <c r="AO82" s="72">
        <v>357.60815503155686</v>
      </c>
      <c r="AP82" s="72">
        <v>0</v>
      </c>
      <c r="AQ82" s="72">
        <v>0</v>
      </c>
      <c r="AR82" s="72">
        <v>0</v>
      </c>
      <c r="AS82" s="72">
        <v>0</v>
      </c>
      <c r="AT82" s="72">
        <v>0</v>
      </c>
      <c r="AU82" s="72">
        <v>0</v>
      </c>
      <c r="AV82" s="72">
        <v>0</v>
      </c>
      <c r="AW82" s="72">
        <v>0</v>
      </c>
      <c r="AX82" s="72">
        <v>0</v>
      </c>
      <c r="AY82" s="72">
        <v>0</v>
      </c>
      <c r="AZ82" s="72">
        <v>0</v>
      </c>
      <c r="BA82" s="72">
        <v>0</v>
      </c>
      <c r="BB82" s="72">
        <v>0</v>
      </c>
      <c r="BC82" s="72">
        <v>202.69125491011894</v>
      </c>
      <c r="BD82" s="72">
        <v>9.1890538623354487</v>
      </c>
      <c r="BE82" s="72">
        <v>156.28698411743818</v>
      </c>
      <c r="BF82" s="72">
        <v>0</v>
      </c>
      <c r="BG82" s="72">
        <v>0</v>
      </c>
      <c r="BH82" s="72">
        <v>0</v>
      </c>
      <c r="BI82" s="72">
        <v>0</v>
      </c>
      <c r="BJ82" s="72">
        <v>4377.8596307409653</v>
      </c>
      <c r="BK82" s="72">
        <v>0</v>
      </c>
      <c r="BL82" s="72">
        <v>0</v>
      </c>
      <c r="BM82" s="72">
        <v>0</v>
      </c>
      <c r="BN82" s="72">
        <v>0</v>
      </c>
      <c r="BO82" s="72">
        <v>0</v>
      </c>
      <c r="BP82" s="72">
        <v>0</v>
      </c>
      <c r="BQ82" s="72">
        <v>0</v>
      </c>
      <c r="BR82" s="72">
        <v>0</v>
      </c>
      <c r="BS82" s="72">
        <v>0</v>
      </c>
      <c r="BT82" s="72">
        <v>0</v>
      </c>
      <c r="BU82" s="72">
        <v>0</v>
      </c>
      <c r="BV82" s="72">
        <v>0</v>
      </c>
      <c r="BW82" s="72">
        <v>0</v>
      </c>
      <c r="BX82" s="72">
        <v>0</v>
      </c>
      <c r="BY82" s="72">
        <v>0</v>
      </c>
      <c r="BZ82" s="72">
        <v>0</v>
      </c>
      <c r="CA82" s="72">
        <v>0</v>
      </c>
      <c r="CB82" s="72">
        <v>0</v>
      </c>
      <c r="CC82" s="72">
        <v>0</v>
      </c>
      <c r="CD82" s="72">
        <v>0</v>
      </c>
      <c r="CE82" s="72">
        <v>0</v>
      </c>
      <c r="CF82" s="72">
        <v>0</v>
      </c>
      <c r="CG82" s="72">
        <v>0</v>
      </c>
      <c r="CH82" s="72">
        <v>0</v>
      </c>
      <c r="CI82" s="72">
        <v>0</v>
      </c>
      <c r="CJ82" s="72">
        <v>0</v>
      </c>
      <c r="CK82" s="72">
        <v>0</v>
      </c>
      <c r="CL82" s="72">
        <v>0</v>
      </c>
      <c r="CM82" s="72">
        <v>0</v>
      </c>
      <c r="CN82" s="72">
        <v>0</v>
      </c>
      <c r="CO82" s="72">
        <v>0</v>
      </c>
      <c r="CP82" s="72">
        <v>0</v>
      </c>
      <c r="CQ82" s="72">
        <v>0</v>
      </c>
      <c r="CR82" s="72">
        <v>0</v>
      </c>
      <c r="CS82" s="72">
        <v>0</v>
      </c>
      <c r="CT82" s="72">
        <v>0</v>
      </c>
      <c r="CU82" s="72">
        <v>0</v>
      </c>
      <c r="CV82" s="72">
        <v>0</v>
      </c>
      <c r="CW82" s="72">
        <v>0</v>
      </c>
      <c r="CX82" s="72">
        <v>0</v>
      </c>
      <c r="CY82" s="72">
        <v>0</v>
      </c>
      <c r="CZ82" s="72">
        <v>0</v>
      </c>
      <c r="DA82" s="72">
        <v>0</v>
      </c>
      <c r="DB82" s="72">
        <v>0</v>
      </c>
      <c r="DC82" s="72">
        <v>0</v>
      </c>
      <c r="DD82" s="72">
        <v>0</v>
      </c>
      <c r="DE82" s="72">
        <v>0</v>
      </c>
      <c r="DF82" s="72">
        <v>0</v>
      </c>
      <c r="DG82" s="72">
        <v>0</v>
      </c>
      <c r="DH82" s="72">
        <v>0</v>
      </c>
      <c r="DI82" s="72">
        <v>0</v>
      </c>
      <c r="DJ82" s="72">
        <v>0</v>
      </c>
      <c r="DK82" s="72">
        <v>0</v>
      </c>
      <c r="DL82" s="72">
        <v>0</v>
      </c>
      <c r="DM82" s="72">
        <v>0</v>
      </c>
      <c r="DN82" s="72">
        <v>0</v>
      </c>
      <c r="DO82" s="72">
        <v>0</v>
      </c>
      <c r="DP82" s="72">
        <v>0</v>
      </c>
      <c r="DQ82" s="72">
        <v>0</v>
      </c>
      <c r="DR82" s="72">
        <v>0</v>
      </c>
      <c r="DS82" s="72">
        <v>0</v>
      </c>
      <c r="DT82" s="72">
        <v>0</v>
      </c>
      <c r="DU82" s="72">
        <v>0</v>
      </c>
      <c r="DV82" s="72">
        <v>0</v>
      </c>
      <c r="DW82" s="72">
        <v>0</v>
      </c>
      <c r="DX82" s="72">
        <v>0</v>
      </c>
      <c r="DY82" s="72">
        <v>0</v>
      </c>
      <c r="DZ82" s="72">
        <v>0</v>
      </c>
      <c r="EA82" s="72">
        <v>0</v>
      </c>
      <c r="EB82" s="72">
        <v>0</v>
      </c>
      <c r="EC82" s="72">
        <v>0</v>
      </c>
      <c r="ED82" s="72">
        <v>0</v>
      </c>
      <c r="EE82" s="72">
        <v>0</v>
      </c>
      <c r="EF82" s="72">
        <v>0</v>
      </c>
      <c r="EG82" s="72">
        <v>0</v>
      </c>
      <c r="EH82" s="72">
        <v>0</v>
      </c>
      <c r="EI82" s="72">
        <v>0</v>
      </c>
      <c r="EJ82" s="72">
        <v>0</v>
      </c>
      <c r="EK82" s="72">
        <v>0</v>
      </c>
      <c r="EL82" s="72">
        <v>0</v>
      </c>
      <c r="EM82" s="72">
        <v>0</v>
      </c>
      <c r="EN82" s="72">
        <v>0</v>
      </c>
      <c r="EO82" s="72">
        <v>0</v>
      </c>
      <c r="EP82" s="72">
        <v>0</v>
      </c>
      <c r="EQ82" s="72">
        <v>0</v>
      </c>
      <c r="ER82" s="72">
        <v>0</v>
      </c>
      <c r="ES82" s="72">
        <v>0</v>
      </c>
      <c r="ET82" s="72">
        <v>0</v>
      </c>
      <c r="EU82" s="72">
        <v>0</v>
      </c>
      <c r="EV82" s="72">
        <v>0</v>
      </c>
      <c r="EW82" s="72">
        <v>0</v>
      </c>
      <c r="EX82" s="72">
        <v>0</v>
      </c>
      <c r="EY82" s="72">
        <v>0</v>
      </c>
      <c r="EZ82" s="72">
        <v>0</v>
      </c>
      <c r="FA82" s="72">
        <v>0</v>
      </c>
      <c r="FB82" s="72">
        <v>0</v>
      </c>
      <c r="FC82" s="72">
        <v>0</v>
      </c>
      <c r="FD82" s="72">
        <v>0</v>
      </c>
      <c r="FE82" s="72">
        <v>0</v>
      </c>
      <c r="FF82" s="72">
        <v>0</v>
      </c>
      <c r="FG82" s="72">
        <v>0</v>
      </c>
      <c r="FH82" s="72">
        <v>0</v>
      </c>
      <c r="FI82" s="72">
        <v>0</v>
      </c>
      <c r="FJ82" s="72">
        <v>0</v>
      </c>
      <c r="FK82" s="72">
        <v>0</v>
      </c>
      <c r="FL82" s="72">
        <v>0</v>
      </c>
      <c r="FM82" s="72">
        <v>0</v>
      </c>
      <c r="FN82" s="72">
        <v>0</v>
      </c>
      <c r="FO82" s="72">
        <v>0</v>
      </c>
      <c r="FP82" s="72">
        <v>0</v>
      </c>
      <c r="FQ82" s="72">
        <v>0</v>
      </c>
      <c r="FR82" s="72">
        <v>0</v>
      </c>
      <c r="FS82" s="72">
        <v>0</v>
      </c>
      <c r="FT82" s="72">
        <v>0</v>
      </c>
      <c r="FU82" s="72">
        <v>0</v>
      </c>
      <c r="FV82" s="74">
        <v>788.73219214673247</v>
      </c>
      <c r="FW82" s="74">
        <v>962.35387658313823</v>
      </c>
      <c r="FX82" s="74">
        <v>978.84297189132963</v>
      </c>
      <c r="FY82" s="74">
        <v>1068.2692583474445</v>
      </c>
      <c r="FZ82" s="74">
        <v>1032.6604619006432</v>
      </c>
      <c r="GA82" s="74">
        <v>1009.0018337998495</v>
      </c>
      <c r="GB82" s="74">
        <v>1024.5030871493373</v>
      </c>
      <c r="GC82" s="74">
        <v>1113.2118792825702</v>
      </c>
      <c r="GD82" s="74">
        <v>1464.5939728409205</v>
      </c>
      <c r="GE82" s="74">
        <v>261.74416581895252</v>
      </c>
      <c r="GF82" s="74">
        <v>196.70854442804145</v>
      </c>
      <c r="GG82" s="74">
        <v>211.44825144849824</v>
      </c>
      <c r="GH82" s="74">
        <v>313.33588979018714</v>
      </c>
      <c r="GI82" s="74">
        <v>223.12785967305339</v>
      </c>
      <c r="GJ82" s="72">
        <v>0</v>
      </c>
      <c r="GK82" s="72">
        <v>0</v>
      </c>
      <c r="GL82" s="72">
        <v>0</v>
      </c>
      <c r="GM82" s="72">
        <v>0</v>
      </c>
      <c r="GN82" s="72">
        <v>0</v>
      </c>
      <c r="GO82" s="72">
        <v>0</v>
      </c>
      <c r="GP82" s="72">
        <v>2045.9086073425406</v>
      </c>
      <c r="GQ82" s="72">
        <v>4706.1339496558476</v>
      </c>
      <c r="GR82" s="72">
        <f t="shared" si="1"/>
        <v>61889.563300323935</v>
      </c>
      <c r="GS82" s="72">
        <f>SUM(CA$5:CA$202)</f>
        <v>61889.563300323956</v>
      </c>
      <c r="GT82" s="73">
        <v>0</v>
      </c>
    </row>
    <row r="83" spans="1:202" outlineLevel="1" x14ac:dyDescent="0.2">
      <c r="A83" s="66" t="s">
        <v>719</v>
      </c>
      <c r="B83" s="72">
        <v>2011.5998409654349</v>
      </c>
      <c r="C83" s="72">
        <v>0</v>
      </c>
      <c r="D83" s="72">
        <v>0</v>
      </c>
      <c r="E83" s="72">
        <v>0</v>
      </c>
      <c r="F83" s="72">
        <v>0</v>
      </c>
      <c r="G83" s="72">
        <v>0</v>
      </c>
      <c r="H83" s="72">
        <v>0</v>
      </c>
      <c r="I83" s="72">
        <v>14518.148784839366</v>
      </c>
      <c r="J83" s="72">
        <v>196.04061075064513</v>
      </c>
      <c r="K83" s="72">
        <v>0</v>
      </c>
      <c r="L83" s="72">
        <v>0</v>
      </c>
      <c r="M83" s="72">
        <v>0</v>
      </c>
      <c r="N83" s="72">
        <v>0</v>
      </c>
      <c r="O83" s="72">
        <v>0</v>
      </c>
      <c r="P83" s="72">
        <v>0</v>
      </c>
      <c r="Q83" s="72">
        <v>0</v>
      </c>
      <c r="R83" s="72">
        <v>0</v>
      </c>
      <c r="S83" s="72">
        <v>0</v>
      </c>
      <c r="T83" s="72">
        <v>182.91579321152173</v>
      </c>
      <c r="U83" s="72">
        <v>0</v>
      </c>
      <c r="V83" s="72">
        <v>0</v>
      </c>
      <c r="W83" s="72">
        <v>0</v>
      </c>
      <c r="X83" s="72">
        <v>0</v>
      </c>
      <c r="Y83" s="72">
        <v>0</v>
      </c>
      <c r="Z83" s="72">
        <v>0</v>
      </c>
      <c r="AA83" s="72">
        <v>0</v>
      </c>
      <c r="AB83" s="72">
        <v>0</v>
      </c>
      <c r="AC83" s="72">
        <v>0</v>
      </c>
      <c r="AD83" s="72">
        <v>0</v>
      </c>
      <c r="AE83" s="72">
        <v>0</v>
      </c>
      <c r="AF83" s="72">
        <v>0</v>
      </c>
      <c r="AG83" s="72">
        <v>0</v>
      </c>
      <c r="AH83" s="72">
        <v>0</v>
      </c>
      <c r="AI83" s="72">
        <v>38.466287936676906</v>
      </c>
      <c r="AJ83" s="72">
        <v>44.126235199840146</v>
      </c>
      <c r="AK83" s="72">
        <v>0</v>
      </c>
      <c r="AL83" s="72">
        <v>0</v>
      </c>
      <c r="AM83" s="72">
        <v>0</v>
      </c>
      <c r="AN83" s="72">
        <v>0</v>
      </c>
      <c r="AO83" s="72">
        <v>2131.8626855405982</v>
      </c>
      <c r="AP83" s="72">
        <v>0</v>
      </c>
      <c r="AQ83" s="72">
        <v>0</v>
      </c>
      <c r="AR83" s="72">
        <v>0</v>
      </c>
      <c r="AS83" s="72">
        <v>0</v>
      </c>
      <c r="AT83" s="72">
        <v>0</v>
      </c>
      <c r="AU83" s="72">
        <v>0</v>
      </c>
      <c r="AV83" s="72">
        <v>0</v>
      </c>
      <c r="AW83" s="72">
        <v>0</v>
      </c>
      <c r="AX83" s="72">
        <v>0</v>
      </c>
      <c r="AY83" s="72">
        <v>0</v>
      </c>
      <c r="AZ83" s="72">
        <v>0</v>
      </c>
      <c r="BA83" s="72">
        <v>0</v>
      </c>
      <c r="BB83" s="72">
        <v>0</v>
      </c>
      <c r="BC83" s="72">
        <v>473.71920303047176</v>
      </c>
      <c r="BD83" s="72">
        <v>17.175808948797272</v>
      </c>
      <c r="BE83" s="72">
        <v>1052.4177724002284</v>
      </c>
      <c r="BF83" s="72">
        <v>0</v>
      </c>
      <c r="BG83" s="72">
        <v>104.94352831506482</v>
      </c>
      <c r="BH83" s="72">
        <v>2088.4220221894025</v>
      </c>
      <c r="BI83" s="72">
        <v>0</v>
      </c>
      <c r="BJ83" s="72">
        <v>3573.6911877604553</v>
      </c>
      <c r="BK83" s="72">
        <v>0</v>
      </c>
      <c r="BL83" s="72">
        <v>0</v>
      </c>
      <c r="BM83" s="72">
        <v>0</v>
      </c>
      <c r="BN83" s="72">
        <v>0</v>
      </c>
      <c r="BO83" s="72">
        <v>0</v>
      </c>
      <c r="BP83" s="72">
        <v>0</v>
      </c>
      <c r="BQ83" s="72">
        <v>0</v>
      </c>
      <c r="BR83" s="72">
        <v>0</v>
      </c>
      <c r="BS83" s="72">
        <v>0</v>
      </c>
      <c r="BT83" s="72">
        <v>0</v>
      </c>
      <c r="BU83" s="72">
        <v>0</v>
      </c>
      <c r="BV83" s="72">
        <v>0</v>
      </c>
      <c r="BW83" s="72">
        <v>0</v>
      </c>
      <c r="BX83" s="72">
        <v>0</v>
      </c>
      <c r="BY83" s="72">
        <v>0</v>
      </c>
      <c r="BZ83" s="72">
        <v>0</v>
      </c>
      <c r="CA83" s="72">
        <v>0</v>
      </c>
      <c r="CB83" s="72">
        <v>0</v>
      </c>
      <c r="CC83" s="72">
        <v>0</v>
      </c>
      <c r="CD83" s="72">
        <v>0</v>
      </c>
      <c r="CE83" s="72">
        <v>0</v>
      </c>
      <c r="CF83" s="72">
        <v>0</v>
      </c>
      <c r="CG83" s="72">
        <v>0</v>
      </c>
      <c r="CH83" s="72">
        <v>0</v>
      </c>
      <c r="CI83" s="72">
        <v>0</v>
      </c>
      <c r="CJ83" s="72">
        <v>0</v>
      </c>
      <c r="CK83" s="72">
        <v>0</v>
      </c>
      <c r="CL83" s="72">
        <v>0</v>
      </c>
      <c r="CM83" s="72">
        <v>0</v>
      </c>
      <c r="CN83" s="72">
        <v>0</v>
      </c>
      <c r="CO83" s="72">
        <v>0</v>
      </c>
      <c r="CP83" s="72">
        <v>0</v>
      </c>
      <c r="CQ83" s="72">
        <v>0</v>
      </c>
      <c r="CR83" s="72">
        <v>0</v>
      </c>
      <c r="CS83" s="72">
        <v>0</v>
      </c>
      <c r="CT83" s="72">
        <v>0</v>
      </c>
      <c r="CU83" s="72">
        <v>0</v>
      </c>
      <c r="CV83" s="72">
        <v>0</v>
      </c>
      <c r="CW83" s="72">
        <v>0</v>
      </c>
      <c r="CX83" s="72">
        <v>0</v>
      </c>
      <c r="CY83" s="72">
        <v>0</v>
      </c>
      <c r="CZ83" s="72">
        <v>0</v>
      </c>
      <c r="DA83" s="72">
        <v>0</v>
      </c>
      <c r="DB83" s="72">
        <v>0</v>
      </c>
      <c r="DC83" s="72">
        <v>0</v>
      </c>
      <c r="DD83" s="72">
        <v>0</v>
      </c>
      <c r="DE83" s="72">
        <v>0</v>
      </c>
      <c r="DF83" s="72">
        <v>0</v>
      </c>
      <c r="DG83" s="72">
        <v>0</v>
      </c>
      <c r="DH83" s="72">
        <v>0</v>
      </c>
      <c r="DI83" s="72">
        <v>0</v>
      </c>
      <c r="DJ83" s="72">
        <v>0</v>
      </c>
      <c r="DK83" s="72">
        <v>0</v>
      </c>
      <c r="DL83" s="72">
        <v>0</v>
      </c>
      <c r="DM83" s="72">
        <v>0</v>
      </c>
      <c r="DN83" s="72">
        <v>0</v>
      </c>
      <c r="DO83" s="72">
        <v>0</v>
      </c>
      <c r="DP83" s="72">
        <v>0</v>
      </c>
      <c r="DQ83" s="72">
        <v>0</v>
      </c>
      <c r="DR83" s="72">
        <v>0</v>
      </c>
      <c r="DS83" s="72">
        <v>0</v>
      </c>
      <c r="DT83" s="72">
        <v>0</v>
      </c>
      <c r="DU83" s="72">
        <v>0</v>
      </c>
      <c r="DV83" s="72">
        <v>0</v>
      </c>
      <c r="DW83" s="72">
        <v>0</v>
      </c>
      <c r="DX83" s="72">
        <v>0</v>
      </c>
      <c r="DY83" s="72">
        <v>0</v>
      </c>
      <c r="DZ83" s="72">
        <v>0</v>
      </c>
      <c r="EA83" s="72">
        <v>0</v>
      </c>
      <c r="EB83" s="72">
        <v>0</v>
      </c>
      <c r="EC83" s="72">
        <v>0</v>
      </c>
      <c r="ED83" s="72">
        <v>0</v>
      </c>
      <c r="EE83" s="72">
        <v>0</v>
      </c>
      <c r="EF83" s="72">
        <v>0</v>
      </c>
      <c r="EG83" s="72">
        <v>0</v>
      </c>
      <c r="EH83" s="72">
        <v>0</v>
      </c>
      <c r="EI83" s="72">
        <v>0</v>
      </c>
      <c r="EJ83" s="72">
        <v>0</v>
      </c>
      <c r="EK83" s="72">
        <v>0</v>
      </c>
      <c r="EL83" s="72">
        <v>0</v>
      </c>
      <c r="EM83" s="72">
        <v>0</v>
      </c>
      <c r="EN83" s="72">
        <v>0</v>
      </c>
      <c r="EO83" s="72">
        <v>0</v>
      </c>
      <c r="EP83" s="72">
        <v>0</v>
      </c>
      <c r="EQ83" s="72">
        <v>0</v>
      </c>
      <c r="ER83" s="72">
        <v>0</v>
      </c>
      <c r="ES83" s="72">
        <v>0</v>
      </c>
      <c r="ET83" s="72">
        <v>0</v>
      </c>
      <c r="EU83" s="72">
        <v>0</v>
      </c>
      <c r="EV83" s="72">
        <v>0</v>
      </c>
      <c r="EW83" s="72">
        <v>0</v>
      </c>
      <c r="EX83" s="72">
        <v>0</v>
      </c>
      <c r="EY83" s="72">
        <v>0</v>
      </c>
      <c r="EZ83" s="72">
        <v>0</v>
      </c>
      <c r="FA83" s="72">
        <v>0</v>
      </c>
      <c r="FB83" s="72">
        <v>0</v>
      </c>
      <c r="FC83" s="72">
        <v>0</v>
      </c>
      <c r="FD83" s="72">
        <v>0</v>
      </c>
      <c r="FE83" s="72">
        <v>0</v>
      </c>
      <c r="FF83" s="72">
        <v>0</v>
      </c>
      <c r="FG83" s="72">
        <v>0</v>
      </c>
      <c r="FH83" s="72">
        <v>0</v>
      </c>
      <c r="FI83" s="72">
        <v>0</v>
      </c>
      <c r="FJ83" s="72">
        <v>0</v>
      </c>
      <c r="FK83" s="72">
        <v>0</v>
      </c>
      <c r="FL83" s="72">
        <v>0</v>
      </c>
      <c r="FM83" s="72">
        <v>0</v>
      </c>
      <c r="FN83" s="72">
        <v>0</v>
      </c>
      <c r="FO83" s="72">
        <v>0</v>
      </c>
      <c r="FP83" s="72">
        <v>0</v>
      </c>
      <c r="FQ83" s="72">
        <v>0</v>
      </c>
      <c r="FR83" s="72">
        <v>0</v>
      </c>
      <c r="FS83" s="72">
        <v>0</v>
      </c>
      <c r="FT83" s="72">
        <v>0</v>
      </c>
      <c r="FU83" s="72">
        <v>0</v>
      </c>
      <c r="FV83" s="74">
        <v>2376.770135961367</v>
      </c>
      <c r="FW83" s="74">
        <v>3223.7868507951589</v>
      </c>
      <c r="FX83" s="74">
        <v>3964.3605922832517</v>
      </c>
      <c r="FY83" s="74">
        <v>4258.4570326138428</v>
      </c>
      <c r="FZ83" s="74">
        <v>4514.0973967055106</v>
      </c>
      <c r="GA83" s="74">
        <v>5209.2422114715273</v>
      </c>
      <c r="GB83" s="74">
        <v>5470.4290980633541</v>
      </c>
      <c r="GC83" s="74">
        <v>7156.6688744329495</v>
      </c>
      <c r="GD83" s="74">
        <v>9125.602649768507</v>
      </c>
      <c r="GE83" s="74">
        <v>2486.4783221964863</v>
      </c>
      <c r="GF83" s="74">
        <v>2461.5160192410012</v>
      </c>
      <c r="GG83" s="74">
        <v>2384.6297534088144</v>
      </c>
      <c r="GH83" s="74">
        <v>2632.6237645643682</v>
      </c>
      <c r="GI83" s="74">
        <v>2877.7795326427981</v>
      </c>
      <c r="GJ83" s="72">
        <v>0</v>
      </c>
      <c r="GK83" s="72">
        <v>0</v>
      </c>
      <c r="GL83" s="72">
        <v>0</v>
      </c>
      <c r="GM83" s="72">
        <v>0</v>
      </c>
      <c r="GN83" s="72">
        <v>0</v>
      </c>
      <c r="GO83" s="72">
        <v>0</v>
      </c>
      <c r="GP83" s="72">
        <v>568.26692276496283</v>
      </c>
      <c r="GQ83" s="72">
        <v>4915.2044531004494</v>
      </c>
      <c r="GR83" s="72">
        <f t="shared" si="1"/>
        <v>90059.443371102854</v>
      </c>
      <c r="GS83" s="72">
        <f>SUM(CB$5:CB$202)</f>
        <v>90059.44337110284</v>
      </c>
      <c r="GT83" s="73">
        <v>0</v>
      </c>
    </row>
    <row r="84" spans="1:202" outlineLevel="1" x14ac:dyDescent="0.2">
      <c r="A84" s="66" t="s">
        <v>723</v>
      </c>
      <c r="B84" s="72">
        <v>0</v>
      </c>
      <c r="C84" s="72">
        <v>0</v>
      </c>
      <c r="D84" s="72">
        <v>0</v>
      </c>
      <c r="E84" s="72">
        <v>0</v>
      </c>
      <c r="F84" s="72">
        <v>0</v>
      </c>
      <c r="G84" s="72">
        <v>0</v>
      </c>
      <c r="H84" s="72">
        <v>0</v>
      </c>
      <c r="I84" s="72">
        <v>10027.890914674867</v>
      </c>
      <c r="J84" s="72">
        <v>217.6427153582581</v>
      </c>
      <c r="K84" s="72">
        <v>1.6143948722383794</v>
      </c>
      <c r="L84" s="72">
        <v>0.4012800337350958</v>
      </c>
      <c r="M84" s="72">
        <v>0</v>
      </c>
      <c r="N84" s="72">
        <v>0</v>
      </c>
      <c r="O84" s="72">
        <v>1.4340135034937562</v>
      </c>
      <c r="P84" s="72">
        <v>102.17991822200381</v>
      </c>
      <c r="Q84" s="72">
        <v>0</v>
      </c>
      <c r="R84" s="72">
        <v>0</v>
      </c>
      <c r="S84" s="72">
        <v>1.3039569608471018</v>
      </c>
      <c r="T84" s="72">
        <v>19.242417811150247</v>
      </c>
      <c r="U84" s="72">
        <v>0</v>
      </c>
      <c r="V84" s="72">
        <v>0</v>
      </c>
      <c r="W84" s="72">
        <v>0</v>
      </c>
      <c r="X84" s="72">
        <v>0</v>
      </c>
      <c r="Y84" s="72">
        <v>0</v>
      </c>
      <c r="Z84" s="72">
        <v>0</v>
      </c>
      <c r="AA84" s="72">
        <v>0</v>
      </c>
      <c r="AB84" s="72">
        <v>0</v>
      </c>
      <c r="AC84" s="72">
        <v>0</v>
      </c>
      <c r="AD84" s="72">
        <v>0</v>
      </c>
      <c r="AE84" s="72">
        <v>0</v>
      </c>
      <c r="AF84" s="72">
        <v>0</v>
      </c>
      <c r="AG84" s="72">
        <v>4.2852846762310435</v>
      </c>
      <c r="AH84" s="72">
        <v>0</v>
      </c>
      <c r="AI84" s="72">
        <v>8.0723119056606869</v>
      </c>
      <c r="AJ84" s="72">
        <v>9.4157730719940975</v>
      </c>
      <c r="AK84" s="72">
        <v>0</v>
      </c>
      <c r="AL84" s="72">
        <v>0</v>
      </c>
      <c r="AM84" s="72">
        <v>0</v>
      </c>
      <c r="AN84" s="72">
        <v>0</v>
      </c>
      <c r="AO84" s="72">
        <v>462.70402801958591</v>
      </c>
      <c r="AP84" s="72">
        <v>8.1336449888548296E-2</v>
      </c>
      <c r="AQ84" s="72">
        <v>0</v>
      </c>
      <c r="AR84" s="72">
        <v>0</v>
      </c>
      <c r="AS84" s="72">
        <v>0</v>
      </c>
      <c r="AT84" s="72">
        <v>0</v>
      </c>
      <c r="AU84" s="72">
        <v>0</v>
      </c>
      <c r="AV84" s="72">
        <v>0</v>
      </c>
      <c r="AW84" s="72">
        <v>0</v>
      </c>
      <c r="AX84" s="72">
        <v>0</v>
      </c>
      <c r="AY84" s="72">
        <v>0</v>
      </c>
      <c r="AZ84" s="72">
        <v>0</v>
      </c>
      <c r="BA84" s="72">
        <v>0</v>
      </c>
      <c r="BB84" s="72">
        <v>0</v>
      </c>
      <c r="BC84" s="72">
        <v>361.37056241578745</v>
      </c>
      <c r="BD84" s="72">
        <v>5.4895823796950065</v>
      </c>
      <c r="BE84" s="72">
        <v>97.00954290887961</v>
      </c>
      <c r="BF84" s="72">
        <v>0</v>
      </c>
      <c r="BG84" s="72">
        <v>0</v>
      </c>
      <c r="BH84" s="72">
        <v>0</v>
      </c>
      <c r="BI84" s="72">
        <v>0</v>
      </c>
      <c r="BJ84" s="72">
        <v>995.21210152632523</v>
      </c>
      <c r="BK84" s="72">
        <v>0</v>
      </c>
      <c r="BL84" s="72">
        <v>0</v>
      </c>
      <c r="BM84" s="72">
        <v>0</v>
      </c>
      <c r="BN84" s="72">
        <v>0</v>
      </c>
      <c r="BO84" s="72">
        <v>0</v>
      </c>
      <c r="BP84" s="72">
        <v>0</v>
      </c>
      <c r="BQ84" s="72">
        <v>0</v>
      </c>
      <c r="BR84" s="72">
        <v>0</v>
      </c>
      <c r="BS84" s="72">
        <v>0</v>
      </c>
      <c r="BT84" s="72">
        <v>0</v>
      </c>
      <c r="BU84" s="72">
        <v>0</v>
      </c>
      <c r="BV84" s="72">
        <v>0</v>
      </c>
      <c r="BW84" s="72">
        <v>0</v>
      </c>
      <c r="BX84" s="72">
        <v>0</v>
      </c>
      <c r="BY84" s="72">
        <v>0</v>
      </c>
      <c r="BZ84" s="72">
        <v>0</v>
      </c>
      <c r="CA84" s="72">
        <v>0</v>
      </c>
      <c r="CB84" s="72">
        <v>0</v>
      </c>
      <c r="CC84" s="72">
        <v>0</v>
      </c>
      <c r="CD84" s="72">
        <v>0</v>
      </c>
      <c r="CE84" s="72">
        <v>0</v>
      </c>
      <c r="CF84" s="72">
        <v>0</v>
      </c>
      <c r="CG84" s="72">
        <v>0</v>
      </c>
      <c r="CH84" s="72">
        <v>0</v>
      </c>
      <c r="CI84" s="72">
        <v>0</v>
      </c>
      <c r="CJ84" s="72">
        <v>0</v>
      </c>
      <c r="CK84" s="72">
        <v>0</v>
      </c>
      <c r="CL84" s="72">
        <v>0</v>
      </c>
      <c r="CM84" s="72">
        <v>0</v>
      </c>
      <c r="CN84" s="72">
        <v>0</v>
      </c>
      <c r="CO84" s="72">
        <v>0</v>
      </c>
      <c r="CP84" s="72">
        <v>0</v>
      </c>
      <c r="CQ84" s="72">
        <v>0</v>
      </c>
      <c r="CR84" s="72">
        <v>0</v>
      </c>
      <c r="CS84" s="72">
        <v>0</v>
      </c>
      <c r="CT84" s="72">
        <v>0</v>
      </c>
      <c r="CU84" s="72">
        <v>0</v>
      </c>
      <c r="CV84" s="72">
        <v>0</v>
      </c>
      <c r="CW84" s="72">
        <v>0</v>
      </c>
      <c r="CX84" s="72">
        <v>0</v>
      </c>
      <c r="CY84" s="72">
        <v>0</v>
      </c>
      <c r="CZ84" s="72">
        <v>0</v>
      </c>
      <c r="DA84" s="72">
        <v>0</v>
      </c>
      <c r="DB84" s="72">
        <v>0</v>
      </c>
      <c r="DC84" s="72">
        <v>0</v>
      </c>
      <c r="DD84" s="72">
        <v>0</v>
      </c>
      <c r="DE84" s="72">
        <v>0</v>
      </c>
      <c r="DF84" s="72">
        <v>0</v>
      </c>
      <c r="DG84" s="72">
        <v>0</v>
      </c>
      <c r="DH84" s="72">
        <v>0</v>
      </c>
      <c r="DI84" s="72">
        <v>0</v>
      </c>
      <c r="DJ84" s="72">
        <v>0</v>
      </c>
      <c r="DK84" s="72">
        <v>0</v>
      </c>
      <c r="DL84" s="72">
        <v>0</v>
      </c>
      <c r="DM84" s="72">
        <v>0</v>
      </c>
      <c r="DN84" s="72">
        <v>0</v>
      </c>
      <c r="DO84" s="72">
        <v>0</v>
      </c>
      <c r="DP84" s="72">
        <v>0</v>
      </c>
      <c r="DQ84" s="72">
        <v>0</v>
      </c>
      <c r="DR84" s="72">
        <v>0</v>
      </c>
      <c r="DS84" s="72">
        <v>0</v>
      </c>
      <c r="DT84" s="72">
        <v>0</v>
      </c>
      <c r="DU84" s="72">
        <v>0</v>
      </c>
      <c r="DV84" s="72">
        <v>0</v>
      </c>
      <c r="DW84" s="72">
        <v>0</v>
      </c>
      <c r="DX84" s="72">
        <v>0</v>
      </c>
      <c r="DY84" s="72">
        <v>0</v>
      </c>
      <c r="DZ84" s="72">
        <v>0</v>
      </c>
      <c r="EA84" s="72">
        <v>0</v>
      </c>
      <c r="EB84" s="72">
        <v>0</v>
      </c>
      <c r="EC84" s="72">
        <v>0</v>
      </c>
      <c r="ED84" s="72">
        <v>0</v>
      </c>
      <c r="EE84" s="72">
        <v>0</v>
      </c>
      <c r="EF84" s="72">
        <v>0</v>
      </c>
      <c r="EG84" s="72">
        <v>0</v>
      </c>
      <c r="EH84" s="72">
        <v>0</v>
      </c>
      <c r="EI84" s="72">
        <v>0</v>
      </c>
      <c r="EJ84" s="72">
        <v>0</v>
      </c>
      <c r="EK84" s="72">
        <v>0</v>
      </c>
      <c r="EL84" s="72">
        <v>0</v>
      </c>
      <c r="EM84" s="72">
        <v>0</v>
      </c>
      <c r="EN84" s="72">
        <v>0</v>
      </c>
      <c r="EO84" s="72">
        <v>0</v>
      </c>
      <c r="EP84" s="72">
        <v>0</v>
      </c>
      <c r="EQ84" s="72">
        <v>0</v>
      </c>
      <c r="ER84" s="72">
        <v>0</v>
      </c>
      <c r="ES84" s="72">
        <v>0</v>
      </c>
      <c r="ET84" s="72">
        <v>0</v>
      </c>
      <c r="EU84" s="72">
        <v>0</v>
      </c>
      <c r="EV84" s="72">
        <v>0</v>
      </c>
      <c r="EW84" s="72">
        <v>0</v>
      </c>
      <c r="EX84" s="72">
        <v>0</v>
      </c>
      <c r="EY84" s="72">
        <v>0</v>
      </c>
      <c r="EZ84" s="72">
        <v>0</v>
      </c>
      <c r="FA84" s="72">
        <v>0</v>
      </c>
      <c r="FB84" s="72">
        <v>0</v>
      </c>
      <c r="FC84" s="72">
        <v>0</v>
      </c>
      <c r="FD84" s="72">
        <v>0</v>
      </c>
      <c r="FE84" s="72">
        <v>0</v>
      </c>
      <c r="FF84" s="72">
        <v>0</v>
      </c>
      <c r="FG84" s="72">
        <v>0</v>
      </c>
      <c r="FH84" s="72">
        <v>0</v>
      </c>
      <c r="FI84" s="72">
        <v>0</v>
      </c>
      <c r="FJ84" s="72">
        <v>0</v>
      </c>
      <c r="FK84" s="72">
        <v>0</v>
      </c>
      <c r="FL84" s="72">
        <v>0</v>
      </c>
      <c r="FM84" s="72">
        <v>0</v>
      </c>
      <c r="FN84" s="72">
        <v>0</v>
      </c>
      <c r="FO84" s="72">
        <v>0</v>
      </c>
      <c r="FP84" s="72">
        <v>0</v>
      </c>
      <c r="FQ84" s="72">
        <v>0</v>
      </c>
      <c r="FR84" s="72">
        <v>0</v>
      </c>
      <c r="FS84" s="72">
        <v>0</v>
      </c>
      <c r="FT84" s="72">
        <v>0</v>
      </c>
      <c r="FU84" s="72">
        <v>0</v>
      </c>
      <c r="FV84" s="74">
        <v>6367.6395750469392</v>
      </c>
      <c r="FW84" s="74">
        <v>7209.1440273771923</v>
      </c>
      <c r="FX84" s="74">
        <v>6597.8950132231075</v>
      </c>
      <c r="FY84" s="74">
        <v>5964.5105411403065</v>
      </c>
      <c r="FZ84" s="74">
        <v>5318.0121050949047</v>
      </c>
      <c r="GA84" s="74">
        <v>4758.2507706489869</v>
      </c>
      <c r="GB84" s="74">
        <v>4167.8749854627968</v>
      </c>
      <c r="GC84" s="74">
        <v>4137.0287546578547</v>
      </c>
      <c r="GD84" s="74">
        <v>3796.5220347952977</v>
      </c>
      <c r="GE84" s="74">
        <v>826.39451587672329</v>
      </c>
      <c r="GF84" s="74">
        <v>705.18107057072996</v>
      </c>
      <c r="GG84" s="74">
        <v>595.60186051123071</v>
      </c>
      <c r="GH84" s="74">
        <v>563.59236451864342</v>
      </c>
      <c r="GI84" s="74">
        <v>704.07043843560973</v>
      </c>
      <c r="GJ84" s="72">
        <v>0</v>
      </c>
      <c r="GK84" s="72">
        <v>0</v>
      </c>
      <c r="GL84" s="72">
        <v>0</v>
      </c>
      <c r="GM84" s="72">
        <v>0</v>
      </c>
      <c r="GN84" s="72">
        <v>0</v>
      </c>
      <c r="GO84" s="72">
        <v>0</v>
      </c>
      <c r="GP84" s="72">
        <v>158.2500414552631</v>
      </c>
      <c r="GQ84" s="72">
        <v>10268.707465790349</v>
      </c>
      <c r="GR84" s="72">
        <f t="shared" si="1"/>
        <v>74454.025699396574</v>
      </c>
      <c r="GS84" s="72">
        <f>SUM(CC$5:CC$202)</f>
        <v>74454.02569939656</v>
      </c>
      <c r="GT84" s="73">
        <v>0</v>
      </c>
    </row>
    <row r="85" spans="1:202" outlineLevel="1" x14ac:dyDescent="0.2">
      <c r="A85" s="66" t="s">
        <v>737</v>
      </c>
      <c r="B85" s="72">
        <v>29858.900160722907</v>
      </c>
      <c r="C85" s="72">
        <v>0</v>
      </c>
      <c r="D85" s="72">
        <v>0</v>
      </c>
      <c r="E85" s="72">
        <v>0</v>
      </c>
      <c r="F85" s="72">
        <v>0</v>
      </c>
      <c r="G85" s="72">
        <v>0</v>
      </c>
      <c r="H85" s="72">
        <v>0</v>
      </c>
      <c r="I85" s="72">
        <v>1110.1895120584625</v>
      </c>
      <c r="J85" s="72">
        <v>0</v>
      </c>
      <c r="K85" s="72">
        <v>0</v>
      </c>
      <c r="L85" s="72">
        <v>0</v>
      </c>
      <c r="M85" s="72">
        <v>0</v>
      </c>
      <c r="N85" s="72">
        <v>0</v>
      </c>
      <c r="O85" s="72">
        <v>0</v>
      </c>
      <c r="P85" s="72">
        <v>0</v>
      </c>
      <c r="Q85" s="72">
        <v>0</v>
      </c>
      <c r="R85" s="72">
        <v>0</v>
      </c>
      <c r="S85" s="72">
        <v>0</v>
      </c>
      <c r="T85" s="72">
        <v>0</v>
      </c>
      <c r="U85" s="72">
        <v>0</v>
      </c>
      <c r="V85" s="72">
        <v>0</v>
      </c>
      <c r="W85" s="72">
        <v>0</v>
      </c>
      <c r="X85" s="72">
        <v>0</v>
      </c>
      <c r="Y85" s="72">
        <v>0</v>
      </c>
      <c r="Z85" s="72">
        <v>0</v>
      </c>
      <c r="AA85" s="72">
        <v>0</v>
      </c>
      <c r="AB85" s="72">
        <v>0</v>
      </c>
      <c r="AC85" s="72">
        <v>0</v>
      </c>
      <c r="AD85" s="72">
        <v>0</v>
      </c>
      <c r="AE85" s="72">
        <v>0</v>
      </c>
      <c r="AF85" s="72">
        <v>0</v>
      </c>
      <c r="AG85" s="72">
        <v>0</v>
      </c>
      <c r="AH85" s="72">
        <v>0</v>
      </c>
      <c r="AI85" s="72">
        <v>53.825594949382449</v>
      </c>
      <c r="AJ85" s="72">
        <v>62.72292478034273</v>
      </c>
      <c r="AK85" s="72">
        <v>0</v>
      </c>
      <c r="AL85" s="72">
        <v>0</v>
      </c>
      <c r="AM85" s="72">
        <v>0</v>
      </c>
      <c r="AN85" s="72">
        <v>0</v>
      </c>
      <c r="AO85" s="72">
        <v>0</v>
      </c>
      <c r="AP85" s="72">
        <v>0</v>
      </c>
      <c r="AQ85" s="72">
        <v>0</v>
      </c>
      <c r="AR85" s="72">
        <v>0</v>
      </c>
      <c r="AS85" s="72">
        <v>0</v>
      </c>
      <c r="AT85" s="72">
        <v>0</v>
      </c>
      <c r="AU85" s="72">
        <v>0</v>
      </c>
      <c r="AV85" s="72">
        <v>0</v>
      </c>
      <c r="AW85" s="72">
        <v>0</v>
      </c>
      <c r="AX85" s="72">
        <v>0</v>
      </c>
      <c r="AY85" s="72">
        <v>0</v>
      </c>
      <c r="AZ85" s="72">
        <v>0</v>
      </c>
      <c r="BA85" s="72">
        <v>0</v>
      </c>
      <c r="BB85" s="72">
        <v>0</v>
      </c>
      <c r="BC85" s="72">
        <v>674.14393916758195</v>
      </c>
      <c r="BD85" s="72">
        <v>3.4954486702005387</v>
      </c>
      <c r="BE85" s="72">
        <v>856.96273692190789</v>
      </c>
      <c r="BF85" s="72">
        <v>0</v>
      </c>
      <c r="BG85" s="72">
        <v>0</v>
      </c>
      <c r="BH85" s="72">
        <v>76.898478256164083</v>
      </c>
      <c r="BI85" s="72">
        <v>0</v>
      </c>
      <c r="BJ85" s="72">
        <v>1799.4496954788856</v>
      </c>
      <c r="BK85" s="72">
        <v>0</v>
      </c>
      <c r="BL85" s="72">
        <v>0</v>
      </c>
      <c r="BM85" s="72">
        <v>0</v>
      </c>
      <c r="BN85" s="72">
        <v>0</v>
      </c>
      <c r="BO85" s="72">
        <v>0</v>
      </c>
      <c r="BP85" s="72">
        <v>0</v>
      </c>
      <c r="BQ85" s="72">
        <v>0</v>
      </c>
      <c r="BR85" s="72">
        <v>0</v>
      </c>
      <c r="BS85" s="72">
        <v>0</v>
      </c>
      <c r="BT85" s="72">
        <v>0</v>
      </c>
      <c r="BU85" s="72">
        <v>0</v>
      </c>
      <c r="BV85" s="72">
        <v>0</v>
      </c>
      <c r="BW85" s="72">
        <v>0</v>
      </c>
      <c r="BX85" s="72">
        <v>0</v>
      </c>
      <c r="BY85" s="72">
        <v>0</v>
      </c>
      <c r="BZ85" s="72">
        <v>0</v>
      </c>
      <c r="CA85" s="72">
        <v>0</v>
      </c>
      <c r="CB85" s="72">
        <v>0</v>
      </c>
      <c r="CC85" s="72">
        <v>0</v>
      </c>
      <c r="CD85" s="72">
        <v>0</v>
      </c>
      <c r="CE85" s="72">
        <v>0</v>
      </c>
      <c r="CF85" s="72">
        <v>0</v>
      </c>
      <c r="CG85" s="72">
        <v>0</v>
      </c>
      <c r="CH85" s="72">
        <v>0</v>
      </c>
      <c r="CI85" s="72">
        <v>0</v>
      </c>
      <c r="CJ85" s="72">
        <v>0</v>
      </c>
      <c r="CK85" s="72">
        <v>0</v>
      </c>
      <c r="CL85" s="72">
        <v>0</v>
      </c>
      <c r="CM85" s="72">
        <v>0</v>
      </c>
      <c r="CN85" s="72">
        <v>0</v>
      </c>
      <c r="CO85" s="72">
        <v>0</v>
      </c>
      <c r="CP85" s="72">
        <v>0</v>
      </c>
      <c r="CQ85" s="72">
        <v>0</v>
      </c>
      <c r="CR85" s="72">
        <v>0</v>
      </c>
      <c r="CS85" s="72">
        <v>0</v>
      </c>
      <c r="CT85" s="72">
        <v>0</v>
      </c>
      <c r="CU85" s="72">
        <v>0</v>
      </c>
      <c r="CV85" s="72">
        <v>0</v>
      </c>
      <c r="CW85" s="72">
        <v>0</v>
      </c>
      <c r="CX85" s="72">
        <v>0</v>
      </c>
      <c r="CY85" s="72">
        <v>0</v>
      </c>
      <c r="CZ85" s="72">
        <v>0</v>
      </c>
      <c r="DA85" s="72">
        <v>0</v>
      </c>
      <c r="DB85" s="72">
        <v>0</v>
      </c>
      <c r="DC85" s="72">
        <v>0</v>
      </c>
      <c r="DD85" s="72">
        <v>0</v>
      </c>
      <c r="DE85" s="72">
        <v>0</v>
      </c>
      <c r="DF85" s="72">
        <v>0</v>
      </c>
      <c r="DG85" s="72">
        <v>0</v>
      </c>
      <c r="DH85" s="72">
        <v>0</v>
      </c>
      <c r="DI85" s="72">
        <v>0</v>
      </c>
      <c r="DJ85" s="72">
        <v>0</v>
      </c>
      <c r="DK85" s="72">
        <v>0</v>
      </c>
      <c r="DL85" s="72">
        <v>0</v>
      </c>
      <c r="DM85" s="72">
        <v>0</v>
      </c>
      <c r="DN85" s="72">
        <v>0</v>
      </c>
      <c r="DO85" s="72">
        <v>0</v>
      </c>
      <c r="DP85" s="72">
        <v>0</v>
      </c>
      <c r="DQ85" s="72">
        <v>0</v>
      </c>
      <c r="DR85" s="72">
        <v>0</v>
      </c>
      <c r="DS85" s="72">
        <v>0</v>
      </c>
      <c r="DT85" s="72">
        <v>0</v>
      </c>
      <c r="DU85" s="72">
        <v>0</v>
      </c>
      <c r="DV85" s="72">
        <v>0</v>
      </c>
      <c r="DW85" s="72">
        <v>0</v>
      </c>
      <c r="DX85" s="72">
        <v>0</v>
      </c>
      <c r="DY85" s="72">
        <v>0</v>
      </c>
      <c r="DZ85" s="72">
        <v>0</v>
      </c>
      <c r="EA85" s="72">
        <v>0</v>
      </c>
      <c r="EB85" s="72">
        <v>0</v>
      </c>
      <c r="EC85" s="72">
        <v>0</v>
      </c>
      <c r="ED85" s="72">
        <v>0</v>
      </c>
      <c r="EE85" s="72">
        <v>0</v>
      </c>
      <c r="EF85" s="72">
        <v>0</v>
      </c>
      <c r="EG85" s="72">
        <v>0</v>
      </c>
      <c r="EH85" s="72">
        <v>0</v>
      </c>
      <c r="EI85" s="72">
        <v>0</v>
      </c>
      <c r="EJ85" s="72">
        <v>0</v>
      </c>
      <c r="EK85" s="72">
        <v>0</v>
      </c>
      <c r="EL85" s="72">
        <v>0</v>
      </c>
      <c r="EM85" s="72">
        <v>0</v>
      </c>
      <c r="EN85" s="72">
        <v>0</v>
      </c>
      <c r="EO85" s="72">
        <v>0</v>
      </c>
      <c r="EP85" s="72">
        <v>0</v>
      </c>
      <c r="EQ85" s="72">
        <v>0</v>
      </c>
      <c r="ER85" s="72">
        <v>0</v>
      </c>
      <c r="ES85" s="72">
        <v>0</v>
      </c>
      <c r="ET85" s="72">
        <v>0</v>
      </c>
      <c r="EU85" s="72">
        <v>0</v>
      </c>
      <c r="EV85" s="72">
        <v>0</v>
      </c>
      <c r="EW85" s="72">
        <v>0</v>
      </c>
      <c r="EX85" s="72">
        <v>0</v>
      </c>
      <c r="EY85" s="72">
        <v>0</v>
      </c>
      <c r="EZ85" s="72">
        <v>0</v>
      </c>
      <c r="FA85" s="72">
        <v>0</v>
      </c>
      <c r="FB85" s="72">
        <v>0</v>
      </c>
      <c r="FC85" s="72">
        <v>0</v>
      </c>
      <c r="FD85" s="72">
        <v>0</v>
      </c>
      <c r="FE85" s="72">
        <v>0</v>
      </c>
      <c r="FF85" s="72">
        <v>0</v>
      </c>
      <c r="FG85" s="72">
        <v>0</v>
      </c>
      <c r="FH85" s="72">
        <v>0</v>
      </c>
      <c r="FI85" s="72">
        <v>0</v>
      </c>
      <c r="FJ85" s="72">
        <v>0</v>
      </c>
      <c r="FK85" s="72">
        <v>0</v>
      </c>
      <c r="FL85" s="72">
        <v>0</v>
      </c>
      <c r="FM85" s="72">
        <v>0</v>
      </c>
      <c r="FN85" s="72">
        <v>0</v>
      </c>
      <c r="FO85" s="72">
        <v>0</v>
      </c>
      <c r="FP85" s="72">
        <v>0</v>
      </c>
      <c r="FQ85" s="72">
        <v>0</v>
      </c>
      <c r="FR85" s="72">
        <v>0</v>
      </c>
      <c r="FS85" s="72">
        <v>0</v>
      </c>
      <c r="FT85" s="72">
        <v>0</v>
      </c>
      <c r="FU85" s="72">
        <v>0</v>
      </c>
      <c r="FV85" s="74">
        <v>22.648262417776191</v>
      </c>
      <c r="FW85" s="74">
        <v>35.21755485588502</v>
      </c>
      <c r="FX85" s="74">
        <v>68.000017467880696</v>
      </c>
      <c r="FY85" s="74">
        <v>122.94550592221785</v>
      </c>
      <c r="FZ85" s="74">
        <v>146.32621325680728</v>
      </c>
      <c r="GA85" s="74">
        <v>281.21525971385876</v>
      </c>
      <c r="GB85" s="74">
        <v>374.84468915140013</v>
      </c>
      <c r="GC85" s="74">
        <v>778.67375857848117</v>
      </c>
      <c r="GD85" s="74">
        <v>2053.5145645823172</v>
      </c>
      <c r="GE85" s="74">
        <v>505.78615290825172</v>
      </c>
      <c r="GF85" s="74">
        <v>833.36100330393708</v>
      </c>
      <c r="GG85" s="74">
        <v>999.71155431392287</v>
      </c>
      <c r="GH85" s="74">
        <v>1020.1335040226406</v>
      </c>
      <c r="GI85" s="74">
        <v>1067.1201469274556</v>
      </c>
      <c r="GJ85" s="72">
        <v>0</v>
      </c>
      <c r="GK85" s="72">
        <v>0</v>
      </c>
      <c r="GL85" s="72">
        <v>0</v>
      </c>
      <c r="GM85" s="72">
        <v>0</v>
      </c>
      <c r="GN85" s="72">
        <v>0</v>
      </c>
      <c r="GO85" s="72">
        <v>0</v>
      </c>
      <c r="GP85" s="72">
        <v>-51.344117914662434</v>
      </c>
      <c r="GQ85" s="72">
        <v>3120.6719958659774</v>
      </c>
      <c r="GR85" s="72">
        <f t="shared" si="1"/>
        <v>45875.414556379968</v>
      </c>
      <c r="GS85" s="72">
        <f>SUM(CD$5:CD$202)</f>
        <v>45875.414556379983</v>
      </c>
      <c r="GT85" s="73">
        <v>0</v>
      </c>
    </row>
    <row r="86" spans="1:202" outlineLevel="1" x14ac:dyDescent="0.2">
      <c r="A86" s="66" t="s">
        <v>744</v>
      </c>
      <c r="B86" s="72">
        <v>0</v>
      </c>
      <c r="C86" s="72">
        <v>0</v>
      </c>
      <c r="D86" s="72">
        <v>0</v>
      </c>
      <c r="E86" s="72">
        <v>0</v>
      </c>
      <c r="F86" s="72">
        <v>0</v>
      </c>
      <c r="G86" s="72">
        <v>0</v>
      </c>
      <c r="H86" s="72">
        <v>0</v>
      </c>
      <c r="I86" s="72">
        <v>1696.5380635226752</v>
      </c>
      <c r="J86" s="72">
        <v>0</v>
      </c>
      <c r="K86" s="72">
        <v>0</v>
      </c>
      <c r="L86" s="72">
        <v>0</v>
      </c>
      <c r="M86" s="72">
        <v>0</v>
      </c>
      <c r="N86" s="72">
        <v>0</v>
      </c>
      <c r="O86" s="72">
        <v>0</v>
      </c>
      <c r="P86" s="72">
        <v>0</v>
      </c>
      <c r="Q86" s="72">
        <v>0</v>
      </c>
      <c r="R86" s="72">
        <v>0</v>
      </c>
      <c r="S86" s="72">
        <v>0</v>
      </c>
      <c r="T86" s="72">
        <v>0</v>
      </c>
      <c r="U86" s="72">
        <v>0</v>
      </c>
      <c r="V86" s="72">
        <v>0</v>
      </c>
      <c r="W86" s="72">
        <v>0</v>
      </c>
      <c r="X86" s="72">
        <v>0</v>
      </c>
      <c r="Y86" s="72">
        <v>0</v>
      </c>
      <c r="Z86" s="72">
        <v>0</v>
      </c>
      <c r="AA86" s="72">
        <v>0</v>
      </c>
      <c r="AB86" s="72">
        <v>0</v>
      </c>
      <c r="AC86" s="72">
        <v>0</v>
      </c>
      <c r="AD86" s="72">
        <v>0</v>
      </c>
      <c r="AE86" s="72">
        <v>0</v>
      </c>
      <c r="AF86" s="72">
        <v>0</v>
      </c>
      <c r="AG86" s="72">
        <v>0</v>
      </c>
      <c r="AH86" s="72">
        <v>0</v>
      </c>
      <c r="AI86" s="72">
        <v>93.319444080774687</v>
      </c>
      <c r="AJ86" s="72">
        <v>106.08403983093311</v>
      </c>
      <c r="AK86" s="72">
        <v>0</v>
      </c>
      <c r="AL86" s="72">
        <v>0</v>
      </c>
      <c r="AM86" s="72">
        <v>0</v>
      </c>
      <c r="AN86" s="72">
        <v>0</v>
      </c>
      <c r="AO86" s="72">
        <v>2918.2160113201235</v>
      </c>
      <c r="AP86" s="72">
        <v>133.68850777178102</v>
      </c>
      <c r="AQ86" s="72">
        <v>133.86911961284784</v>
      </c>
      <c r="AR86" s="72">
        <v>280.3543433680012</v>
      </c>
      <c r="AS86" s="72">
        <v>0</v>
      </c>
      <c r="AT86" s="72">
        <v>0</v>
      </c>
      <c r="AU86" s="72">
        <v>0</v>
      </c>
      <c r="AV86" s="72">
        <v>0</v>
      </c>
      <c r="AW86" s="72">
        <v>0</v>
      </c>
      <c r="AX86" s="72">
        <v>0</v>
      </c>
      <c r="AY86" s="72">
        <v>0</v>
      </c>
      <c r="AZ86" s="72">
        <v>0</v>
      </c>
      <c r="BA86" s="72">
        <v>0</v>
      </c>
      <c r="BB86" s="72">
        <v>0</v>
      </c>
      <c r="BC86" s="72">
        <v>980.72960259556498</v>
      </c>
      <c r="BD86" s="72">
        <v>30.351588327382252</v>
      </c>
      <c r="BE86" s="72">
        <v>1548.4293875333328</v>
      </c>
      <c r="BF86" s="72">
        <v>0</v>
      </c>
      <c r="BG86" s="72">
        <v>199.53484973487127</v>
      </c>
      <c r="BH86" s="72">
        <v>3978.870418563572</v>
      </c>
      <c r="BI86" s="72">
        <v>0</v>
      </c>
      <c r="BJ86" s="72">
        <v>719.75225781026018</v>
      </c>
      <c r="BK86" s="72">
        <v>0</v>
      </c>
      <c r="BL86" s="72">
        <v>0</v>
      </c>
      <c r="BM86" s="72">
        <v>0</v>
      </c>
      <c r="BN86" s="72">
        <v>0</v>
      </c>
      <c r="BO86" s="72">
        <v>0</v>
      </c>
      <c r="BP86" s="72">
        <v>0</v>
      </c>
      <c r="BQ86" s="72">
        <v>0</v>
      </c>
      <c r="BR86" s="72">
        <v>0</v>
      </c>
      <c r="BS86" s="72">
        <v>0</v>
      </c>
      <c r="BT86" s="72">
        <v>0</v>
      </c>
      <c r="BU86" s="72">
        <v>0</v>
      </c>
      <c r="BV86" s="72">
        <v>0</v>
      </c>
      <c r="BW86" s="72">
        <v>0</v>
      </c>
      <c r="BX86" s="72">
        <v>0</v>
      </c>
      <c r="BY86" s="72">
        <v>0</v>
      </c>
      <c r="BZ86" s="72">
        <v>0</v>
      </c>
      <c r="CA86" s="72">
        <v>0</v>
      </c>
      <c r="CB86" s="72">
        <v>0</v>
      </c>
      <c r="CC86" s="72">
        <v>0</v>
      </c>
      <c r="CD86" s="72">
        <v>0</v>
      </c>
      <c r="CE86" s="72">
        <v>0</v>
      </c>
      <c r="CF86" s="72">
        <v>0</v>
      </c>
      <c r="CG86" s="72">
        <v>0</v>
      </c>
      <c r="CH86" s="72">
        <v>0</v>
      </c>
      <c r="CI86" s="72">
        <v>0</v>
      </c>
      <c r="CJ86" s="72">
        <v>0</v>
      </c>
      <c r="CK86" s="72">
        <v>0</v>
      </c>
      <c r="CL86" s="72">
        <v>0</v>
      </c>
      <c r="CM86" s="72">
        <v>0</v>
      </c>
      <c r="CN86" s="72">
        <v>0</v>
      </c>
      <c r="CO86" s="72">
        <v>0</v>
      </c>
      <c r="CP86" s="72">
        <v>0</v>
      </c>
      <c r="CQ86" s="72">
        <v>0</v>
      </c>
      <c r="CR86" s="72">
        <v>0</v>
      </c>
      <c r="CS86" s="72">
        <v>0</v>
      </c>
      <c r="CT86" s="72">
        <v>0</v>
      </c>
      <c r="CU86" s="72">
        <v>0</v>
      </c>
      <c r="CV86" s="72">
        <v>0</v>
      </c>
      <c r="CW86" s="72">
        <v>0</v>
      </c>
      <c r="CX86" s="72">
        <v>0</v>
      </c>
      <c r="CY86" s="72">
        <v>0</v>
      </c>
      <c r="CZ86" s="72">
        <v>0</v>
      </c>
      <c r="DA86" s="72">
        <v>0</v>
      </c>
      <c r="DB86" s="72">
        <v>0</v>
      </c>
      <c r="DC86" s="72">
        <v>0</v>
      </c>
      <c r="DD86" s="72">
        <v>0</v>
      </c>
      <c r="DE86" s="72">
        <v>0</v>
      </c>
      <c r="DF86" s="72">
        <v>0</v>
      </c>
      <c r="DG86" s="72">
        <v>0</v>
      </c>
      <c r="DH86" s="72">
        <v>0</v>
      </c>
      <c r="DI86" s="72">
        <v>0</v>
      </c>
      <c r="DJ86" s="72">
        <v>0</v>
      </c>
      <c r="DK86" s="72">
        <v>0</v>
      </c>
      <c r="DL86" s="72">
        <v>0</v>
      </c>
      <c r="DM86" s="72">
        <v>0</v>
      </c>
      <c r="DN86" s="72">
        <v>0</v>
      </c>
      <c r="DO86" s="72">
        <v>0</v>
      </c>
      <c r="DP86" s="72">
        <v>0</v>
      </c>
      <c r="DQ86" s="72">
        <v>0</v>
      </c>
      <c r="DR86" s="72">
        <v>0</v>
      </c>
      <c r="DS86" s="72">
        <v>0</v>
      </c>
      <c r="DT86" s="72">
        <v>0</v>
      </c>
      <c r="DU86" s="72">
        <v>0</v>
      </c>
      <c r="DV86" s="72">
        <v>0</v>
      </c>
      <c r="DW86" s="72">
        <v>0</v>
      </c>
      <c r="DX86" s="72">
        <v>0</v>
      </c>
      <c r="DY86" s="72">
        <v>0</v>
      </c>
      <c r="DZ86" s="72">
        <v>0</v>
      </c>
      <c r="EA86" s="72">
        <v>0</v>
      </c>
      <c r="EB86" s="72">
        <v>0</v>
      </c>
      <c r="EC86" s="72">
        <v>0</v>
      </c>
      <c r="ED86" s="72">
        <v>0</v>
      </c>
      <c r="EE86" s="72">
        <v>0</v>
      </c>
      <c r="EF86" s="72">
        <v>0</v>
      </c>
      <c r="EG86" s="72">
        <v>0</v>
      </c>
      <c r="EH86" s="72">
        <v>0</v>
      </c>
      <c r="EI86" s="72">
        <v>0</v>
      </c>
      <c r="EJ86" s="72">
        <v>0</v>
      </c>
      <c r="EK86" s="72">
        <v>0</v>
      </c>
      <c r="EL86" s="72">
        <v>0</v>
      </c>
      <c r="EM86" s="72">
        <v>0</v>
      </c>
      <c r="EN86" s="72">
        <v>0</v>
      </c>
      <c r="EO86" s="72">
        <v>0</v>
      </c>
      <c r="EP86" s="72">
        <v>0</v>
      </c>
      <c r="EQ86" s="72">
        <v>0</v>
      </c>
      <c r="ER86" s="72">
        <v>0</v>
      </c>
      <c r="ES86" s="72">
        <v>0</v>
      </c>
      <c r="ET86" s="72">
        <v>0</v>
      </c>
      <c r="EU86" s="72">
        <v>0</v>
      </c>
      <c r="EV86" s="72">
        <v>0</v>
      </c>
      <c r="EW86" s="72">
        <v>0</v>
      </c>
      <c r="EX86" s="72">
        <v>0</v>
      </c>
      <c r="EY86" s="72">
        <v>0</v>
      </c>
      <c r="EZ86" s="72">
        <v>0</v>
      </c>
      <c r="FA86" s="72">
        <v>0</v>
      </c>
      <c r="FB86" s="72">
        <v>0</v>
      </c>
      <c r="FC86" s="72">
        <v>0</v>
      </c>
      <c r="FD86" s="72">
        <v>0</v>
      </c>
      <c r="FE86" s="72">
        <v>0</v>
      </c>
      <c r="FF86" s="72">
        <v>0</v>
      </c>
      <c r="FG86" s="72">
        <v>0</v>
      </c>
      <c r="FH86" s="72">
        <v>0</v>
      </c>
      <c r="FI86" s="72">
        <v>0</v>
      </c>
      <c r="FJ86" s="72">
        <v>0</v>
      </c>
      <c r="FK86" s="72">
        <v>0</v>
      </c>
      <c r="FL86" s="72">
        <v>0</v>
      </c>
      <c r="FM86" s="72">
        <v>0</v>
      </c>
      <c r="FN86" s="72">
        <v>0</v>
      </c>
      <c r="FO86" s="72">
        <v>0</v>
      </c>
      <c r="FP86" s="72">
        <v>0</v>
      </c>
      <c r="FQ86" s="72">
        <v>0</v>
      </c>
      <c r="FR86" s="72">
        <v>0</v>
      </c>
      <c r="FS86" s="72">
        <v>0</v>
      </c>
      <c r="FT86" s="72">
        <v>0</v>
      </c>
      <c r="FU86" s="72">
        <v>0</v>
      </c>
      <c r="FV86" s="74">
        <v>2305.9950696341039</v>
      </c>
      <c r="FW86" s="74">
        <v>2847.0895985549573</v>
      </c>
      <c r="FX86" s="74">
        <v>3094.9981167476158</v>
      </c>
      <c r="FY86" s="74">
        <v>3293.1032750081436</v>
      </c>
      <c r="FZ86" s="74">
        <v>3364.7532217036055</v>
      </c>
      <c r="GA86" s="74">
        <v>3534.3863663610837</v>
      </c>
      <c r="GB86" s="74">
        <v>3460.6480368436783</v>
      </c>
      <c r="GC86" s="74">
        <v>3595.3696780609548</v>
      </c>
      <c r="GD86" s="74">
        <v>3909.4909959019774</v>
      </c>
      <c r="GE86" s="74">
        <v>841.26256920402363</v>
      </c>
      <c r="GF86" s="74">
        <v>830.31753502007109</v>
      </c>
      <c r="GG86" s="74">
        <v>741.76983593749685</v>
      </c>
      <c r="GH86" s="74">
        <v>745.95408777939861</v>
      </c>
      <c r="GI86" s="74">
        <v>773.78156378189328</v>
      </c>
      <c r="GJ86" s="72">
        <v>0</v>
      </c>
      <c r="GK86" s="72">
        <v>0</v>
      </c>
      <c r="GL86" s="72">
        <v>0</v>
      </c>
      <c r="GM86" s="72">
        <v>0</v>
      </c>
      <c r="GN86" s="72">
        <v>0</v>
      </c>
      <c r="GO86" s="72">
        <v>0</v>
      </c>
      <c r="GP86" s="72">
        <v>927.24998942156935</v>
      </c>
      <c r="GQ86" s="72">
        <v>2148.5441706866859</v>
      </c>
      <c r="GR86" s="72">
        <f t="shared" si="1"/>
        <v>49234.451744719379</v>
      </c>
      <c r="GS86" s="72">
        <f>SUM(CE$5:CE$202)</f>
        <v>49234.451744719394</v>
      </c>
      <c r="GT86" s="73">
        <v>0</v>
      </c>
    </row>
    <row r="87" spans="1:202" outlineLevel="1" x14ac:dyDescent="0.2">
      <c r="A87" s="66" t="s">
        <v>749</v>
      </c>
      <c r="B87" s="72">
        <v>0</v>
      </c>
      <c r="C87" s="72">
        <v>0</v>
      </c>
      <c r="D87" s="72">
        <v>0</v>
      </c>
      <c r="E87" s="72">
        <v>0</v>
      </c>
      <c r="F87" s="72">
        <v>0</v>
      </c>
      <c r="G87" s="72">
        <v>0</v>
      </c>
      <c r="H87" s="72">
        <v>0</v>
      </c>
      <c r="I87" s="72">
        <v>2456.5934279485577</v>
      </c>
      <c r="J87" s="72">
        <v>13382.618854979115</v>
      </c>
      <c r="K87" s="72">
        <v>0</v>
      </c>
      <c r="L87" s="72">
        <v>0</v>
      </c>
      <c r="M87" s="72">
        <v>0</v>
      </c>
      <c r="N87" s="72">
        <v>0</v>
      </c>
      <c r="O87" s="72">
        <v>0</v>
      </c>
      <c r="P87" s="72">
        <v>0</v>
      </c>
      <c r="Q87" s="72">
        <v>0</v>
      </c>
      <c r="R87" s="72">
        <v>0</v>
      </c>
      <c r="S87" s="72">
        <v>0</v>
      </c>
      <c r="T87" s="72">
        <v>25.32423141167855</v>
      </c>
      <c r="U87" s="72">
        <v>0</v>
      </c>
      <c r="V87" s="72">
        <v>0</v>
      </c>
      <c r="W87" s="72">
        <v>0</v>
      </c>
      <c r="X87" s="72">
        <v>0</v>
      </c>
      <c r="Y87" s="72">
        <v>0</v>
      </c>
      <c r="Z87" s="72">
        <v>0</v>
      </c>
      <c r="AA87" s="72">
        <v>0</v>
      </c>
      <c r="AB87" s="72">
        <v>0</v>
      </c>
      <c r="AC87" s="72">
        <v>0</v>
      </c>
      <c r="AD87" s="72">
        <v>0</v>
      </c>
      <c r="AE87" s="72">
        <v>0</v>
      </c>
      <c r="AF87" s="72">
        <v>0</v>
      </c>
      <c r="AG87" s="72">
        <v>0</v>
      </c>
      <c r="AH87" s="72">
        <v>0</v>
      </c>
      <c r="AI87" s="72">
        <v>2.8984283060336233</v>
      </c>
      <c r="AJ87" s="72">
        <v>3.361347857615538</v>
      </c>
      <c r="AK87" s="72">
        <v>0</v>
      </c>
      <c r="AL87" s="72">
        <v>0</v>
      </c>
      <c r="AM87" s="72">
        <v>0</v>
      </c>
      <c r="AN87" s="72">
        <v>0</v>
      </c>
      <c r="AO87" s="72">
        <v>95.326230640887516</v>
      </c>
      <c r="AP87" s="72">
        <v>0</v>
      </c>
      <c r="AQ87" s="72">
        <v>0</v>
      </c>
      <c r="AR87" s="72">
        <v>0</v>
      </c>
      <c r="AS87" s="72">
        <v>0</v>
      </c>
      <c r="AT87" s="72">
        <v>0</v>
      </c>
      <c r="AU87" s="72">
        <v>0</v>
      </c>
      <c r="AV87" s="72">
        <v>0</v>
      </c>
      <c r="AW87" s="72">
        <v>0</v>
      </c>
      <c r="AX87" s="72">
        <v>0</v>
      </c>
      <c r="AY87" s="72">
        <v>0</v>
      </c>
      <c r="AZ87" s="72">
        <v>0</v>
      </c>
      <c r="BA87" s="72">
        <v>0</v>
      </c>
      <c r="BB87" s="72">
        <v>0</v>
      </c>
      <c r="BC87" s="72">
        <v>107.13965748807331</v>
      </c>
      <c r="BD87" s="72">
        <v>1.9451696054903966</v>
      </c>
      <c r="BE87" s="72">
        <v>34.159280219565467</v>
      </c>
      <c r="BF87" s="72">
        <v>0</v>
      </c>
      <c r="BG87" s="72">
        <v>0</v>
      </c>
      <c r="BH87" s="72">
        <v>0</v>
      </c>
      <c r="BI87" s="72">
        <v>0</v>
      </c>
      <c r="BJ87" s="72">
        <v>712.49251607661961</v>
      </c>
      <c r="BK87" s="72">
        <v>0</v>
      </c>
      <c r="BL87" s="72">
        <v>0</v>
      </c>
      <c r="BM87" s="72">
        <v>0</v>
      </c>
      <c r="BN87" s="72">
        <v>0</v>
      </c>
      <c r="BO87" s="72">
        <v>0</v>
      </c>
      <c r="BP87" s="72">
        <v>0</v>
      </c>
      <c r="BQ87" s="72">
        <v>0</v>
      </c>
      <c r="BR87" s="72">
        <v>0</v>
      </c>
      <c r="BS87" s="72">
        <v>0</v>
      </c>
      <c r="BT87" s="72">
        <v>0</v>
      </c>
      <c r="BU87" s="72">
        <v>0</v>
      </c>
      <c r="BV87" s="72">
        <v>0</v>
      </c>
      <c r="BW87" s="72">
        <v>0</v>
      </c>
      <c r="BX87" s="72">
        <v>0</v>
      </c>
      <c r="BY87" s="72">
        <v>0</v>
      </c>
      <c r="BZ87" s="72">
        <v>0</v>
      </c>
      <c r="CA87" s="72">
        <v>0</v>
      </c>
      <c r="CB87" s="72">
        <v>0</v>
      </c>
      <c r="CC87" s="72">
        <v>0</v>
      </c>
      <c r="CD87" s="72">
        <v>0</v>
      </c>
      <c r="CE87" s="72">
        <v>0</v>
      </c>
      <c r="CF87" s="72">
        <v>0</v>
      </c>
      <c r="CG87" s="72">
        <v>0</v>
      </c>
      <c r="CH87" s="72">
        <v>0</v>
      </c>
      <c r="CI87" s="72">
        <v>0</v>
      </c>
      <c r="CJ87" s="72">
        <v>0</v>
      </c>
      <c r="CK87" s="72">
        <v>0</v>
      </c>
      <c r="CL87" s="72">
        <v>0</v>
      </c>
      <c r="CM87" s="72">
        <v>0</v>
      </c>
      <c r="CN87" s="72">
        <v>0</v>
      </c>
      <c r="CO87" s="72">
        <v>0</v>
      </c>
      <c r="CP87" s="72">
        <v>0</v>
      </c>
      <c r="CQ87" s="72">
        <v>0</v>
      </c>
      <c r="CR87" s="72">
        <v>0</v>
      </c>
      <c r="CS87" s="72">
        <v>0</v>
      </c>
      <c r="CT87" s="72">
        <v>0</v>
      </c>
      <c r="CU87" s="72">
        <v>0</v>
      </c>
      <c r="CV87" s="72">
        <v>0</v>
      </c>
      <c r="CW87" s="72">
        <v>0</v>
      </c>
      <c r="CX87" s="72">
        <v>0</v>
      </c>
      <c r="CY87" s="72">
        <v>0</v>
      </c>
      <c r="CZ87" s="72">
        <v>0</v>
      </c>
      <c r="DA87" s="72">
        <v>0</v>
      </c>
      <c r="DB87" s="72">
        <v>0</v>
      </c>
      <c r="DC87" s="72">
        <v>0</v>
      </c>
      <c r="DD87" s="72">
        <v>0</v>
      </c>
      <c r="DE87" s="72">
        <v>0</v>
      </c>
      <c r="DF87" s="72">
        <v>0</v>
      </c>
      <c r="DG87" s="72">
        <v>0</v>
      </c>
      <c r="DH87" s="72">
        <v>0</v>
      </c>
      <c r="DI87" s="72">
        <v>0</v>
      </c>
      <c r="DJ87" s="72">
        <v>0</v>
      </c>
      <c r="DK87" s="72">
        <v>0</v>
      </c>
      <c r="DL87" s="72">
        <v>0</v>
      </c>
      <c r="DM87" s="72">
        <v>0</v>
      </c>
      <c r="DN87" s="72">
        <v>0</v>
      </c>
      <c r="DO87" s="72">
        <v>0</v>
      </c>
      <c r="DP87" s="72">
        <v>0</v>
      </c>
      <c r="DQ87" s="72">
        <v>0</v>
      </c>
      <c r="DR87" s="72">
        <v>0</v>
      </c>
      <c r="DS87" s="72">
        <v>0</v>
      </c>
      <c r="DT87" s="72">
        <v>0</v>
      </c>
      <c r="DU87" s="72">
        <v>0</v>
      </c>
      <c r="DV87" s="72">
        <v>0</v>
      </c>
      <c r="DW87" s="72">
        <v>0</v>
      </c>
      <c r="DX87" s="72">
        <v>0</v>
      </c>
      <c r="DY87" s="72">
        <v>0</v>
      </c>
      <c r="DZ87" s="72">
        <v>0</v>
      </c>
      <c r="EA87" s="72">
        <v>0</v>
      </c>
      <c r="EB87" s="72">
        <v>0</v>
      </c>
      <c r="EC87" s="72">
        <v>0</v>
      </c>
      <c r="ED87" s="72">
        <v>0</v>
      </c>
      <c r="EE87" s="72">
        <v>0</v>
      </c>
      <c r="EF87" s="72">
        <v>0</v>
      </c>
      <c r="EG87" s="72">
        <v>0</v>
      </c>
      <c r="EH87" s="72">
        <v>0</v>
      </c>
      <c r="EI87" s="72">
        <v>0</v>
      </c>
      <c r="EJ87" s="72">
        <v>0</v>
      </c>
      <c r="EK87" s="72">
        <v>0</v>
      </c>
      <c r="EL87" s="72">
        <v>0</v>
      </c>
      <c r="EM87" s="72">
        <v>0</v>
      </c>
      <c r="EN87" s="72">
        <v>0</v>
      </c>
      <c r="EO87" s="72">
        <v>0</v>
      </c>
      <c r="EP87" s="72">
        <v>0</v>
      </c>
      <c r="EQ87" s="72">
        <v>0</v>
      </c>
      <c r="ER87" s="72">
        <v>0</v>
      </c>
      <c r="ES87" s="72">
        <v>0</v>
      </c>
      <c r="ET87" s="72">
        <v>0</v>
      </c>
      <c r="EU87" s="72">
        <v>0</v>
      </c>
      <c r="EV87" s="72">
        <v>0</v>
      </c>
      <c r="EW87" s="72">
        <v>0</v>
      </c>
      <c r="EX87" s="72">
        <v>0</v>
      </c>
      <c r="EY87" s="72">
        <v>0</v>
      </c>
      <c r="EZ87" s="72">
        <v>0</v>
      </c>
      <c r="FA87" s="72">
        <v>0</v>
      </c>
      <c r="FB87" s="72">
        <v>0</v>
      </c>
      <c r="FC87" s="72">
        <v>0</v>
      </c>
      <c r="FD87" s="72">
        <v>0</v>
      </c>
      <c r="FE87" s="72">
        <v>0</v>
      </c>
      <c r="FF87" s="72">
        <v>0</v>
      </c>
      <c r="FG87" s="72">
        <v>0</v>
      </c>
      <c r="FH87" s="72">
        <v>0</v>
      </c>
      <c r="FI87" s="72">
        <v>0</v>
      </c>
      <c r="FJ87" s="72">
        <v>0</v>
      </c>
      <c r="FK87" s="72">
        <v>0</v>
      </c>
      <c r="FL87" s="72">
        <v>0</v>
      </c>
      <c r="FM87" s="72">
        <v>0</v>
      </c>
      <c r="FN87" s="72">
        <v>0</v>
      </c>
      <c r="FO87" s="72">
        <v>0</v>
      </c>
      <c r="FP87" s="72">
        <v>0</v>
      </c>
      <c r="FQ87" s="72">
        <v>0</v>
      </c>
      <c r="FR87" s="72">
        <v>0</v>
      </c>
      <c r="FS87" s="72">
        <v>0</v>
      </c>
      <c r="FT87" s="72">
        <v>0</v>
      </c>
      <c r="FU87" s="72">
        <v>0</v>
      </c>
      <c r="FV87" s="74">
        <v>959.39000320851085</v>
      </c>
      <c r="FW87" s="74">
        <v>1200.1187827583899</v>
      </c>
      <c r="FX87" s="74">
        <v>1139.8125255368329</v>
      </c>
      <c r="FY87" s="74">
        <v>1064.3022251678426</v>
      </c>
      <c r="FZ87" s="74">
        <v>1054.0117418144332</v>
      </c>
      <c r="GA87" s="74">
        <v>933.4732155946806</v>
      </c>
      <c r="GB87" s="74">
        <v>801.18024992314145</v>
      </c>
      <c r="GC87" s="74">
        <v>763.09427780371311</v>
      </c>
      <c r="GD87" s="74">
        <v>732.45193746400935</v>
      </c>
      <c r="GE87" s="74">
        <v>160.60951500555313</v>
      </c>
      <c r="GF87" s="74">
        <v>120.68719463195833</v>
      </c>
      <c r="GG87" s="74">
        <v>107.55459322443272</v>
      </c>
      <c r="GH87" s="74">
        <v>137.1354152299983</v>
      </c>
      <c r="GI87" s="74">
        <v>116.96278825989776</v>
      </c>
      <c r="GJ87" s="72">
        <v>0</v>
      </c>
      <c r="GK87" s="72">
        <v>0</v>
      </c>
      <c r="GL87" s="72">
        <v>0</v>
      </c>
      <c r="GM87" s="72">
        <v>0</v>
      </c>
      <c r="GN87" s="72">
        <v>0</v>
      </c>
      <c r="GO87" s="72">
        <v>0</v>
      </c>
      <c r="GP87" s="72">
        <v>371.54487820778945</v>
      </c>
      <c r="GQ87" s="72">
        <v>3084.3155350046368</v>
      </c>
      <c r="GR87" s="72">
        <f t="shared" si="1"/>
        <v>29568.504023369449</v>
      </c>
      <c r="GS87" s="72">
        <f>SUM(CF$5:CF$202)</f>
        <v>29568.504023369456</v>
      </c>
      <c r="GT87" s="73">
        <v>0</v>
      </c>
    </row>
    <row r="88" spans="1:202" outlineLevel="1" x14ac:dyDescent="0.2">
      <c r="A88" s="66" t="s">
        <v>753</v>
      </c>
      <c r="B88" s="72">
        <v>0</v>
      </c>
      <c r="C88" s="72">
        <v>0</v>
      </c>
      <c r="D88" s="72">
        <v>0</v>
      </c>
      <c r="E88" s="72">
        <v>0</v>
      </c>
      <c r="F88" s="72">
        <v>0</v>
      </c>
      <c r="G88" s="72">
        <v>0</v>
      </c>
      <c r="H88" s="72">
        <v>0</v>
      </c>
      <c r="I88" s="72">
        <v>1196.5501553660451</v>
      </c>
      <c r="J88" s="72">
        <v>0</v>
      </c>
      <c r="K88" s="72">
        <v>0</v>
      </c>
      <c r="L88" s="72">
        <v>0</v>
      </c>
      <c r="M88" s="72">
        <v>0</v>
      </c>
      <c r="N88" s="72">
        <v>0</v>
      </c>
      <c r="O88" s="72">
        <v>0</v>
      </c>
      <c r="P88" s="72">
        <v>0</v>
      </c>
      <c r="Q88" s="72">
        <v>0</v>
      </c>
      <c r="R88" s="72">
        <v>0</v>
      </c>
      <c r="S88" s="72">
        <v>0</v>
      </c>
      <c r="T88" s="72">
        <v>0</v>
      </c>
      <c r="U88" s="72">
        <v>0</v>
      </c>
      <c r="V88" s="72">
        <v>0</v>
      </c>
      <c r="W88" s="72">
        <v>0</v>
      </c>
      <c r="X88" s="72">
        <v>0</v>
      </c>
      <c r="Y88" s="72">
        <v>0</v>
      </c>
      <c r="Z88" s="72">
        <v>0</v>
      </c>
      <c r="AA88" s="72">
        <v>0</v>
      </c>
      <c r="AB88" s="72">
        <v>0</v>
      </c>
      <c r="AC88" s="72">
        <v>0</v>
      </c>
      <c r="AD88" s="72">
        <v>0</v>
      </c>
      <c r="AE88" s="72">
        <v>0</v>
      </c>
      <c r="AF88" s="72">
        <v>0</v>
      </c>
      <c r="AG88" s="72">
        <v>0</v>
      </c>
      <c r="AH88" s="72">
        <v>0</v>
      </c>
      <c r="AI88" s="72">
        <v>4.9797223337185432</v>
      </c>
      <c r="AJ88" s="72">
        <v>5.7164373184028934</v>
      </c>
      <c r="AK88" s="72">
        <v>0</v>
      </c>
      <c r="AL88" s="72">
        <v>0</v>
      </c>
      <c r="AM88" s="72">
        <v>0</v>
      </c>
      <c r="AN88" s="72">
        <v>0</v>
      </c>
      <c r="AO88" s="72">
        <v>618.12820947780472</v>
      </c>
      <c r="AP88" s="72">
        <v>0</v>
      </c>
      <c r="AQ88" s="72">
        <v>0</v>
      </c>
      <c r="AR88" s="72">
        <v>0</v>
      </c>
      <c r="AS88" s="72">
        <v>0</v>
      </c>
      <c r="AT88" s="72">
        <v>0</v>
      </c>
      <c r="AU88" s="72">
        <v>0</v>
      </c>
      <c r="AV88" s="72">
        <v>0</v>
      </c>
      <c r="AW88" s="72">
        <v>0</v>
      </c>
      <c r="AX88" s="72">
        <v>0</v>
      </c>
      <c r="AY88" s="72">
        <v>0</v>
      </c>
      <c r="AZ88" s="72">
        <v>0</v>
      </c>
      <c r="BA88" s="72">
        <v>0</v>
      </c>
      <c r="BB88" s="72">
        <v>0</v>
      </c>
      <c r="BC88" s="72">
        <v>92.177812617341687</v>
      </c>
      <c r="BD88" s="72">
        <v>3.2120055832277816</v>
      </c>
      <c r="BE88" s="72">
        <v>38.817558583407717</v>
      </c>
      <c r="BF88" s="72">
        <v>0</v>
      </c>
      <c r="BG88" s="72">
        <v>0</v>
      </c>
      <c r="BH88" s="72">
        <v>0</v>
      </c>
      <c r="BI88" s="72">
        <v>0</v>
      </c>
      <c r="BJ88" s="72">
        <v>384.75631696476455</v>
      </c>
      <c r="BK88" s="72">
        <v>0</v>
      </c>
      <c r="BL88" s="72">
        <v>0</v>
      </c>
      <c r="BM88" s="72">
        <v>0</v>
      </c>
      <c r="BN88" s="72">
        <v>0</v>
      </c>
      <c r="BO88" s="72">
        <v>0</v>
      </c>
      <c r="BP88" s="72">
        <v>0</v>
      </c>
      <c r="BQ88" s="72">
        <v>0</v>
      </c>
      <c r="BR88" s="72">
        <v>0</v>
      </c>
      <c r="BS88" s="72">
        <v>0</v>
      </c>
      <c r="BT88" s="72">
        <v>0</v>
      </c>
      <c r="BU88" s="72">
        <v>0</v>
      </c>
      <c r="BV88" s="72">
        <v>0</v>
      </c>
      <c r="BW88" s="72">
        <v>0</v>
      </c>
      <c r="BX88" s="72">
        <v>0</v>
      </c>
      <c r="BY88" s="72">
        <v>0</v>
      </c>
      <c r="BZ88" s="72">
        <v>0</v>
      </c>
      <c r="CA88" s="72">
        <v>0</v>
      </c>
      <c r="CB88" s="72">
        <v>0</v>
      </c>
      <c r="CC88" s="72">
        <v>0</v>
      </c>
      <c r="CD88" s="72">
        <v>0</v>
      </c>
      <c r="CE88" s="72">
        <v>0</v>
      </c>
      <c r="CF88" s="72">
        <v>0</v>
      </c>
      <c r="CG88" s="72">
        <v>0</v>
      </c>
      <c r="CH88" s="72">
        <v>0</v>
      </c>
      <c r="CI88" s="72">
        <v>0</v>
      </c>
      <c r="CJ88" s="72">
        <v>0</v>
      </c>
      <c r="CK88" s="72">
        <v>0</v>
      </c>
      <c r="CL88" s="72">
        <v>0</v>
      </c>
      <c r="CM88" s="72">
        <v>0</v>
      </c>
      <c r="CN88" s="72">
        <v>0</v>
      </c>
      <c r="CO88" s="72">
        <v>0</v>
      </c>
      <c r="CP88" s="72">
        <v>0</v>
      </c>
      <c r="CQ88" s="72">
        <v>0</v>
      </c>
      <c r="CR88" s="72">
        <v>0</v>
      </c>
      <c r="CS88" s="72">
        <v>0</v>
      </c>
      <c r="CT88" s="72">
        <v>0</v>
      </c>
      <c r="CU88" s="72">
        <v>0</v>
      </c>
      <c r="CV88" s="72">
        <v>0</v>
      </c>
      <c r="CW88" s="72">
        <v>0</v>
      </c>
      <c r="CX88" s="72">
        <v>0</v>
      </c>
      <c r="CY88" s="72">
        <v>0</v>
      </c>
      <c r="CZ88" s="72">
        <v>0</v>
      </c>
      <c r="DA88" s="72">
        <v>0</v>
      </c>
      <c r="DB88" s="72">
        <v>0</v>
      </c>
      <c r="DC88" s="72">
        <v>0</v>
      </c>
      <c r="DD88" s="72">
        <v>0</v>
      </c>
      <c r="DE88" s="72">
        <v>0</v>
      </c>
      <c r="DF88" s="72">
        <v>0</v>
      </c>
      <c r="DG88" s="72">
        <v>0</v>
      </c>
      <c r="DH88" s="72">
        <v>0</v>
      </c>
      <c r="DI88" s="72">
        <v>0</v>
      </c>
      <c r="DJ88" s="72">
        <v>0</v>
      </c>
      <c r="DK88" s="72">
        <v>0</v>
      </c>
      <c r="DL88" s="72">
        <v>0</v>
      </c>
      <c r="DM88" s="72">
        <v>0</v>
      </c>
      <c r="DN88" s="72">
        <v>0</v>
      </c>
      <c r="DO88" s="72">
        <v>0</v>
      </c>
      <c r="DP88" s="72">
        <v>0</v>
      </c>
      <c r="DQ88" s="72">
        <v>0</v>
      </c>
      <c r="DR88" s="72">
        <v>0</v>
      </c>
      <c r="DS88" s="72">
        <v>0</v>
      </c>
      <c r="DT88" s="72">
        <v>0</v>
      </c>
      <c r="DU88" s="72">
        <v>0</v>
      </c>
      <c r="DV88" s="72">
        <v>0</v>
      </c>
      <c r="DW88" s="72">
        <v>0</v>
      </c>
      <c r="DX88" s="72">
        <v>0</v>
      </c>
      <c r="DY88" s="72">
        <v>0</v>
      </c>
      <c r="DZ88" s="72">
        <v>0</v>
      </c>
      <c r="EA88" s="72">
        <v>0</v>
      </c>
      <c r="EB88" s="72">
        <v>0</v>
      </c>
      <c r="EC88" s="72">
        <v>0</v>
      </c>
      <c r="ED88" s="72">
        <v>0</v>
      </c>
      <c r="EE88" s="72">
        <v>0</v>
      </c>
      <c r="EF88" s="72">
        <v>0</v>
      </c>
      <c r="EG88" s="72">
        <v>0</v>
      </c>
      <c r="EH88" s="72">
        <v>0</v>
      </c>
      <c r="EI88" s="72">
        <v>0</v>
      </c>
      <c r="EJ88" s="72">
        <v>0</v>
      </c>
      <c r="EK88" s="72">
        <v>0</v>
      </c>
      <c r="EL88" s="72">
        <v>0</v>
      </c>
      <c r="EM88" s="72">
        <v>0</v>
      </c>
      <c r="EN88" s="72">
        <v>0</v>
      </c>
      <c r="EO88" s="72">
        <v>0</v>
      </c>
      <c r="EP88" s="72">
        <v>0</v>
      </c>
      <c r="EQ88" s="72">
        <v>0</v>
      </c>
      <c r="ER88" s="72">
        <v>0</v>
      </c>
      <c r="ES88" s="72">
        <v>0</v>
      </c>
      <c r="ET88" s="72">
        <v>0</v>
      </c>
      <c r="EU88" s="72">
        <v>0</v>
      </c>
      <c r="EV88" s="72">
        <v>0</v>
      </c>
      <c r="EW88" s="72">
        <v>0</v>
      </c>
      <c r="EX88" s="72">
        <v>0</v>
      </c>
      <c r="EY88" s="72">
        <v>0</v>
      </c>
      <c r="EZ88" s="72">
        <v>0</v>
      </c>
      <c r="FA88" s="72">
        <v>0</v>
      </c>
      <c r="FB88" s="72">
        <v>0</v>
      </c>
      <c r="FC88" s="72">
        <v>0</v>
      </c>
      <c r="FD88" s="72">
        <v>0</v>
      </c>
      <c r="FE88" s="72">
        <v>0</v>
      </c>
      <c r="FF88" s="72">
        <v>0</v>
      </c>
      <c r="FG88" s="72">
        <v>0</v>
      </c>
      <c r="FH88" s="72">
        <v>0</v>
      </c>
      <c r="FI88" s="72">
        <v>0</v>
      </c>
      <c r="FJ88" s="72">
        <v>0</v>
      </c>
      <c r="FK88" s="72">
        <v>0</v>
      </c>
      <c r="FL88" s="72">
        <v>0</v>
      </c>
      <c r="FM88" s="72">
        <v>0</v>
      </c>
      <c r="FN88" s="72">
        <v>0</v>
      </c>
      <c r="FO88" s="72">
        <v>0</v>
      </c>
      <c r="FP88" s="72">
        <v>0</v>
      </c>
      <c r="FQ88" s="72">
        <v>0</v>
      </c>
      <c r="FR88" s="72">
        <v>0</v>
      </c>
      <c r="FS88" s="72">
        <v>0</v>
      </c>
      <c r="FT88" s="72">
        <v>0</v>
      </c>
      <c r="FU88" s="72">
        <v>0</v>
      </c>
      <c r="FV88" s="74">
        <v>421.87375770690591</v>
      </c>
      <c r="FW88" s="74">
        <v>762.4459678982729</v>
      </c>
      <c r="FX88" s="74">
        <v>701.74632838960042</v>
      </c>
      <c r="FY88" s="74">
        <v>931.7892486199562</v>
      </c>
      <c r="FZ88" s="74">
        <v>1042.8618107279799</v>
      </c>
      <c r="GA88" s="74">
        <v>1519.9628638129598</v>
      </c>
      <c r="GB88" s="74">
        <v>1495.2986592972773</v>
      </c>
      <c r="GC88" s="74">
        <v>2466.3152021702208</v>
      </c>
      <c r="GD88" s="74">
        <v>4426.7196527913738</v>
      </c>
      <c r="GE88" s="74">
        <v>1496.0329657328773</v>
      </c>
      <c r="GF88" s="74">
        <v>1174.0962166413576</v>
      </c>
      <c r="GG88" s="74">
        <v>1620.8514475120005</v>
      </c>
      <c r="GH88" s="74">
        <v>2927.6727868097496</v>
      </c>
      <c r="GI88" s="74">
        <v>2528.9236644655543</v>
      </c>
      <c r="GJ88" s="72">
        <v>0</v>
      </c>
      <c r="GK88" s="72">
        <v>0</v>
      </c>
      <c r="GL88" s="72">
        <v>0</v>
      </c>
      <c r="GM88" s="72">
        <v>0</v>
      </c>
      <c r="GN88" s="72">
        <v>0</v>
      </c>
      <c r="GO88" s="72">
        <v>0</v>
      </c>
      <c r="GP88" s="72">
        <v>68.672844322140492</v>
      </c>
      <c r="GQ88" s="72">
        <v>2745.0917999245717</v>
      </c>
      <c r="GR88" s="72">
        <f t="shared" si="1"/>
        <v>28674.693435067511</v>
      </c>
      <c r="GS88" s="72">
        <f>SUM(CG$5:CG$202)</f>
        <v>28674.693435067507</v>
      </c>
      <c r="GT88" s="73">
        <v>0</v>
      </c>
    </row>
    <row r="89" spans="1:202" outlineLevel="1" x14ac:dyDescent="0.2">
      <c r="A89" s="66" t="s">
        <v>758</v>
      </c>
      <c r="B89" s="72">
        <v>0</v>
      </c>
      <c r="C89" s="72">
        <v>0</v>
      </c>
      <c r="D89" s="72">
        <v>0</v>
      </c>
      <c r="E89" s="72">
        <v>0</v>
      </c>
      <c r="F89" s="72">
        <v>0</v>
      </c>
      <c r="G89" s="72">
        <v>0</v>
      </c>
      <c r="H89" s="72">
        <v>0</v>
      </c>
      <c r="I89" s="72">
        <v>18512.312917647825</v>
      </c>
      <c r="J89" s="72">
        <v>4077.9881239641982</v>
      </c>
      <c r="K89" s="72">
        <v>0</v>
      </c>
      <c r="L89" s="72">
        <v>0</v>
      </c>
      <c r="M89" s="72">
        <v>0</v>
      </c>
      <c r="N89" s="72">
        <v>0</v>
      </c>
      <c r="O89" s="72">
        <v>0</v>
      </c>
      <c r="P89" s="72">
        <v>0</v>
      </c>
      <c r="Q89" s="72">
        <v>0</v>
      </c>
      <c r="R89" s="72">
        <v>0</v>
      </c>
      <c r="S89" s="72">
        <v>0</v>
      </c>
      <c r="T89" s="72">
        <v>748.05758909100678</v>
      </c>
      <c r="U89" s="72">
        <v>0</v>
      </c>
      <c r="V89" s="72">
        <v>0</v>
      </c>
      <c r="W89" s="72">
        <v>0</v>
      </c>
      <c r="X89" s="72">
        <v>0</v>
      </c>
      <c r="Y89" s="72">
        <v>0</v>
      </c>
      <c r="Z89" s="72">
        <v>0</v>
      </c>
      <c r="AA89" s="72">
        <v>0</v>
      </c>
      <c r="AB89" s="72">
        <v>0</v>
      </c>
      <c r="AC89" s="72">
        <v>0</v>
      </c>
      <c r="AD89" s="72">
        <v>0</v>
      </c>
      <c r="AE89" s="72">
        <v>0</v>
      </c>
      <c r="AF89" s="72">
        <v>0</v>
      </c>
      <c r="AG89" s="72">
        <v>36.718114400859754</v>
      </c>
      <c r="AH89" s="72">
        <v>0</v>
      </c>
      <c r="AI89" s="72">
        <v>16.119675883200379</v>
      </c>
      <c r="AJ89" s="72">
        <v>18.412977014265834</v>
      </c>
      <c r="AK89" s="72">
        <v>0</v>
      </c>
      <c r="AL89" s="72">
        <v>0</v>
      </c>
      <c r="AM89" s="72">
        <v>0</v>
      </c>
      <c r="AN89" s="72">
        <v>0</v>
      </c>
      <c r="AO89" s="72">
        <v>4390.9031140690504</v>
      </c>
      <c r="AP89" s="72">
        <v>41.486924438986591</v>
      </c>
      <c r="AQ89" s="72">
        <v>41.429690966298246</v>
      </c>
      <c r="AR89" s="72">
        <v>340.54334784766957</v>
      </c>
      <c r="AS89" s="72">
        <v>0</v>
      </c>
      <c r="AT89" s="72">
        <v>0</v>
      </c>
      <c r="AU89" s="72">
        <v>0</v>
      </c>
      <c r="AV89" s="72">
        <v>0</v>
      </c>
      <c r="AW89" s="72">
        <v>0</v>
      </c>
      <c r="AX89" s="72">
        <v>0</v>
      </c>
      <c r="AY89" s="72">
        <v>0</v>
      </c>
      <c r="AZ89" s="72">
        <v>0</v>
      </c>
      <c r="BA89" s="72">
        <v>0</v>
      </c>
      <c r="BB89" s="72">
        <v>0</v>
      </c>
      <c r="BC89" s="72">
        <v>233.43243218653188</v>
      </c>
      <c r="BD89" s="72">
        <v>10.269265466982748</v>
      </c>
      <c r="BE89" s="72">
        <v>533.03202354209338</v>
      </c>
      <c r="BF89" s="72">
        <v>0</v>
      </c>
      <c r="BG89" s="72">
        <v>61.878542488489472</v>
      </c>
      <c r="BH89" s="72">
        <v>1232.9418268471436</v>
      </c>
      <c r="BI89" s="72">
        <v>0</v>
      </c>
      <c r="BJ89" s="72">
        <v>2753.0943033854273</v>
      </c>
      <c r="BK89" s="72">
        <v>0</v>
      </c>
      <c r="BL89" s="72">
        <v>0</v>
      </c>
      <c r="BM89" s="72">
        <v>0</v>
      </c>
      <c r="BN89" s="72">
        <v>0</v>
      </c>
      <c r="BO89" s="72">
        <v>0</v>
      </c>
      <c r="BP89" s="72">
        <v>0</v>
      </c>
      <c r="BQ89" s="72">
        <v>0</v>
      </c>
      <c r="BR89" s="72">
        <v>0</v>
      </c>
      <c r="BS89" s="72">
        <v>0</v>
      </c>
      <c r="BT89" s="72">
        <v>0</v>
      </c>
      <c r="BU89" s="72">
        <v>0</v>
      </c>
      <c r="BV89" s="72">
        <v>0</v>
      </c>
      <c r="BW89" s="72">
        <v>0</v>
      </c>
      <c r="BX89" s="72">
        <v>0</v>
      </c>
      <c r="BY89" s="72">
        <v>0</v>
      </c>
      <c r="BZ89" s="72">
        <v>0</v>
      </c>
      <c r="CA89" s="72">
        <v>0</v>
      </c>
      <c r="CB89" s="72">
        <v>0</v>
      </c>
      <c r="CC89" s="72">
        <v>0</v>
      </c>
      <c r="CD89" s="72">
        <v>0</v>
      </c>
      <c r="CE89" s="72">
        <v>0</v>
      </c>
      <c r="CF89" s="72">
        <v>0</v>
      </c>
      <c r="CG89" s="72">
        <v>0</v>
      </c>
      <c r="CH89" s="72">
        <v>0</v>
      </c>
      <c r="CI89" s="72">
        <v>0</v>
      </c>
      <c r="CJ89" s="72">
        <v>0</v>
      </c>
      <c r="CK89" s="72">
        <v>0</v>
      </c>
      <c r="CL89" s="72">
        <v>0</v>
      </c>
      <c r="CM89" s="72">
        <v>0</v>
      </c>
      <c r="CN89" s="72">
        <v>0</v>
      </c>
      <c r="CO89" s="72">
        <v>0</v>
      </c>
      <c r="CP89" s="72">
        <v>0</v>
      </c>
      <c r="CQ89" s="72">
        <v>0</v>
      </c>
      <c r="CR89" s="72">
        <v>0</v>
      </c>
      <c r="CS89" s="72">
        <v>0</v>
      </c>
      <c r="CT89" s="72">
        <v>0</v>
      </c>
      <c r="CU89" s="72">
        <v>0</v>
      </c>
      <c r="CV89" s="72">
        <v>0</v>
      </c>
      <c r="CW89" s="72">
        <v>0</v>
      </c>
      <c r="CX89" s="72">
        <v>0</v>
      </c>
      <c r="CY89" s="72">
        <v>0</v>
      </c>
      <c r="CZ89" s="72">
        <v>0</v>
      </c>
      <c r="DA89" s="72">
        <v>0</v>
      </c>
      <c r="DB89" s="72">
        <v>0</v>
      </c>
      <c r="DC89" s="72">
        <v>0</v>
      </c>
      <c r="DD89" s="72">
        <v>0</v>
      </c>
      <c r="DE89" s="72">
        <v>0</v>
      </c>
      <c r="DF89" s="72">
        <v>0</v>
      </c>
      <c r="DG89" s="72">
        <v>0</v>
      </c>
      <c r="DH89" s="72">
        <v>0</v>
      </c>
      <c r="DI89" s="72">
        <v>0</v>
      </c>
      <c r="DJ89" s="72">
        <v>0</v>
      </c>
      <c r="DK89" s="72">
        <v>0</v>
      </c>
      <c r="DL89" s="72">
        <v>0</v>
      </c>
      <c r="DM89" s="72">
        <v>0</v>
      </c>
      <c r="DN89" s="72">
        <v>0</v>
      </c>
      <c r="DO89" s="72">
        <v>0</v>
      </c>
      <c r="DP89" s="72">
        <v>0</v>
      </c>
      <c r="DQ89" s="72">
        <v>0</v>
      </c>
      <c r="DR89" s="72">
        <v>0</v>
      </c>
      <c r="DS89" s="72">
        <v>0</v>
      </c>
      <c r="DT89" s="72">
        <v>0</v>
      </c>
      <c r="DU89" s="72">
        <v>0</v>
      </c>
      <c r="DV89" s="72">
        <v>0</v>
      </c>
      <c r="DW89" s="72">
        <v>0</v>
      </c>
      <c r="DX89" s="72">
        <v>0</v>
      </c>
      <c r="DY89" s="72">
        <v>0</v>
      </c>
      <c r="DZ89" s="72">
        <v>0</v>
      </c>
      <c r="EA89" s="72">
        <v>0</v>
      </c>
      <c r="EB89" s="72">
        <v>0</v>
      </c>
      <c r="EC89" s="72">
        <v>0</v>
      </c>
      <c r="ED89" s="72">
        <v>0</v>
      </c>
      <c r="EE89" s="72">
        <v>0</v>
      </c>
      <c r="EF89" s="72">
        <v>0</v>
      </c>
      <c r="EG89" s="72">
        <v>0</v>
      </c>
      <c r="EH89" s="72">
        <v>0</v>
      </c>
      <c r="EI89" s="72">
        <v>0</v>
      </c>
      <c r="EJ89" s="72">
        <v>0</v>
      </c>
      <c r="EK89" s="72">
        <v>0</v>
      </c>
      <c r="EL89" s="72">
        <v>0</v>
      </c>
      <c r="EM89" s="72">
        <v>0</v>
      </c>
      <c r="EN89" s="72">
        <v>0</v>
      </c>
      <c r="EO89" s="72">
        <v>0</v>
      </c>
      <c r="EP89" s="72">
        <v>0</v>
      </c>
      <c r="EQ89" s="72">
        <v>0</v>
      </c>
      <c r="ER89" s="72">
        <v>0</v>
      </c>
      <c r="ES89" s="72">
        <v>0</v>
      </c>
      <c r="ET89" s="72">
        <v>0</v>
      </c>
      <c r="EU89" s="72">
        <v>0</v>
      </c>
      <c r="EV89" s="72">
        <v>0</v>
      </c>
      <c r="EW89" s="72">
        <v>0</v>
      </c>
      <c r="EX89" s="72">
        <v>0</v>
      </c>
      <c r="EY89" s="72">
        <v>0</v>
      </c>
      <c r="EZ89" s="72">
        <v>0</v>
      </c>
      <c r="FA89" s="72">
        <v>0</v>
      </c>
      <c r="FB89" s="72">
        <v>0</v>
      </c>
      <c r="FC89" s="72">
        <v>0</v>
      </c>
      <c r="FD89" s="72">
        <v>0</v>
      </c>
      <c r="FE89" s="72">
        <v>0</v>
      </c>
      <c r="FF89" s="72">
        <v>0</v>
      </c>
      <c r="FG89" s="72">
        <v>0</v>
      </c>
      <c r="FH89" s="72">
        <v>0</v>
      </c>
      <c r="FI89" s="72">
        <v>0</v>
      </c>
      <c r="FJ89" s="72">
        <v>0</v>
      </c>
      <c r="FK89" s="72">
        <v>0</v>
      </c>
      <c r="FL89" s="72">
        <v>0</v>
      </c>
      <c r="FM89" s="72">
        <v>0</v>
      </c>
      <c r="FN89" s="72">
        <v>0</v>
      </c>
      <c r="FO89" s="72">
        <v>0</v>
      </c>
      <c r="FP89" s="72">
        <v>0</v>
      </c>
      <c r="FQ89" s="72">
        <v>0</v>
      </c>
      <c r="FR89" s="72">
        <v>0</v>
      </c>
      <c r="FS89" s="72">
        <v>0</v>
      </c>
      <c r="FT89" s="72">
        <v>0</v>
      </c>
      <c r="FU89" s="72">
        <v>0</v>
      </c>
      <c r="FV89" s="74">
        <v>1110.4459447645997</v>
      </c>
      <c r="FW89" s="74">
        <v>1847.0848478232715</v>
      </c>
      <c r="FX89" s="74">
        <v>2730.1999512149005</v>
      </c>
      <c r="FY89" s="74">
        <v>2794.7813790525097</v>
      </c>
      <c r="FZ89" s="74">
        <v>3841.3334725703785</v>
      </c>
      <c r="GA89" s="74">
        <v>4993.3111222734115</v>
      </c>
      <c r="GB89" s="74">
        <v>4671.5005106249073</v>
      </c>
      <c r="GC89" s="74">
        <v>6934.1259837682346</v>
      </c>
      <c r="GD89" s="74">
        <v>8124.2012007634221</v>
      </c>
      <c r="GE89" s="74">
        <v>2206.4503815480116</v>
      </c>
      <c r="GF89" s="74">
        <v>2261.0744676905756</v>
      </c>
      <c r="GG89" s="74">
        <v>2349.2050272759725</v>
      </c>
      <c r="GH89" s="74">
        <v>2382.6342516019572</v>
      </c>
      <c r="GI89" s="74">
        <v>2060.4318918048693</v>
      </c>
      <c r="GJ89" s="72">
        <v>0</v>
      </c>
      <c r="GK89" s="72">
        <v>0</v>
      </c>
      <c r="GL89" s="72">
        <v>0</v>
      </c>
      <c r="GM89" s="72">
        <v>0</v>
      </c>
      <c r="GN89" s="72">
        <v>0</v>
      </c>
      <c r="GO89" s="72">
        <v>0</v>
      </c>
      <c r="GP89" s="72">
        <v>689.27403806062262</v>
      </c>
      <c r="GQ89" s="72">
        <v>8302.323669482681</v>
      </c>
      <c r="GR89" s="72">
        <f t="shared" si="1"/>
        <v>90346.999009560343</v>
      </c>
      <c r="GS89" s="72">
        <f>SUM(CH$5:CH$202)</f>
        <v>90346.999009560386</v>
      </c>
      <c r="GT89" s="73">
        <v>0</v>
      </c>
    </row>
    <row r="90" spans="1:202" outlineLevel="1" x14ac:dyDescent="0.2">
      <c r="A90" s="66" t="s">
        <v>770</v>
      </c>
      <c r="B90" s="72">
        <v>0</v>
      </c>
      <c r="C90" s="72">
        <v>0</v>
      </c>
      <c r="D90" s="72">
        <v>0</v>
      </c>
      <c r="E90" s="72">
        <v>0</v>
      </c>
      <c r="F90" s="72">
        <v>0</v>
      </c>
      <c r="G90" s="72">
        <v>0</v>
      </c>
      <c r="H90" s="72">
        <v>0</v>
      </c>
      <c r="I90" s="72">
        <v>478.77351321926534</v>
      </c>
      <c r="J90" s="72">
        <v>10479.492450668828</v>
      </c>
      <c r="K90" s="72">
        <v>0</v>
      </c>
      <c r="L90" s="72">
        <v>0</v>
      </c>
      <c r="M90" s="72">
        <v>0</v>
      </c>
      <c r="N90" s="72">
        <v>0</v>
      </c>
      <c r="O90" s="72">
        <v>0</v>
      </c>
      <c r="P90" s="72">
        <v>0</v>
      </c>
      <c r="Q90" s="72">
        <v>0</v>
      </c>
      <c r="R90" s="72">
        <v>0</v>
      </c>
      <c r="S90" s="72">
        <v>7.2253830259817571</v>
      </c>
      <c r="T90" s="72">
        <v>0</v>
      </c>
      <c r="U90" s="72">
        <v>0</v>
      </c>
      <c r="V90" s="72">
        <v>0</v>
      </c>
      <c r="W90" s="72">
        <v>0</v>
      </c>
      <c r="X90" s="72">
        <v>0</v>
      </c>
      <c r="Y90" s="72">
        <v>0</v>
      </c>
      <c r="Z90" s="72">
        <v>0</v>
      </c>
      <c r="AA90" s="72">
        <v>0</v>
      </c>
      <c r="AB90" s="72">
        <v>0</v>
      </c>
      <c r="AC90" s="72">
        <v>0</v>
      </c>
      <c r="AD90" s="72">
        <v>0</v>
      </c>
      <c r="AE90" s="72">
        <v>0</v>
      </c>
      <c r="AF90" s="72">
        <v>0</v>
      </c>
      <c r="AG90" s="72">
        <v>0</v>
      </c>
      <c r="AH90" s="72">
        <v>0</v>
      </c>
      <c r="AI90" s="72">
        <v>0</v>
      </c>
      <c r="AJ90" s="72">
        <v>0</v>
      </c>
      <c r="AK90" s="72">
        <v>0</v>
      </c>
      <c r="AL90" s="72">
        <v>0</v>
      </c>
      <c r="AM90" s="72">
        <v>0</v>
      </c>
      <c r="AN90" s="72">
        <v>0</v>
      </c>
      <c r="AO90" s="72">
        <v>2717.1585301439554</v>
      </c>
      <c r="AP90" s="72">
        <v>43.58650138609228</v>
      </c>
      <c r="AQ90" s="72">
        <v>59.87908975034275</v>
      </c>
      <c r="AR90" s="72">
        <v>35.217593154118809</v>
      </c>
      <c r="AS90" s="72">
        <v>0</v>
      </c>
      <c r="AT90" s="72">
        <v>0</v>
      </c>
      <c r="AU90" s="72">
        <v>0</v>
      </c>
      <c r="AV90" s="72">
        <v>0</v>
      </c>
      <c r="AW90" s="72">
        <v>0</v>
      </c>
      <c r="AX90" s="72">
        <v>0</v>
      </c>
      <c r="AY90" s="72">
        <v>0</v>
      </c>
      <c r="AZ90" s="72">
        <v>0</v>
      </c>
      <c r="BA90" s="72">
        <v>0</v>
      </c>
      <c r="BB90" s="72">
        <v>0</v>
      </c>
      <c r="BC90" s="72">
        <v>0</v>
      </c>
      <c r="BD90" s="72">
        <v>0</v>
      </c>
      <c r="BE90" s="72">
        <v>0</v>
      </c>
      <c r="BF90" s="72">
        <v>0</v>
      </c>
      <c r="BG90" s="72">
        <v>0</v>
      </c>
      <c r="BH90" s="72">
        <v>0</v>
      </c>
      <c r="BI90" s="72">
        <v>0</v>
      </c>
      <c r="BJ90" s="72">
        <v>45804.882411437415</v>
      </c>
      <c r="BK90" s="72">
        <v>0</v>
      </c>
      <c r="BL90" s="72">
        <v>0</v>
      </c>
      <c r="BM90" s="72">
        <v>0</v>
      </c>
      <c r="BN90" s="72">
        <v>0</v>
      </c>
      <c r="BO90" s="72">
        <v>0</v>
      </c>
      <c r="BP90" s="72">
        <v>0</v>
      </c>
      <c r="BQ90" s="72">
        <v>0</v>
      </c>
      <c r="BR90" s="72">
        <v>0</v>
      </c>
      <c r="BS90" s="72">
        <v>0</v>
      </c>
      <c r="BT90" s="72">
        <v>0</v>
      </c>
      <c r="BU90" s="72">
        <v>0</v>
      </c>
      <c r="BV90" s="72">
        <v>0</v>
      </c>
      <c r="BW90" s="72">
        <v>0</v>
      </c>
      <c r="BX90" s="72">
        <v>0</v>
      </c>
      <c r="BY90" s="72">
        <v>0</v>
      </c>
      <c r="BZ90" s="72">
        <v>0</v>
      </c>
      <c r="CA90" s="72">
        <v>0</v>
      </c>
      <c r="CB90" s="72">
        <v>0</v>
      </c>
      <c r="CC90" s="72">
        <v>0</v>
      </c>
      <c r="CD90" s="72">
        <v>0</v>
      </c>
      <c r="CE90" s="72">
        <v>0</v>
      </c>
      <c r="CF90" s="72">
        <v>0</v>
      </c>
      <c r="CG90" s="72">
        <v>0</v>
      </c>
      <c r="CH90" s="72">
        <v>0</v>
      </c>
      <c r="CI90" s="72">
        <v>0</v>
      </c>
      <c r="CJ90" s="72">
        <v>0</v>
      </c>
      <c r="CK90" s="72">
        <v>0</v>
      </c>
      <c r="CL90" s="72">
        <v>0</v>
      </c>
      <c r="CM90" s="72">
        <v>0</v>
      </c>
      <c r="CN90" s="72">
        <v>0</v>
      </c>
      <c r="CO90" s="72">
        <v>0</v>
      </c>
      <c r="CP90" s="72">
        <v>0</v>
      </c>
      <c r="CQ90" s="72">
        <v>0</v>
      </c>
      <c r="CR90" s="72">
        <v>0</v>
      </c>
      <c r="CS90" s="72">
        <v>0</v>
      </c>
      <c r="CT90" s="72">
        <v>0</v>
      </c>
      <c r="CU90" s="72">
        <v>0</v>
      </c>
      <c r="CV90" s="72">
        <v>0</v>
      </c>
      <c r="CW90" s="72">
        <v>0</v>
      </c>
      <c r="CX90" s="72">
        <v>0</v>
      </c>
      <c r="CY90" s="72">
        <v>0</v>
      </c>
      <c r="CZ90" s="72">
        <v>0</v>
      </c>
      <c r="DA90" s="72">
        <v>0</v>
      </c>
      <c r="DB90" s="72">
        <v>0</v>
      </c>
      <c r="DC90" s="72">
        <v>0</v>
      </c>
      <c r="DD90" s="72">
        <v>0</v>
      </c>
      <c r="DE90" s="72">
        <v>0</v>
      </c>
      <c r="DF90" s="72">
        <v>0</v>
      </c>
      <c r="DG90" s="72">
        <v>0</v>
      </c>
      <c r="DH90" s="72">
        <v>0</v>
      </c>
      <c r="DI90" s="72">
        <v>0</v>
      </c>
      <c r="DJ90" s="72">
        <v>0</v>
      </c>
      <c r="DK90" s="72">
        <v>0</v>
      </c>
      <c r="DL90" s="72">
        <v>0</v>
      </c>
      <c r="DM90" s="72">
        <v>0</v>
      </c>
      <c r="DN90" s="72">
        <v>0</v>
      </c>
      <c r="DO90" s="72">
        <v>0</v>
      </c>
      <c r="DP90" s="72">
        <v>0</v>
      </c>
      <c r="DQ90" s="72">
        <v>0</v>
      </c>
      <c r="DR90" s="72">
        <v>0</v>
      </c>
      <c r="DS90" s="72">
        <v>0</v>
      </c>
      <c r="DT90" s="72">
        <v>0</v>
      </c>
      <c r="DU90" s="72">
        <v>0</v>
      </c>
      <c r="DV90" s="72">
        <v>0</v>
      </c>
      <c r="DW90" s="72">
        <v>0</v>
      </c>
      <c r="DX90" s="72">
        <v>0</v>
      </c>
      <c r="DY90" s="72">
        <v>0</v>
      </c>
      <c r="DZ90" s="72">
        <v>0</v>
      </c>
      <c r="EA90" s="72">
        <v>0</v>
      </c>
      <c r="EB90" s="72">
        <v>0</v>
      </c>
      <c r="EC90" s="72">
        <v>0</v>
      </c>
      <c r="ED90" s="72">
        <v>0</v>
      </c>
      <c r="EE90" s="72">
        <v>0</v>
      </c>
      <c r="EF90" s="72">
        <v>0</v>
      </c>
      <c r="EG90" s="72">
        <v>0</v>
      </c>
      <c r="EH90" s="72">
        <v>0</v>
      </c>
      <c r="EI90" s="72">
        <v>0</v>
      </c>
      <c r="EJ90" s="72">
        <v>0</v>
      </c>
      <c r="EK90" s="72">
        <v>0</v>
      </c>
      <c r="EL90" s="72">
        <v>0</v>
      </c>
      <c r="EM90" s="72">
        <v>0</v>
      </c>
      <c r="EN90" s="72">
        <v>0</v>
      </c>
      <c r="EO90" s="72">
        <v>0</v>
      </c>
      <c r="EP90" s="72">
        <v>0</v>
      </c>
      <c r="EQ90" s="72">
        <v>0</v>
      </c>
      <c r="ER90" s="72">
        <v>0</v>
      </c>
      <c r="ES90" s="72">
        <v>0</v>
      </c>
      <c r="ET90" s="72">
        <v>0</v>
      </c>
      <c r="EU90" s="72">
        <v>0</v>
      </c>
      <c r="EV90" s="72">
        <v>0</v>
      </c>
      <c r="EW90" s="72">
        <v>0</v>
      </c>
      <c r="EX90" s="72">
        <v>0</v>
      </c>
      <c r="EY90" s="72">
        <v>0</v>
      </c>
      <c r="EZ90" s="72">
        <v>0</v>
      </c>
      <c r="FA90" s="72">
        <v>0</v>
      </c>
      <c r="FB90" s="72">
        <v>0</v>
      </c>
      <c r="FC90" s="72">
        <v>0</v>
      </c>
      <c r="FD90" s="72">
        <v>0</v>
      </c>
      <c r="FE90" s="72">
        <v>0</v>
      </c>
      <c r="FF90" s="72">
        <v>0</v>
      </c>
      <c r="FG90" s="72">
        <v>0</v>
      </c>
      <c r="FH90" s="72">
        <v>0</v>
      </c>
      <c r="FI90" s="72">
        <v>0</v>
      </c>
      <c r="FJ90" s="72">
        <v>0</v>
      </c>
      <c r="FK90" s="72">
        <v>0</v>
      </c>
      <c r="FL90" s="72">
        <v>0</v>
      </c>
      <c r="FM90" s="72">
        <v>0</v>
      </c>
      <c r="FN90" s="72">
        <v>0</v>
      </c>
      <c r="FO90" s="72">
        <v>0</v>
      </c>
      <c r="FP90" s="72">
        <v>0</v>
      </c>
      <c r="FQ90" s="72">
        <v>0</v>
      </c>
      <c r="FR90" s="72">
        <v>0</v>
      </c>
      <c r="FS90" s="72">
        <v>0</v>
      </c>
      <c r="FT90" s="72">
        <v>0</v>
      </c>
      <c r="FU90" s="72">
        <v>0</v>
      </c>
      <c r="FV90" s="74">
        <v>1946.0414080917001</v>
      </c>
      <c r="FW90" s="74">
        <v>3340.0835246601155</v>
      </c>
      <c r="FX90" s="74">
        <v>4669.0148422383527</v>
      </c>
      <c r="FY90" s="74">
        <v>6783.1030872288884</v>
      </c>
      <c r="FZ90" s="74">
        <v>8357.2446791297389</v>
      </c>
      <c r="GA90" s="74">
        <v>12570.970841325588</v>
      </c>
      <c r="GB90" s="74">
        <v>12864.95208040561</v>
      </c>
      <c r="GC90" s="74">
        <v>14637.598267868874</v>
      </c>
      <c r="GD90" s="74">
        <v>17827.886890735619</v>
      </c>
      <c r="GE90" s="74">
        <v>5223.1190546533926</v>
      </c>
      <c r="GF90" s="74">
        <v>4077.0347064388607</v>
      </c>
      <c r="GG90" s="74">
        <v>3712.9998903202095</v>
      </c>
      <c r="GH90" s="74">
        <v>6993.1202253340298</v>
      </c>
      <c r="GI90" s="74">
        <v>7717.2166701204533</v>
      </c>
      <c r="GJ90" s="72">
        <v>0</v>
      </c>
      <c r="GK90" s="72">
        <v>0</v>
      </c>
      <c r="GL90" s="72">
        <v>0</v>
      </c>
      <c r="GM90" s="72">
        <v>0</v>
      </c>
      <c r="GN90" s="72">
        <v>0</v>
      </c>
      <c r="GO90" s="72">
        <v>0</v>
      </c>
      <c r="GP90" s="72">
        <v>3547.5594025417208</v>
      </c>
      <c r="GQ90" s="72">
        <v>19098.029049743145</v>
      </c>
      <c r="GR90" s="72">
        <f t="shared" si="1"/>
        <v>192992.19009362228</v>
      </c>
      <c r="GS90" s="72">
        <f>SUM(CI$5:CI$202)</f>
        <v>192992.19009362231</v>
      </c>
      <c r="GT90" s="73">
        <v>0</v>
      </c>
    </row>
    <row r="91" spans="1:202" outlineLevel="1" x14ac:dyDescent="0.2">
      <c r="A91" s="66" t="s">
        <v>777</v>
      </c>
      <c r="B91" s="72">
        <v>0</v>
      </c>
      <c r="C91" s="72">
        <v>0</v>
      </c>
      <c r="D91" s="72">
        <v>0</v>
      </c>
      <c r="E91" s="72">
        <v>0</v>
      </c>
      <c r="F91" s="72">
        <v>0</v>
      </c>
      <c r="G91" s="72">
        <v>0</v>
      </c>
      <c r="H91" s="72">
        <v>0</v>
      </c>
      <c r="I91" s="72">
        <v>1724.5476297945386</v>
      </c>
      <c r="J91" s="72">
        <v>6790.5211839999511</v>
      </c>
      <c r="K91" s="72">
        <v>0</v>
      </c>
      <c r="L91" s="72">
        <v>0</v>
      </c>
      <c r="M91" s="72">
        <v>0</v>
      </c>
      <c r="N91" s="72">
        <v>0</v>
      </c>
      <c r="O91" s="72">
        <v>0</v>
      </c>
      <c r="P91" s="72">
        <v>0</v>
      </c>
      <c r="Q91" s="72">
        <v>0</v>
      </c>
      <c r="R91" s="72">
        <v>0</v>
      </c>
      <c r="S91" s="72">
        <v>0</v>
      </c>
      <c r="T91" s="72">
        <v>0.23618657292746995</v>
      </c>
      <c r="U91" s="72">
        <v>0</v>
      </c>
      <c r="V91" s="72">
        <v>0</v>
      </c>
      <c r="W91" s="72">
        <v>0</v>
      </c>
      <c r="X91" s="72">
        <v>0</v>
      </c>
      <c r="Y91" s="72">
        <v>0</v>
      </c>
      <c r="Z91" s="72">
        <v>0</v>
      </c>
      <c r="AA91" s="72">
        <v>0</v>
      </c>
      <c r="AB91" s="72">
        <v>0</v>
      </c>
      <c r="AC91" s="72">
        <v>0</v>
      </c>
      <c r="AD91" s="72">
        <v>0</v>
      </c>
      <c r="AE91" s="72">
        <v>0</v>
      </c>
      <c r="AF91" s="72">
        <v>0</v>
      </c>
      <c r="AG91" s="72">
        <v>0</v>
      </c>
      <c r="AH91" s="72">
        <v>0</v>
      </c>
      <c r="AI91" s="72">
        <v>5.6301067339635411</v>
      </c>
      <c r="AJ91" s="72">
        <v>6.5163240641875904</v>
      </c>
      <c r="AK91" s="72">
        <v>0</v>
      </c>
      <c r="AL91" s="72">
        <v>0</v>
      </c>
      <c r="AM91" s="72">
        <v>0</v>
      </c>
      <c r="AN91" s="72">
        <v>0</v>
      </c>
      <c r="AO91" s="72">
        <v>2551.6208738113341</v>
      </c>
      <c r="AP91" s="72">
        <v>17.124846428509926</v>
      </c>
      <c r="AQ91" s="72">
        <v>17.113127152330406</v>
      </c>
      <c r="AR91" s="72">
        <v>0</v>
      </c>
      <c r="AS91" s="72">
        <v>0</v>
      </c>
      <c r="AT91" s="72">
        <v>0</v>
      </c>
      <c r="AU91" s="72">
        <v>0</v>
      </c>
      <c r="AV91" s="72">
        <v>0</v>
      </c>
      <c r="AW91" s="72">
        <v>0</v>
      </c>
      <c r="AX91" s="72">
        <v>0</v>
      </c>
      <c r="AY91" s="72">
        <v>0</v>
      </c>
      <c r="AZ91" s="72">
        <v>0</v>
      </c>
      <c r="BA91" s="72">
        <v>0</v>
      </c>
      <c r="BB91" s="72">
        <v>0</v>
      </c>
      <c r="BC91" s="72">
        <v>180.75212002856409</v>
      </c>
      <c r="BD91" s="72">
        <v>5.3315546633832804</v>
      </c>
      <c r="BE91" s="72">
        <v>230.12746594146694</v>
      </c>
      <c r="BF91" s="72">
        <v>0</v>
      </c>
      <c r="BG91" s="72">
        <v>26.040809905889844</v>
      </c>
      <c r="BH91" s="72">
        <v>520.72182389146758</v>
      </c>
      <c r="BI91" s="72">
        <v>0</v>
      </c>
      <c r="BJ91" s="72">
        <v>3811.3973520381032</v>
      </c>
      <c r="BK91" s="72">
        <v>0</v>
      </c>
      <c r="BL91" s="72">
        <v>0</v>
      </c>
      <c r="BM91" s="72">
        <v>0</v>
      </c>
      <c r="BN91" s="72">
        <v>0</v>
      </c>
      <c r="BO91" s="72">
        <v>0</v>
      </c>
      <c r="BP91" s="72">
        <v>0</v>
      </c>
      <c r="BQ91" s="72">
        <v>0</v>
      </c>
      <c r="BR91" s="72">
        <v>0</v>
      </c>
      <c r="BS91" s="72">
        <v>0</v>
      </c>
      <c r="BT91" s="72">
        <v>0</v>
      </c>
      <c r="BU91" s="72">
        <v>0</v>
      </c>
      <c r="BV91" s="72">
        <v>0</v>
      </c>
      <c r="BW91" s="72">
        <v>0</v>
      </c>
      <c r="BX91" s="72">
        <v>0</v>
      </c>
      <c r="BY91" s="72">
        <v>0</v>
      </c>
      <c r="BZ91" s="72">
        <v>0</v>
      </c>
      <c r="CA91" s="72">
        <v>0</v>
      </c>
      <c r="CB91" s="72">
        <v>0</v>
      </c>
      <c r="CC91" s="72">
        <v>0</v>
      </c>
      <c r="CD91" s="72">
        <v>0</v>
      </c>
      <c r="CE91" s="72">
        <v>0</v>
      </c>
      <c r="CF91" s="72">
        <v>0</v>
      </c>
      <c r="CG91" s="72">
        <v>0</v>
      </c>
      <c r="CH91" s="72">
        <v>0</v>
      </c>
      <c r="CI91" s="72">
        <v>0</v>
      </c>
      <c r="CJ91" s="72">
        <v>0</v>
      </c>
      <c r="CK91" s="72">
        <v>0</v>
      </c>
      <c r="CL91" s="72">
        <v>0</v>
      </c>
      <c r="CM91" s="72">
        <v>0</v>
      </c>
      <c r="CN91" s="72">
        <v>0</v>
      </c>
      <c r="CO91" s="72">
        <v>0</v>
      </c>
      <c r="CP91" s="72">
        <v>0</v>
      </c>
      <c r="CQ91" s="72">
        <v>0</v>
      </c>
      <c r="CR91" s="72">
        <v>0</v>
      </c>
      <c r="CS91" s="72">
        <v>0</v>
      </c>
      <c r="CT91" s="72">
        <v>0</v>
      </c>
      <c r="CU91" s="72">
        <v>0</v>
      </c>
      <c r="CV91" s="72">
        <v>0</v>
      </c>
      <c r="CW91" s="72">
        <v>0</v>
      </c>
      <c r="CX91" s="72">
        <v>0</v>
      </c>
      <c r="CY91" s="72">
        <v>0</v>
      </c>
      <c r="CZ91" s="72">
        <v>0</v>
      </c>
      <c r="DA91" s="72">
        <v>0</v>
      </c>
      <c r="DB91" s="72">
        <v>0</v>
      </c>
      <c r="DC91" s="72">
        <v>0</v>
      </c>
      <c r="DD91" s="72">
        <v>0</v>
      </c>
      <c r="DE91" s="72">
        <v>0</v>
      </c>
      <c r="DF91" s="72">
        <v>0</v>
      </c>
      <c r="DG91" s="72">
        <v>0</v>
      </c>
      <c r="DH91" s="72">
        <v>0</v>
      </c>
      <c r="DI91" s="72">
        <v>0</v>
      </c>
      <c r="DJ91" s="72">
        <v>0</v>
      </c>
      <c r="DK91" s="72">
        <v>0</v>
      </c>
      <c r="DL91" s="72">
        <v>0</v>
      </c>
      <c r="DM91" s="72">
        <v>0</v>
      </c>
      <c r="DN91" s="72">
        <v>0</v>
      </c>
      <c r="DO91" s="72">
        <v>0</v>
      </c>
      <c r="DP91" s="72">
        <v>0</v>
      </c>
      <c r="DQ91" s="72">
        <v>0</v>
      </c>
      <c r="DR91" s="72">
        <v>0</v>
      </c>
      <c r="DS91" s="72">
        <v>0</v>
      </c>
      <c r="DT91" s="72">
        <v>0</v>
      </c>
      <c r="DU91" s="72">
        <v>0</v>
      </c>
      <c r="DV91" s="72">
        <v>0</v>
      </c>
      <c r="DW91" s="72">
        <v>0</v>
      </c>
      <c r="DX91" s="72">
        <v>0</v>
      </c>
      <c r="DY91" s="72">
        <v>0</v>
      </c>
      <c r="DZ91" s="72">
        <v>0</v>
      </c>
      <c r="EA91" s="72">
        <v>0</v>
      </c>
      <c r="EB91" s="72">
        <v>0</v>
      </c>
      <c r="EC91" s="72">
        <v>0</v>
      </c>
      <c r="ED91" s="72">
        <v>0</v>
      </c>
      <c r="EE91" s="72">
        <v>0</v>
      </c>
      <c r="EF91" s="72">
        <v>0</v>
      </c>
      <c r="EG91" s="72">
        <v>0</v>
      </c>
      <c r="EH91" s="72">
        <v>0</v>
      </c>
      <c r="EI91" s="72">
        <v>0</v>
      </c>
      <c r="EJ91" s="72">
        <v>0</v>
      </c>
      <c r="EK91" s="72">
        <v>0</v>
      </c>
      <c r="EL91" s="72">
        <v>0</v>
      </c>
      <c r="EM91" s="72">
        <v>0</v>
      </c>
      <c r="EN91" s="72">
        <v>0</v>
      </c>
      <c r="EO91" s="72">
        <v>0</v>
      </c>
      <c r="EP91" s="72">
        <v>0</v>
      </c>
      <c r="EQ91" s="72">
        <v>0</v>
      </c>
      <c r="ER91" s="72">
        <v>0</v>
      </c>
      <c r="ES91" s="72">
        <v>0</v>
      </c>
      <c r="ET91" s="72">
        <v>0</v>
      </c>
      <c r="EU91" s="72">
        <v>0</v>
      </c>
      <c r="EV91" s="72">
        <v>0</v>
      </c>
      <c r="EW91" s="72">
        <v>0</v>
      </c>
      <c r="EX91" s="72">
        <v>0</v>
      </c>
      <c r="EY91" s="72">
        <v>0</v>
      </c>
      <c r="EZ91" s="72">
        <v>0</v>
      </c>
      <c r="FA91" s="72">
        <v>0</v>
      </c>
      <c r="FB91" s="72">
        <v>0</v>
      </c>
      <c r="FC91" s="72">
        <v>0</v>
      </c>
      <c r="FD91" s="72">
        <v>0</v>
      </c>
      <c r="FE91" s="72">
        <v>0</v>
      </c>
      <c r="FF91" s="72">
        <v>0</v>
      </c>
      <c r="FG91" s="72">
        <v>0</v>
      </c>
      <c r="FH91" s="72">
        <v>0</v>
      </c>
      <c r="FI91" s="72">
        <v>0</v>
      </c>
      <c r="FJ91" s="72">
        <v>0</v>
      </c>
      <c r="FK91" s="72">
        <v>0</v>
      </c>
      <c r="FL91" s="72">
        <v>0</v>
      </c>
      <c r="FM91" s="72">
        <v>0</v>
      </c>
      <c r="FN91" s="72">
        <v>0</v>
      </c>
      <c r="FO91" s="72">
        <v>0</v>
      </c>
      <c r="FP91" s="72">
        <v>0</v>
      </c>
      <c r="FQ91" s="72">
        <v>0</v>
      </c>
      <c r="FR91" s="72">
        <v>0</v>
      </c>
      <c r="FS91" s="72">
        <v>0</v>
      </c>
      <c r="FT91" s="72">
        <v>0</v>
      </c>
      <c r="FU91" s="72">
        <v>0</v>
      </c>
      <c r="FV91" s="74">
        <v>2116.0710938614225</v>
      </c>
      <c r="FW91" s="74">
        <v>2763.8985010601773</v>
      </c>
      <c r="FX91" s="74">
        <v>3299.5723068488637</v>
      </c>
      <c r="FY91" s="74">
        <v>4045.6749611483533</v>
      </c>
      <c r="FZ91" s="74">
        <v>4268.4583303282661</v>
      </c>
      <c r="GA91" s="74">
        <v>5104.763158995841</v>
      </c>
      <c r="GB91" s="74">
        <v>5387.9657926199116</v>
      </c>
      <c r="GC91" s="74">
        <v>6756.8335486239148</v>
      </c>
      <c r="GD91" s="74">
        <v>7378.0276902005853</v>
      </c>
      <c r="GE91" s="74">
        <v>1777.1531643385142</v>
      </c>
      <c r="GF91" s="74">
        <v>1476.6833050640948</v>
      </c>
      <c r="GG91" s="74">
        <v>1914.2113830339724</v>
      </c>
      <c r="GH91" s="74">
        <v>2157.0687495417778</v>
      </c>
      <c r="GI91" s="74">
        <v>2027.9045231948223</v>
      </c>
      <c r="GJ91" s="72">
        <v>0</v>
      </c>
      <c r="GK91" s="72">
        <v>0</v>
      </c>
      <c r="GL91" s="72">
        <v>0</v>
      </c>
      <c r="GM91" s="72">
        <v>0</v>
      </c>
      <c r="GN91" s="72">
        <v>0</v>
      </c>
      <c r="GO91" s="72">
        <v>0</v>
      </c>
      <c r="GP91" s="72">
        <v>2050.666851154187</v>
      </c>
      <c r="GQ91" s="72">
        <v>4116.0418346455408</v>
      </c>
      <c r="GR91" s="72">
        <f t="shared" si="1"/>
        <v>72528.676599686878</v>
      </c>
      <c r="GS91" s="72">
        <f>SUM(CJ$5:CJ$202)</f>
        <v>72528.676599686878</v>
      </c>
      <c r="GT91" s="73">
        <v>0</v>
      </c>
    </row>
    <row r="92" spans="1:202" outlineLevel="1" x14ac:dyDescent="0.2">
      <c r="A92" s="66" t="s">
        <v>782</v>
      </c>
      <c r="B92" s="72">
        <v>0</v>
      </c>
      <c r="C92" s="72">
        <v>0</v>
      </c>
      <c r="D92" s="72">
        <v>0</v>
      </c>
      <c r="E92" s="72">
        <v>0</v>
      </c>
      <c r="F92" s="72">
        <v>0</v>
      </c>
      <c r="G92" s="72">
        <v>0</v>
      </c>
      <c r="H92" s="72">
        <v>0</v>
      </c>
      <c r="I92" s="72">
        <v>0</v>
      </c>
      <c r="J92" s="72">
        <v>0</v>
      </c>
      <c r="K92" s="72">
        <v>0</v>
      </c>
      <c r="L92" s="72">
        <v>0</v>
      </c>
      <c r="M92" s="72">
        <v>0</v>
      </c>
      <c r="N92" s="72">
        <v>0</v>
      </c>
      <c r="O92" s="72">
        <v>0</v>
      </c>
      <c r="P92" s="72">
        <v>0</v>
      </c>
      <c r="Q92" s="72">
        <v>0</v>
      </c>
      <c r="R92" s="72">
        <v>0</v>
      </c>
      <c r="S92" s="72">
        <v>0</v>
      </c>
      <c r="T92" s="72">
        <v>0</v>
      </c>
      <c r="U92" s="72">
        <v>0</v>
      </c>
      <c r="V92" s="72">
        <v>0</v>
      </c>
      <c r="W92" s="72">
        <v>0</v>
      </c>
      <c r="X92" s="72">
        <v>0</v>
      </c>
      <c r="Y92" s="72">
        <v>0</v>
      </c>
      <c r="Z92" s="72">
        <v>0</v>
      </c>
      <c r="AA92" s="72">
        <v>0</v>
      </c>
      <c r="AB92" s="72">
        <v>0</v>
      </c>
      <c r="AC92" s="72">
        <v>0</v>
      </c>
      <c r="AD92" s="72">
        <v>0</v>
      </c>
      <c r="AE92" s="72">
        <v>0</v>
      </c>
      <c r="AF92" s="72">
        <v>0</v>
      </c>
      <c r="AG92" s="72">
        <v>0</v>
      </c>
      <c r="AH92" s="72">
        <v>0</v>
      </c>
      <c r="AI92" s="72">
        <v>0</v>
      </c>
      <c r="AJ92" s="72">
        <v>0</v>
      </c>
      <c r="AK92" s="72">
        <v>0</v>
      </c>
      <c r="AL92" s="72">
        <v>0</v>
      </c>
      <c r="AM92" s="72">
        <v>0</v>
      </c>
      <c r="AN92" s="72">
        <v>0</v>
      </c>
      <c r="AO92" s="72">
        <v>0</v>
      </c>
      <c r="AP92" s="72">
        <v>0</v>
      </c>
      <c r="AQ92" s="72">
        <v>0</v>
      </c>
      <c r="AR92" s="72">
        <v>0</v>
      </c>
      <c r="AS92" s="72">
        <v>0</v>
      </c>
      <c r="AT92" s="72">
        <v>0</v>
      </c>
      <c r="AU92" s="72">
        <v>0</v>
      </c>
      <c r="AV92" s="72">
        <v>0</v>
      </c>
      <c r="AW92" s="72">
        <v>0</v>
      </c>
      <c r="AX92" s="72">
        <v>0</v>
      </c>
      <c r="AY92" s="72">
        <v>0</v>
      </c>
      <c r="AZ92" s="72">
        <v>0</v>
      </c>
      <c r="BA92" s="72">
        <v>0</v>
      </c>
      <c r="BB92" s="72">
        <v>0</v>
      </c>
      <c r="BC92" s="72">
        <v>0</v>
      </c>
      <c r="BD92" s="72">
        <v>0</v>
      </c>
      <c r="BE92" s="72">
        <v>0</v>
      </c>
      <c r="BF92" s="72">
        <v>0</v>
      </c>
      <c r="BG92" s="72">
        <v>0</v>
      </c>
      <c r="BH92" s="72">
        <v>0</v>
      </c>
      <c r="BI92" s="72">
        <v>0</v>
      </c>
      <c r="BJ92" s="72">
        <v>271.39456137673398</v>
      </c>
      <c r="BK92" s="72">
        <v>0</v>
      </c>
      <c r="BL92" s="72">
        <v>0</v>
      </c>
      <c r="BM92" s="72">
        <v>0</v>
      </c>
      <c r="BN92" s="72">
        <v>0</v>
      </c>
      <c r="BO92" s="72">
        <v>0</v>
      </c>
      <c r="BP92" s="72">
        <v>0</v>
      </c>
      <c r="BQ92" s="72">
        <v>0</v>
      </c>
      <c r="BR92" s="72">
        <v>0</v>
      </c>
      <c r="BS92" s="72">
        <v>0</v>
      </c>
      <c r="BT92" s="72">
        <v>0</v>
      </c>
      <c r="BU92" s="72">
        <v>0</v>
      </c>
      <c r="BV92" s="72">
        <v>0</v>
      </c>
      <c r="BW92" s="72">
        <v>0</v>
      </c>
      <c r="BX92" s="72">
        <v>0</v>
      </c>
      <c r="BY92" s="72">
        <v>0</v>
      </c>
      <c r="BZ92" s="72">
        <v>0</v>
      </c>
      <c r="CA92" s="72">
        <v>0</v>
      </c>
      <c r="CB92" s="72">
        <v>0</v>
      </c>
      <c r="CC92" s="72">
        <v>0</v>
      </c>
      <c r="CD92" s="72">
        <v>0</v>
      </c>
      <c r="CE92" s="72">
        <v>0</v>
      </c>
      <c r="CF92" s="72">
        <v>0</v>
      </c>
      <c r="CG92" s="72">
        <v>0</v>
      </c>
      <c r="CH92" s="72">
        <v>0</v>
      </c>
      <c r="CI92" s="72">
        <v>0</v>
      </c>
      <c r="CJ92" s="72">
        <v>0</v>
      </c>
      <c r="CK92" s="72">
        <v>0</v>
      </c>
      <c r="CL92" s="72">
        <v>0</v>
      </c>
      <c r="CM92" s="72">
        <v>0</v>
      </c>
      <c r="CN92" s="72">
        <v>0</v>
      </c>
      <c r="CO92" s="72">
        <v>0</v>
      </c>
      <c r="CP92" s="72">
        <v>0</v>
      </c>
      <c r="CQ92" s="72">
        <v>0</v>
      </c>
      <c r="CR92" s="72">
        <v>0</v>
      </c>
      <c r="CS92" s="72">
        <v>0</v>
      </c>
      <c r="CT92" s="72">
        <v>0</v>
      </c>
      <c r="CU92" s="72">
        <v>0</v>
      </c>
      <c r="CV92" s="72">
        <v>0</v>
      </c>
      <c r="CW92" s="72">
        <v>0</v>
      </c>
      <c r="CX92" s="72">
        <v>0</v>
      </c>
      <c r="CY92" s="72">
        <v>0</v>
      </c>
      <c r="CZ92" s="72">
        <v>0</v>
      </c>
      <c r="DA92" s="72">
        <v>0</v>
      </c>
      <c r="DB92" s="72">
        <v>0</v>
      </c>
      <c r="DC92" s="72">
        <v>0</v>
      </c>
      <c r="DD92" s="72">
        <v>0</v>
      </c>
      <c r="DE92" s="72">
        <v>0</v>
      </c>
      <c r="DF92" s="72">
        <v>0</v>
      </c>
      <c r="DG92" s="72">
        <v>0</v>
      </c>
      <c r="DH92" s="72">
        <v>0</v>
      </c>
      <c r="DI92" s="72">
        <v>0</v>
      </c>
      <c r="DJ92" s="72">
        <v>0</v>
      </c>
      <c r="DK92" s="72">
        <v>0</v>
      </c>
      <c r="DL92" s="72">
        <v>0</v>
      </c>
      <c r="DM92" s="72">
        <v>0</v>
      </c>
      <c r="DN92" s="72">
        <v>0</v>
      </c>
      <c r="DO92" s="72">
        <v>0</v>
      </c>
      <c r="DP92" s="72">
        <v>0</v>
      </c>
      <c r="DQ92" s="72">
        <v>0</v>
      </c>
      <c r="DR92" s="72">
        <v>0</v>
      </c>
      <c r="DS92" s="72">
        <v>0</v>
      </c>
      <c r="DT92" s="72">
        <v>0</v>
      </c>
      <c r="DU92" s="72">
        <v>0</v>
      </c>
      <c r="DV92" s="72">
        <v>0</v>
      </c>
      <c r="DW92" s="72">
        <v>0</v>
      </c>
      <c r="DX92" s="72">
        <v>0</v>
      </c>
      <c r="DY92" s="72">
        <v>0</v>
      </c>
      <c r="DZ92" s="72">
        <v>0</v>
      </c>
      <c r="EA92" s="72">
        <v>0</v>
      </c>
      <c r="EB92" s="72">
        <v>0</v>
      </c>
      <c r="EC92" s="72">
        <v>0</v>
      </c>
      <c r="ED92" s="72">
        <v>0</v>
      </c>
      <c r="EE92" s="72">
        <v>0</v>
      </c>
      <c r="EF92" s="72">
        <v>0</v>
      </c>
      <c r="EG92" s="72">
        <v>0</v>
      </c>
      <c r="EH92" s="72">
        <v>0</v>
      </c>
      <c r="EI92" s="72">
        <v>0</v>
      </c>
      <c r="EJ92" s="72">
        <v>0</v>
      </c>
      <c r="EK92" s="72">
        <v>0</v>
      </c>
      <c r="EL92" s="72">
        <v>0</v>
      </c>
      <c r="EM92" s="72">
        <v>0</v>
      </c>
      <c r="EN92" s="72">
        <v>0</v>
      </c>
      <c r="EO92" s="72">
        <v>0</v>
      </c>
      <c r="EP92" s="72">
        <v>0</v>
      </c>
      <c r="EQ92" s="72">
        <v>0</v>
      </c>
      <c r="ER92" s="72">
        <v>0</v>
      </c>
      <c r="ES92" s="72">
        <v>0</v>
      </c>
      <c r="ET92" s="72">
        <v>0</v>
      </c>
      <c r="EU92" s="72">
        <v>0</v>
      </c>
      <c r="EV92" s="72">
        <v>0</v>
      </c>
      <c r="EW92" s="72">
        <v>0</v>
      </c>
      <c r="EX92" s="72">
        <v>0</v>
      </c>
      <c r="EY92" s="72">
        <v>0</v>
      </c>
      <c r="EZ92" s="72">
        <v>0</v>
      </c>
      <c r="FA92" s="72">
        <v>0</v>
      </c>
      <c r="FB92" s="72">
        <v>0</v>
      </c>
      <c r="FC92" s="72">
        <v>0</v>
      </c>
      <c r="FD92" s="72">
        <v>0</v>
      </c>
      <c r="FE92" s="72">
        <v>0</v>
      </c>
      <c r="FF92" s="72">
        <v>0</v>
      </c>
      <c r="FG92" s="72">
        <v>0</v>
      </c>
      <c r="FH92" s="72">
        <v>0</v>
      </c>
      <c r="FI92" s="72">
        <v>0</v>
      </c>
      <c r="FJ92" s="72">
        <v>0</v>
      </c>
      <c r="FK92" s="72">
        <v>0</v>
      </c>
      <c r="FL92" s="72">
        <v>0</v>
      </c>
      <c r="FM92" s="72">
        <v>0</v>
      </c>
      <c r="FN92" s="72">
        <v>0</v>
      </c>
      <c r="FO92" s="72">
        <v>0</v>
      </c>
      <c r="FP92" s="72">
        <v>0</v>
      </c>
      <c r="FQ92" s="72">
        <v>0</v>
      </c>
      <c r="FR92" s="72">
        <v>0</v>
      </c>
      <c r="FS92" s="72">
        <v>0</v>
      </c>
      <c r="FT92" s="72">
        <v>0</v>
      </c>
      <c r="FU92" s="72">
        <v>0</v>
      </c>
      <c r="FV92" s="74">
        <v>1414.1441974815421</v>
      </c>
      <c r="FW92" s="74">
        <v>2200.654809092975</v>
      </c>
      <c r="FX92" s="74">
        <v>3051.1467261449675</v>
      </c>
      <c r="FY92" s="74">
        <v>4220.4706876818909</v>
      </c>
      <c r="FZ92" s="74">
        <v>5285.3183672031091</v>
      </c>
      <c r="GA92" s="74">
        <v>6400.0641970136448</v>
      </c>
      <c r="GB92" s="74">
        <v>6208.8533829797025</v>
      </c>
      <c r="GC92" s="74">
        <v>8505.1179447728591</v>
      </c>
      <c r="GD92" s="74">
        <v>10626.702146852984</v>
      </c>
      <c r="GE92" s="74">
        <v>1386.112355805476</v>
      </c>
      <c r="GF92" s="74">
        <v>1419.2521642485431</v>
      </c>
      <c r="GG92" s="74">
        <v>2078.3585325710269</v>
      </c>
      <c r="GH92" s="74">
        <v>2153.0368062470807</v>
      </c>
      <c r="GI92" s="74">
        <v>2422.260621603205</v>
      </c>
      <c r="GJ92" s="72">
        <v>0</v>
      </c>
      <c r="GK92" s="72">
        <v>0</v>
      </c>
      <c r="GL92" s="72">
        <v>0</v>
      </c>
      <c r="GM92" s="72">
        <v>0</v>
      </c>
      <c r="GN92" s="72">
        <v>0</v>
      </c>
      <c r="GO92" s="72">
        <v>0</v>
      </c>
      <c r="GP92" s="72">
        <v>208.01287644993729</v>
      </c>
      <c r="GQ92" s="72">
        <v>4924.985292287909</v>
      </c>
      <c r="GR92" s="72">
        <f t="shared" si="1"/>
        <v>62775.885669813593</v>
      </c>
      <c r="GS92" s="72">
        <f>SUM(CK$5:CK$202)</f>
        <v>62775.885669813586</v>
      </c>
      <c r="GT92" s="73">
        <v>0</v>
      </c>
    </row>
    <row r="93" spans="1:202" outlineLevel="1" x14ac:dyDescent="0.2">
      <c r="A93" s="66" t="s">
        <v>786</v>
      </c>
      <c r="B93" s="72">
        <v>0</v>
      </c>
      <c r="C93" s="72">
        <v>0</v>
      </c>
      <c r="D93" s="72">
        <v>0</v>
      </c>
      <c r="E93" s="72">
        <v>0</v>
      </c>
      <c r="F93" s="72">
        <v>0</v>
      </c>
      <c r="G93" s="72">
        <v>0</v>
      </c>
      <c r="H93" s="72">
        <v>0</v>
      </c>
      <c r="I93" s="72">
        <v>0.78748890771061586</v>
      </c>
      <c r="J93" s="72">
        <v>0</v>
      </c>
      <c r="K93" s="72">
        <v>4845.5778100063035</v>
      </c>
      <c r="L93" s="72">
        <v>12806.697980863664</v>
      </c>
      <c r="M93" s="72">
        <v>36.291303932404588</v>
      </c>
      <c r="N93" s="72">
        <v>126.26326525829738</v>
      </c>
      <c r="O93" s="72">
        <v>0</v>
      </c>
      <c r="P93" s="72">
        <v>1.079059350027016</v>
      </c>
      <c r="Q93" s="72">
        <v>33.207734986075351</v>
      </c>
      <c r="R93" s="72">
        <v>0</v>
      </c>
      <c r="S93" s="72">
        <v>0</v>
      </c>
      <c r="T93" s="72">
        <v>117.04498921534638</v>
      </c>
      <c r="U93" s="72">
        <v>70.549939966045201</v>
      </c>
      <c r="V93" s="72">
        <v>133.32864922316003</v>
      </c>
      <c r="W93" s="72">
        <v>0</v>
      </c>
      <c r="X93" s="72">
        <v>0</v>
      </c>
      <c r="Y93" s="72">
        <v>0</v>
      </c>
      <c r="Z93" s="72">
        <v>0.6115338667825363</v>
      </c>
      <c r="AA93" s="72">
        <v>162.3742352445978</v>
      </c>
      <c r="AB93" s="72">
        <v>0</v>
      </c>
      <c r="AC93" s="72">
        <v>0</v>
      </c>
      <c r="AD93" s="72">
        <v>15.711948227228506</v>
      </c>
      <c r="AE93" s="72">
        <v>170.38900711843507</v>
      </c>
      <c r="AF93" s="72">
        <v>0</v>
      </c>
      <c r="AG93" s="72">
        <v>699.27785274661585</v>
      </c>
      <c r="AH93" s="72">
        <v>209.06174399109238</v>
      </c>
      <c r="AI93" s="72">
        <v>0.20525691399110627</v>
      </c>
      <c r="AJ93" s="72">
        <v>0.23748649180528067</v>
      </c>
      <c r="AK93" s="72">
        <v>0</v>
      </c>
      <c r="AL93" s="72">
        <v>0</v>
      </c>
      <c r="AM93" s="72">
        <v>0</v>
      </c>
      <c r="AN93" s="72">
        <v>0</v>
      </c>
      <c r="AO93" s="72">
        <v>13.942843223377205</v>
      </c>
      <c r="AP93" s="72">
        <v>0</v>
      </c>
      <c r="AQ93" s="72">
        <v>0</v>
      </c>
      <c r="AR93" s="72">
        <v>0</v>
      </c>
      <c r="AS93" s="72">
        <v>0</v>
      </c>
      <c r="AT93" s="72">
        <v>0</v>
      </c>
      <c r="AU93" s="72">
        <v>0</v>
      </c>
      <c r="AV93" s="72">
        <v>0</v>
      </c>
      <c r="AW93" s="72">
        <v>0</v>
      </c>
      <c r="AX93" s="72">
        <v>0</v>
      </c>
      <c r="AY93" s="72">
        <v>0</v>
      </c>
      <c r="AZ93" s="72">
        <v>0</v>
      </c>
      <c r="BA93" s="72">
        <v>0</v>
      </c>
      <c r="BB93" s="72">
        <v>0</v>
      </c>
      <c r="BC93" s="72">
        <v>0</v>
      </c>
      <c r="BD93" s="72">
        <v>0</v>
      </c>
      <c r="BE93" s="72">
        <v>0</v>
      </c>
      <c r="BF93" s="72">
        <v>0</v>
      </c>
      <c r="BG93" s="72">
        <v>0</v>
      </c>
      <c r="BH93" s="72">
        <v>0</v>
      </c>
      <c r="BI93" s="72">
        <v>0</v>
      </c>
      <c r="BJ93" s="72">
        <v>4738.1390504289284</v>
      </c>
      <c r="BK93" s="72">
        <v>0</v>
      </c>
      <c r="BL93" s="72">
        <v>0</v>
      </c>
      <c r="BM93" s="72">
        <v>0</v>
      </c>
      <c r="BN93" s="72">
        <v>0</v>
      </c>
      <c r="BO93" s="72">
        <v>0</v>
      </c>
      <c r="BP93" s="72">
        <v>0</v>
      </c>
      <c r="BQ93" s="72">
        <v>0</v>
      </c>
      <c r="BR93" s="72">
        <v>0</v>
      </c>
      <c r="BS93" s="72">
        <v>0</v>
      </c>
      <c r="BT93" s="72">
        <v>0</v>
      </c>
      <c r="BU93" s="72">
        <v>0</v>
      </c>
      <c r="BV93" s="72">
        <v>0</v>
      </c>
      <c r="BW93" s="72">
        <v>0</v>
      </c>
      <c r="BX93" s="72">
        <v>0</v>
      </c>
      <c r="BY93" s="72">
        <v>0</v>
      </c>
      <c r="BZ93" s="72">
        <v>0</v>
      </c>
      <c r="CA93" s="72">
        <v>0</v>
      </c>
      <c r="CB93" s="72">
        <v>0</v>
      </c>
      <c r="CC93" s="72">
        <v>0</v>
      </c>
      <c r="CD93" s="72">
        <v>0</v>
      </c>
      <c r="CE93" s="72">
        <v>0</v>
      </c>
      <c r="CF93" s="72">
        <v>0</v>
      </c>
      <c r="CG93" s="72">
        <v>0</v>
      </c>
      <c r="CH93" s="72">
        <v>0</v>
      </c>
      <c r="CI93" s="72">
        <v>0</v>
      </c>
      <c r="CJ93" s="72">
        <v>0</v>
      </c>
      <c r="CK93" s="72">
        <v>0</v>
      </c>
      <c r="CL93" s="72">
        <v>0</v>
      </c>
      <c r="CM93" s="72">
        <v>0</v>
      </c>
      <c r="CN93" s="72">
        <v>0</v>
      </c>
      <c r="CO93" s="72">
        <v>0</v>
      </c>
      <c r="CP93" s="72">
        <v>0</v>
      </c>
      <c r="CQ93" s="72">
        <v>0</v>
      </c>
      <c r="CR93" s="72">
        <v>0</v>
      </c>
      <c r="CS93" s="72">
        <v>0</v>
      </c>
      <c r="CT93" s="72">
        <v>0</v>
      </c>
      <c r="CU93" s="72">
        <v>0</v>
      </c>
      <c r="CV93" s="72">
        <v>0</v>
      </c>
      <c r="CW93" s="72">
        <v>0</v>
      </c>
      <c r="CX93" s="72">
        <v>0</v>
      </c>
      <c r="CY93" s="72">
        <v>0</v>
      </c>
      <c r="CZ93" s="72">
        <v>0</v>
      </c>
      <c r="DA93" s="72">
        <v>0</v>
      </c>
      <c r="DB93" s="72">
        <v>0</v>
      </c>
      <c r="DC93" s="72">
        <v>0</v>
      </c>
      <c r="DD93" s="72">
        <v>0</v>
      </c>
      <c r="DE93" s="72">
        <v>0</v>
      </c>
      <c r="DF93" s="72">
        <v>0</v>
      </c>
      <c r="DG93" s="72">
        <v>0</v>
      </c>
      <c r="DH93" s="72">
        <v>0</v>
      </c>
      <c r="DI93" s="72">
        <v>0</v>
      </c>
      <c r="DJ93" s="72">
        <v>0</v>
      </c>
      <c r="DK93" s="72">
        <v>0</v>
      </c>
      <c r="DL93" s="72">
        <v>0</v>
      </c>
      <c r="DM93" s="72">
        <v>0</v>
      </c>
      <c r="DN93" s="72">
        <v>0</v>
      </c>
      <c r="DO93" s="72">
        <v>0</v>
      </c>
      <c r="DP93" s="72">
        <v>0</v>
      </c>
      <c r="DQ93" s="72">
        <v>0</v>
      </c>
      <c r="DR93" s="72">
        <v>0</v>
      </c>
      <c r="DS93" s="72">
        <v>0</v>
      </c>
      <c r="DT93" s="72">
        <v>0</v>
      </c>
      <c r="DU93" s="72">
        <v>0</v>
      </c>
      <c r="DV93" s="72">
        <v>0</v>
      </c>
      <c r="DW93" s="72">
        <v>0</v>
      </c>
      <c r="DX93" s="72">
        <v>0</v>
      </c>
      <c r="DY93" s="72">
        <v>0</v>
      </c>
      <c r="DZ93" s="72">
        <v>0</v>
      </c>
      <c r="EA93" s="72">
        <v>0</v>
      </c>
      <c r="EB93" s="72">
        <v>0</v>
      </c>
      <c r="EC93" s="72">
        <v>0</v>
      </c>
      <c r="ED93" s="72">
        <v>0</v>
      </c>
      <c r="EE93" s="72">
        <v>0</v>
      </c>
      <c r="EF93" s="72">
        <v>0</v>
      </c>
      <c r="EG93" s="72">
        <v>0</v>
      </c>
      <c r="EH93" s="72">
        <v>0</v>
      </c>
      <c r="EI93" s="72">
        <v>0</v>
      </c>
      <c r="EJ93" s="72">
        <v>0</v>
      </c>
      <c r="EK93" s="72">
        <v>0</v>
      </c>
      <c r="EL93" s="72">
        <v>0</v>
      </c>
      <c r="EM93" s="72">
        <v>0</v>
      </c>
      <c r="EN93" s="72">
        <v>0</v>
      </c>
      <c r="EO93" s="72">
        <v>0</v>
      </c>
      <c r="EP93" s="72">
        <v>0</v>
      </c>
      <c r="EQ93" s="72">
        <v>0</v>
      </c>
      <c r="ER93" s="72">
        <v>0</v>
      </c>
      <c r="ES93" s="72">
        <v>0</v>
      </c>
      <c r="ET93" s="72">
        <v>0</v>
      </c>
      <c r="EU93" s="72">
        <v>0</v>
      </c>
      <c r="EV93" s="72">
        <v>0</v>
      </c>
      <c r="EW93" s="72">
        <v>0</v>
      </c>
      <c r="EX93" s="72">
        <v>0</v>
      </c>
      <c r="EY93" s="72">
        <v>0</v>
      </c>
      <c r="EZ93" s="72">
        <v>0</v>
      </c>
      <c r="FA93" s="72">
        <v>0</v>
      </c>
      <c r="FB93" s="72">
        <v>0</v>
      </c>
      <c r="FC93" s="72">
        <v>0</v>
      </c>
      <c r="FD93" s="72">
        <v>0</v>
      </c>
      <c r="FE93" s="72">
        <v>0</v>
      </c>
      <c r="FF93" s="72">
        <v>0</v>
      </c>
      <c r="FG93" s="72">
        <v>0</v>
      </c>
      <c r="FH93" s="72">
        <v>0</v>
      </c>
      <c r="FI93" s="72">
        <v>0</v>
      </c>
      <c r="FJ93" s="72">
        <v>0</v>
      </c>
      <c r="FK93" s="72">
        <v>0</v>
      </c>
      <c r="FL93" s="72">
        <v>0</v>
      </c>
      <c r="FM93" s="72">
        <v>0</v>
      </c>
      <c r="FN93" s="72">
        <v>0</v>
      </c>
      <c r="FO93" s="72">
        <v>0</v>
      </c>
      <c r="FP93" s="72">
        <v>0</v>
      </c>
      <c r="FQ93" s="72">
        <v>0</v>
      </c>
      <c r="FR93" s="72">
        <v>0</v>
      </c>
      <c r="FS93" s="72">
        <v>0</v>
      </c>
      <c r="FT93" s="72">
        <v>0</v>
      </c>
      <c r="FU93" s="72">
        <v>0</v>
      </c>
      <c r="FV93" s="74">
        <v>18.404392184610497</v>
      </c>
      <c r="FW93" s="74">
        <v>17.42257338467822</v>
      </c>
      <c r="FX93" s="74">
        <v>23.100873480799589</v>
      </c>
      <c r="FY93" s="74">
        <v>18.612341747525111</v>
      </c>
      <c r="FZ93" s="74">
        <v>31.951292214217968</v>
      </c>
      <c r="GA93" s="74">
        <v>21.790305471549299</v>
      </c>
      <c r="GB93" s="74">
        <v>43.840966924354809</v>
      </c>
      <c r="GC93" s="74">
        <v>43.585178311504428</v>
      </c>
      <c r="GD93" s="74">
        <v>83.114717159222778</v>
      </c>
      <c r="GE93" s="74">
        <v>44.444866947025147</v>
      </c>
      <c r="GF93" s="74">
        <v>18.492687267957308</v>
      </c>
      <c r="GG93" s="74">
        <v>36.848712324472643</v>
      </c>
      <c r="GH93" s="74">
        <v>10.382401560384157</v>
      </c>
      <c r="GI93" s="74">
        <v>26.216187928675929</v>
      </c>
      <c r="GJ93" s="72">
        <v>0</v>
      </c>
      <c r="GK93" s="72">
        <v>0</v>
      </c>
      <c r="GL93" s="72">
        <v>0</v>
      </c>
      <c r="GM93" s="72">
        <v>0</v>
      </c>
      <c r="GN93" s="72">
        <v>0</v>
      </c>
      <c r="GO93" s="72">
        <v>0</v>
      </c>
      <c r="GP93" s="72">
        <v>78.466825975586943</v>
      </c>
      <c r="GQ93" s="72">
        <v>2361.9879946591477</v>
      </c>
      <c r="GR93" s="72">
        <f t="shared" si="1"/>
        <v>27059.441497503598</v>
      </c>
      <c r="GS93" s="72">
        <f>SUM(CL$5:CL$202)</f>
        <v>27059.441497503602</v>
      </c>
      <c r="GT93" s="73">
        <v>0</v>
      </c>
    </row>
    <row r="94" spans="1:202" outlineLevel="1" x14ac:dyDescent="0.2">
      <c r="A94" s="66" t="s">
        <v>793</v>
      </c>
      <c r="B94" s="72">
        <v>0</v>
      </c>
      <c r="C94" s="72">
        <v>0</v>
      </c>
      <c r="D94" s="72">
        <v>0</v>
      </c>
      <c r="E94" s="72">
        <v>0</v>
      </c>
      <c r="F94" s="72">
        <v>0</v>
      </c>
      <c r="G94" s="72">
        <v>0</v>
      </c>
      <c r="H94" s="72">
        <v>0</v>
      </c>
      <c r="I94" s="72">
        <v>255.15777066427867</v>
      </c>
      <c r="J94" s="72">
        <v>33.111426639589716</v>
      </c>
      <c r="K94" s="72">
        <v>28.519052751459718</v>
      </c>
      <c r="L94" s="72">
        <v>408.11188856472535</v>
      </c>
      <c r="M94" s="72">
        <v>5.6507516105927271</v>
      </c>
      <c r="N94" s="72">
        <v>44.71963662395013</v>
      </c>
      <c r="O94" s="72">
        <v>109.82171344836057</v>
      </c>
      <c r="P94" s="72">
        <v>368.69228464983433</v>
      </c>
      <c r="Q94" s="72">
        <v>16.776663923028718</v>
      </c>
      <c r="R94" s="72">
        <v>9.0674587465011669</v>
      </c>
      <c r="S94" s="72">
        <v>112.17020148255678</v>
      </c>
      <c r="T94" s="72">
        <v>104.4555718002601</v>
      </c>
      <c r="U94" s="72">
        <v>15.955575698522752</v>
      </c>
      <c r="V94" s="72">
        <v>15.78656539405779</v>
      </c>
      <c r="W94" s="72">
        <v>10.888650865877775</v>
      </c>
      <c r="X94" s="72">
        <v>56.679440100710174</v>
      </c>
      <c r="Y94" s="72">
        <v>31.065199919550992</v>
      </c>
      <c r="Z94" s="72">
        <v>143.34922751199375</v>
      </c>
      <c r="AA94" s="72">
        <v>167.43037606760652</v>
      </c>
      <c r="AB94" s="72">
        <v>45.289716795840413</v>
      </c>
      <c r="AC94" s="72">
        <v>3.0297044782102058</v>
      </c>
      <c r="AD94" s="72">
        <v>1.6104674814984685</v>
      </c>
      <c r="AE94" s="72">
        <v>435.02524680448744</v>
      </c>
      <c r="AF94" s="72">
        <v>29.53597576908523</v>
      </c>
      <c r="AG94" s="72">
        <v>121.53754944349494</v>
      </c>
      <c r="AH94" s="72">
        <v>14.830920948060264</v>
      </c>
      <c r="AI94" s="72">
        <v>9.4579252654084236</v>
      </c>
      <c r="AJ94" s="72">
        <v>10.790497386680794</v>
      </c>
      <c r="AK94" s="72">
        <v>0</v>
      </c>
      <c r="AL94" s="72">
        <v>0</v>
      </c>
      <c r="AM94" s="72">
        <v>0</v>
      </c>
      <c r="AN94" s="72">
        <v>0</v>
      </c>
      <c r="AO94" s="72">
        <v>148.53620773403861</v>
      </c>
      <c r="AP94" s="72">
        <v>2.2743542181295968</v>
      </c>
      <c r="AQ94" s="72">
        <v>2.3871057293712421</v>
      </c>
      <c r="AR94" s="72">
        <v>389.54888627923287</v>
      </c>
      <c r="AS94" s="72">
        <v>0</v>
      </c>
      <c r="AT94" s="72">
        <v>0</v>
      </c>
      <c r="AU94" s="72">
        <v>0</v>
      </c>
      <c r="AV94" s="72">
        <v>0</v>
      </c>
      <c r="AW94" s="72">
        <v>0</v>
      </c>
      <c r="AX94" s="72">
        <v>0</v>
      </c>
      <c r="AY94" s="72">
        <v>0</v>
      </c>
      <c r="AZ94" s="72">
        <v>0</v>
      </c>
      <c r="BA94" s="72">
        <v>0</v>
      </c>
      <c r="BB94" s="72">
        <v>0</v>
      </c>
      <c r="BC94" s="72">
        <v>214.54635036573382</v>
      </c>
      <c r="BD94" s="72">
        <v>7.4265038547433626</v>
      </c>
      <c r="BE94" s="72">
        <v>369.52152634161394</v>
      </c>
      <c r="BF94" s="72">
        <v>178.94145899229028</v>
      </c>
      <c r="BG94" s="72">
        <v>296.679510046541</v>
      </c>
      <c r="BH94" s="72">
        <v>767.09240534443791</v>
      </c>
      <c r="BI94" s="72">
        <v>13.2452638652644</v>
      </c>
      <c r="BJ94" s="72">
        <v>1591.7221592488536</v>
      </c>
      <c r="BK94" s="72">
        <v>0</v>
      </c>
      <c r="BL94" s="72">
        <v>0</v>
      </c>
      <c r="BM94" s="72">
        <v>0</v>
      </c>
      <c r="BN94" s="72">
        <v>0</v>
      </c>
      <c r="BO94" s="72">
        <v>0</v>
      </c>
      <c r="BP94" s="72">
        <v>0</v>
      </c>
      <c r="BQ94" s="72">
        <v>0</v>
      </c>
      <c r="BR94" s="72">
        <v>0</v>
      </c>
      <c r="BS94" s="72">
        <v>0</v>
      </c>
      <c r="BT94" s="72">
        <v>0</v>
      </c>
      <c r="BU94" s="72">
        <v>0</v>
      </c>
      <c r="BV94" s="72">
        <v>0</v>
      </c>
      <c r="BW94" s="72">
        <v>0</v>
      </c>
      <c r="BX94" s="72">
        <v>0</v>
      </c>
      <c r="BY94" s="72">
        <v>0</v>
      </c>
      <c r="BZ94" s="72">
        <v>0</v>
      </c>
      <c r="CA94" s="72">
        <v>0</v>
      </c>
      <c r="CB94" s="72">
        <v>0</v>
      </c>
      <c r="CC94" s="72">
        <v>0</v>
      </c>
      <c r="CD94" s="72">
        <v>0</v>
      </c>
      <c r="CE94" s="72">
        <v>0</v>
      </c>
      <c r="CF94" s="72">
        <v>0</v>
      </c>
      <c r="CG94" s="72">
        <v>0</v>
      </c>
      <c r="CH94" s="72">
        <v>0</v>
      </c>
      <c r="CI94" s="72">
        <v>0</v>
      </c>
      <c r="CJ94" s="72">
        <v>0</v>
      </c>
      <c r="CK94" s="72">
        <v>0</v>
      </c>
      <c r="CL94" s="72">
        <v>0</v>
      </c>
      <c r="CM94" s="72">
        <v>0</v>
      </c>
      <c r="CN94" s="72">
        <v>0</v>
      </c>
      <c r="CO94" s="72">
        <v>0</v>
      </c>
      <c r="CP94" s="72">
        <v>0</v>
      </c>
      <c r="CQ94" s="72">
        <v>0</v>
      </c>
      <c r="CR94" s="72">
        <v>0</v>
      </c>
      <c r="CS94" s="72">
        <v>0</v>
      </c>
      <c r="CT94" s="72">
        <v>0</v>
      </c>
      <c r="CU94" s="72">
        <v>0</v>
      </c>
      <c r="CV94" s="72">
        <v>0</v>
      </c>
      <c r="CW94" s="72">
        <v>0</v>
      </c>
      <c r="CX94" s="72">
        <v>0</v>
      </c>
      <c r="CY94" s="72">
        <v>0</v>
      </c>
      <c r="CZ94" s="72">
        <v>0</v>
      </c>
      <c r="DA94" s="72">
        <v>0</v>
      </c>
      <c r="DB94" s="72">
        <v>0</v>
      </c>
      <c r="DC94" s="72">
        <v>0</v>
      </c>
      <c r="DD94" s="72">
        <v>0</v>
      </c>
      <c r="DE94" s="72">
        <v>0</v>
      </c>
      <c r="DF94" s="72">
        <v>0</v>
      </c>
      <c r="DG94" s="72">
        <v>0</v>
      </c>
      <c r="DH94" s="72">
        <v>0</v>
      </c>
      <c r="DI94" s="72">
        <v>0</v>
      </c>
      <c r="DJ94" s="72">
        <v>0</v>
      </c>
      <c r="DK94" s="72">
        <v>0</v>
      </c>
      <c r="DL94" s="72">
        <v>0</v>
      </c>
      <c r="DM94" s="72">
        <v>0</v>
      </c>
      <c r="DN94" s="72">
        <v>0</v>
      </c>
      <c r="DO94" s="72">
        <v>0</v>
      </c>
      <c r="DP94" s="72">
        <v>0</v>
      </c>
      <c r="DQ94" s="72">
        <v>0</v>
      </c>
      <c r="DR94" s="72">
        <v>0</v>
      </c>
      <c r="DS94" s="72">
        <v>0</v>
      </c>
      <c r="DT94" s="72">
        <v>0</v>
      </c>
      <c r="DU94" s="72">
        <v>0</v>
      </c>
      <c r="DV94" s="72">
        <v>0</v>
      </c>
      <c r="DW94" s="72">
        <v>0</v>
      </c>
      <c r="DX94" s="72">
        <v>0</v>
      </c>
      <c r="DY94" s="72">
        <v>0</v>
      </c>
      <c r="DZ94" s="72">
        <v>0</v>
      </c>
      <c r="EA94" s="72">
        <v>0</v>
      </c>
      <c r="EB94" s="72">
        <v>0</v>
      </c>
      <c r="EC94" s="72">
        <v>0</v>
      </c>
      <c r="ED94" s="72">
        <v>0</v>
      </c>
      <c r="EE94" s="72">
        <v>0</v>
      </c>
      <c r="EF94" s="72">
        <v>0</v>
      </c>
      <c r="EG94" s="72">
        <v>0</v>
      </c>
      <c r="EH94" s="72">
        <v>0</v>
      </c>
      <c r="EI94" s="72">
        <v>0</v>
      </c>
      <c r="EJ94" s="72">
        <v>0</v>
      </c>
      <c r="EK94" s="72">
        <v>0</v>
      </c>
      <c r="EL94" s="72">
        <v>0</v>
      </c>
      <c r="EM94" s="72">
        <v>0</v>
      </c>
      <c r="EN94" s="72">
        <v>0</v>
      </c>
      <c r="EO94" s="72">
        <v>0</v>
      </c>
      <c r="EP94" s="72">
        <v>0</v>
      </c>
      <c r="EQ94" s="72">
        <v>0</v>
      </c>
      <c r="ER94" s="72">
        <v>0</v>
      </c>
      <c r="ES94" s="72">
        <v>0</v>
      </c>
      <c r="ET94" s="72">
        <v>0</v>
      </c>
      <c r="EU94" s="72">
        <v>0</v>
      </c>
      <c r="EV94" s="72">
        <v>0</v>
      </c>
      <c r="EW94" s="72">
        <v>0</v>
      </c>
      <c r="EX94" s="72">
        <v>0</v>
      </c>
      <c r="EY94" s="72">
        <v>0</v>
      </c>
      <c r="EZ94" s="72">
        <v>0</v>
      </c>
      <c r="FA94" s="72">
        <v>0</v>
      </c>
      <c r="FB94" s="72">
        <v>0</v>
      </c>
      <c r="FC94" s="72">
        <v>0</v>
      </c>
      <c r="FD94" s="72">
        <v>0</v>
      </c>
      <c r="FE94" s="72">
        <v>0</v>
      </c>
      <c r="FF94" s="72">
        <v>0</v>
      </c>
      <c r="FG94" s="72">
        <v>0</v>
      </c>
      <c r="FH94" s="72">
        <v>0</v>
      </c>
      <c r="FI94" s="72">
        <v>0</v>
      </c>
      <c r="FJ94" s="72">
        <v>0</v>
      </c>
      <c r="FK94" s="72">
        <v>0</v>
      </c>
      <c r="FL94" s="72">
        <v>0</v>
      </c>
      <c r="FM94" s="72">
        <v>0</v>
      </c>
      <c r="FN94" s="72">
        <v>0</v>
      </c>
      <c r="FO94" s="72">
        <v>0</v>
      </c>
      <c r="FP94" s="72">
        <v>0</v>
      </c>
      <c r="FQ94" s="72">
        <v>0</v>
      </c>
      <c r="FR94" s="72">
        <v>0</v>
      </c>
      <c r="FS94" s="72">
        <v>0</v>
      </c>
      <c r="FT94" s="72">
        <v>0</v>
      </c>
      <c r="FU94" s="72">
        <v>0</v>
      </c>
      <c r="FV94" s="74">
        <v>534.17808559984644</v>
      </c>
      <c r="FW94" s="74">
        <v>707.6968662998114</v>
      </c>
      <c r="FX94" s="74">
        <v>1028.4841601611158</v>
      </c>
      <c r="FY94" s="74">
        <v>1054.4595759085921</v>
      </c>
      <c r="FZ94" s="74">
        <v>1286.8553693338317</v>
      </c>
      <c r="GA94" s="74">
        <v>1468.8770796692202</v>
      </c>
      <c r="GB94" s="74">
        <v>2025.7603934082547</v>
      </c>
      <c r="GC94" s="74">
        <v>2513.9061910099549</v>
      </c>
      <c r="GD94" s="74">
        <v>3296.084069577123</v>
      </c>
      <c r="GE94" s="74">
        <v>876.11847143477144</v>
      </c>
      <c r="GF94" s="74">
        <v>944.98152492199699</v>
      </c>
      <c r="GG94" s="74">
        <v>981.02401164392256</v>
      </c>
      <c r="GH94" s="74">
        <v>1622.3723262299111</v>
      </c>
      <c r="GI94" s="74">
        <v>2473.5240832299592</v>
      </c>
      <c r="GJ94" s="72">
        <v>0</v>
      </c>
      <c r="GK94" s="72">
        <v>0</v>
      </c>
      <c r="GL94" s="72">
        <v>0</v>
      </c>
      <c r="GM94" s="72">
        <v>0</v>
      </c>
      <c r="GN94" s="72">
        <v>0</v>
      </c>
      <c r="GO94" s="72">
        <v>0</v>
      </c>
      <c r="GP94" s="72">
        <v>-955.80572530808945</v>
      </c>
      <c r="GQ94" s="72">
        <v>3705.0352567038494</v>
      </c>
      <c r="GR94" s="72">
        <f t="shared" si="1"/>
        <v>30153.99093268055</v>
      </c>
      <c r="GS94" s="72">
        <f>SUM(CM$5:CM$202)</f>
        <v>30153.990932680554</v>
      </c>
      <c r="GT94" s="73">
        <v>0</v>
      </c>
    </row>
    <row r="95" spans="1:202" outlineLevel="1" x14ac:dyDescent="0.2">
      <c r="A95" s="66" t="s">
        <v>798</v>
      </c>
      <c r="B95" s="72">
        <v>0</v>
      </c>
      <c r="C95" s="72">
        <v>0</v>
      </c>
      <c r="D95" s="72">
        <v>0</v>
      </c>
      <c r="E95" s="72">
        <v>0</v>
      </c>
      <c r="F95" s="72">
        <v>0</v>
      </c>
      <c r="G95" s="72">
        <v>0</v>
      </c>
      <c r="H95" s="72">
        <v>0</v>
      </c>
      <c r="I95" s="72">
        <v>0</v>
      </c>
      <c r="J95" s="72">
        <v>0</v>
      </c>
      <c r="K95" s="72">
        <v>128.12518463745977</v>
      </c>
      <c r="L95" s="72">
        <v>0</v>
      </c>
      <c r="M95" s="72">
        <v>0</v>
      </c>
      <c r="N95" s="72">
        <v>0</v>
      </c>
      <c r="O95" s="72">
        <v>0</v>
      </c>
      <c r="P95" s="72">
        <v>0</v>
      </c>
      <c r="Q95" s="72">
        <v>0</v>
      </c>
      <c r="R95" s="72">
        <v>0</v>
      </c>
      <c r="S95" s="72">
        <v>0</v>
      </c>
      <c r="T95" s="72">
        <v>0</v>
      </c>
      <c r="U95" s="72">
        <v>0</v>
      </c>
      <c r="V95" s="72">
        <v>0</v>
      </c>
      <c r="W95" s="72">
        <v>0</v>
      </c>
      <c r="X95" s="72">
        <v>0</v>
      </c>
      <c r="Y95" s="72">
        <v>0</v>
      </c>
      <c r="Z95" s="72">
        <v>0</v>
      </c>
      <c r="AA95" s="72">
        <v>0</v>
      </c>
      <c r="AB95" s="72">
        <v>0</v>
      </c>
      <c r="AC95" s="72">
        <v>0</v>
      </c>
      <c r="AD95" s="72">
        <v>0</v>
      </c>
      <c r="AE95" s="72">
        <v>534.17733936841296</v>
      </c>
      <c r="AF95" s="72">
        <v>2.6240688745467184</v>
      </c>
      <c r="AG95" s="72">
        <v>2.2513974558048595</v>
      </c>
      <c r="AH95" s="72">
        <v>0</v>
      </c>
      <c r="AI95" s="72">
        <v>0</v>
      </c>
      <c r="AJ95" s="72">
        <v>0</v>
      </c>
      <c r="AK95" s="72">
        <v>3757.1128291950599</v>
      </c>
      <c r="AL95" s="72">
        <v>0</v>
      </c>
      <c r="AM95" s="72">
        <v>0</v>
      </c>
      <c r="AN95" s="72">
        <v>0</v>
      </c>
      <c r="AO95" s="72">
        <v>6.778649430173509</v>
      </c>
      <c r="AP95" s="72">
        <v>0</v>
      </c>
      <c r="AQ95" s="72">
        <v>0</v>
      </c>
      <c r="AR95" s="72">
        <v>0</v>
      </c>
      <c r="AS95" s="72">
        <v>0</v>
      </c>
      <c r="AT95" s="72">
        <v>0</v>
      </c>
      <c r="AU95" s="72">
        <v>0</v>
      </c>
      <c r="AV95" s="72">
        <v>0</v>
      </c>
      <c r="AW95" s="72">
        <v>0</v>
      </c>
      <c r="AX95" s="72">
        <v>0</v>
      </c>
      <c r="AY95" s="72">
        <v>0</v>
      </c>
      <c r="AZ95" s="72">
        <v>0</v>
      </c>
      <c r="BA95" s="72">
        <v>0</v>
      </c>
      <c r="BB95" s="72">
        <v>0</v>
      </c>
      <c r="BC95" s="72">
        <v>0</v>
      </c>
      <c r="BD95" s="72">
        <v>0</v>
      </c>
      <c r="BE95" s="72">
        <v>0</v>
      </c>
      <c r="BF95" s="72">
        <v>0</v>
      </c>
      <c r="BG95" s="72">
        <v>0</v>
      </c>
      <c r="BH95" s="72">
        <v>0</v>
      </c>
      <c r="BI95" s="72">
        <v>0</v>
      </c>
      <c r="BJ95" s="72">
        <v>1940.8486552950292</v>
      </c>
      <c r="BK95" s="72">
        <v>0</v>
      </c>
      <c r="BL95" s="72">
        <v>0</v>
      </c>
      <c r="BM95" s="72">
        <v>0</v>
      </c>
      <c r="BN95" s="72">
        <v>0</v>
      </c>
      <c r="BO95" s="72">
        <v>0</v>
      </c>
      <c r="BP95" s="72">
        <v>0</v>
      </c>
      <c r="BQ95" s="72">
        <v>0</v>
      </c>
      <c r="BR95" s="72">
        <v>0</v>
      </c>
      <c r="BS95" s="72">
        <v>0</v>
      </c>
      <c r="BT95" s="72">
        <v>0</v>
      </c>
      <c r="BU95" s="72">
        <v>0</v>
      </c>
      <c r="BV95" s="72">
        <v>0</v>
      </c>
      <c r="BW95" s="72">
        <v>0</v>
      </c>
      <c r="BX95" s="72">
        <v>0</v>
      </c>
      <c r="BY95" s="72">
        <v>0</v>
      </c>
      <c r="BZ95" s="72">
        <v>0</v>
      </c>
      <c r="CA95" s="72">
        <v>0</v>
      </c>
      <c r="CB95" s="72">
        <v>0</v>
      </c>
      <c r="CC95" s="72">
        <v>0</v>
      </c>
      <c r="CD95" s="72">
        <v>0</v>
      </c>
      <c r="CE95" s="72">
        <v>0</v>
      </c>
      <c r="CF95" s="72">
        <v>0</v>
      </c>
      <c r="CG95" s="72">
        <v>0</v>
      </c>
      <c r="CH95" s="72">
        <v>0</v>
      </c>
      <c r="CI95" s="72">
        <v>0</v>
      </c>
      <c r="CJ95" s="72">
        <v>0</v>
      </c>
      <c r="CK95" s="72">
        <v>0</v>
      </c>
      <c r="CL95" s="72">
        <v>0</v>
      </c>
      <c r="CM95" s="72">
        <v>0</v>
      </c>
      <c r="CN95" s="72">
        <v>0</v>
      </c>
      <c r="CO95" s="72">
        <v>0</v>
      </c>
      <c r="CP95" s="72">
        <v>0</v>
      </c>
      <c r="CQ95" s="72">
        <v>0</v>
      </c>
      <c r="CR95" s="72">
        <v>0</v>
      </c>
      <c r="CS95" s="72">
        <v>0</v>
      </c>
      <c r="CT95" s="72">
        <v>0</v>
      </c>
      <c r="CU95" s="72">
        <v>0</v>
      </c>
      <c r="CV95" s="72">
        <v>0</v>
      </c>
      <c r="CW95" s="72">
        <v>0</v>
      </c>
      <c r="CX95" s="72">
        <v>0</v>
      </c>
      <c r="CY95" s="72">
        <v>0</v>
      </c>
      <c r="CZ95" s="72">
        <v>0</v>
      </c>
      <c r="DA95" s="72">
        <v>0</v>
      </c>
      <c r="DB95" s="72">
        <v>0</v>
      </c>
      <c r="DC95" s="72">
        <v>0</v>
      </c>
      <c r="DD95" s="72">
        <v>0</v>
      </c>
      <c r="DE95" s="72">
        <v>0</v>
      </c>
      <c r="DF95" s="72">
        <v>0</v>
      </c>
      <c r="DG95" s="72">
        <v>0</v>
      </c>
      <c r="DH95" s="72">
        <v>0</v>
      </c>
      <c r="DI95" s="72">
        <v>0</v>
      </c>
      <c r="DJ95" s="72">
        <v>0</v>
      </c>
      <c r="DK95" s="72">
        <v>0</v>
      </c>
      <c r="DL95" s="72">
        <v>0</v>
      </c>
      <c r="DM95" s="72">
        <v>0</v>
      </c>
      <c r="DN95" s="72">
        <v>0</v>
      </c>
      <c r="DO95" s="72">
        <v>0</v>
      </c>
      <c r="DP95" s="72">
        <v>0</v>
      </c>
      <c r="DQ95" s="72">
        <v>0</v>
      </c>
      <c r="DR95" s="72">
        <v>0</v>
      </c>
      <c r="DS95" s="72">
        <v>0</v>
      </c>
      <c r="DT95" s="72">
        <v>0</v>
      </c>
      <c r="DU95" s="72">
        <v>0</v>
      </c>
      <c r="DV95" s="72">
        <v>0</v>
      </c>
      <c r="DW95" s="72">
        <v>0</v>
      </c>
      <c r="DX95" s="72">
        <v>0</v>
      </c>
      <c r="DY95" s="72">
        <v>0</v>
      </c>
      <c r="DZ95" s="72">
        <v>0</v>
      </c>
      <c r="EA95" s="72">
        <v>0</v>
      </c>
      <c r="EB95" s="72">
        <v>0</v>
      </c>
      <c r="EC95" s="72">
        <v>0</v>
      </c>
      <c r="ED95" s="72">
        <v>0</v>
      </c>
      <c r="EE95" s="72">
        <v>0</v>
      </c>
      <c r="EF95" s="72">
        <v>0</v>
      </c>
      <c r="EG95" s="72">
        <v>0</v>
      </c>
      <c r="EH95" s="72">
        <v>0</v>
      </c>
      <c r="EI95" s="72">
        <v>0</v>
      </c>
      <c r="EJ95" s="72">
        <v>0</v>
      </c>
      <c r="EK95" s="72">
        <v>0</v>
      </c>
      <c r="EL95" s="72">
        <v>0</v>
      </c>
      <c r="EM95" s="72">
        <v>0</v>
      </c>
      <c r="EN95" s="72">
        <v>0</v>
      </c>
      <c r="EO95" s="72">
        <v>0</v>
      </c>
      <c r="EP95" s="72">
        <v>0</v>
      </c>
      <c r="EQ95" s="72">
        <v>0</v>
      </c>
      <c r="ER95" s="72">
        <v>0</v>
      </c>
      <c r="ES95" s="72">
        <v>0</v>
      </c>
      <c r="ET95" s="72">
        <v>0</v>
      </c>
      <c r="EU95" s="72">
        <v>0</v>
      </c>
      <c r="EV95" s="72">
        <v>0</v>
      </c>
      <c r="EW95" s="72">
        <v>0</v>
      </c>
      <c r="EX95" s="72">
        <v>0</v>
      </c>
      <c r="EY95" s="72">
        <v>0</v>
      </c>
      <c r="EZ95" s="72">
        <v>0</v>
      </c>
      <c r="FA95" s="72">
        <v>0</v>
      </c>
      <c r="FB95" s="72">
        <v>0</v>
      </c>
      <c r="FC95" s="72">
        <v>0</v>
      </c>
      <c r="FD95" s="72">
        <v>0</v>
      </c>
      <c r="FE95" s="72">
        <v>0</v>
      </c>
      <c r="FF95" s="72">
        <v>0</v>
      </c>
      <c r="FG95" s="72">
        <v>0</v>
      </c>
      <c r="FH95" s="72">
        <v>0</v>
      </c>
      <c r="FI95" s="72">
        <v>0</v>
      </c>
      <c r="FJ95" s="72">
        <v>0</v>
      </c>
      <c r="FK95" s="72">
        <v>0</v>
      </c>
      <c r="FL95" s="72">
        <v>0</v>
      </c>
      <c r="FM95" s="72">
        <v>0</v>
      </c>
      <c r="FN95" s="72">
        <v>0</v>
      </c>
      <c r="FO95" s="72">
        <v>0</v>
      </c>
      <c r="FP95" s="72">
        <v>0</v>
      </c>
      <c r="FQ95" s="72">
        <v>0</v>
      </c>
      <c r="FR95" s="72">
        <v>0</v>
      </c>
      <c r="FS95" s="72">
        <v>0</v>
      </c>
      <c r="FT95" s="72">
        <v>0</v>
      </c>
      <c r="FU95" s="72">
        <v>0</v>
      </c>
      <c r="FV95" s="74">
        <v>283.6167666882792</v>
      </c>
      <c r="FW95" s="74">
        <v>386.85443979868205</v>
      </c>
      <c r="FX95" s="74">
        <v>264.21358268723509</v>
      </c>
      <c r="FY95" s="74">
        <v>381.48730188033886</v>
      </c>
      <c r="FZ95" s="74">
        <v>339.21873258849018</v>
      </c>
      <c r="GA95" s="74">
        <v>438.07651774543143</v>
      </c>
      <c r="GB95" s="74">
        <v>829.54110100750836</v>
      </c>
      <c r="GC95" s="74">
        <v>1041.0663779220977</v>
      </c>
      <c r="GD95" s="74">
        <v>1167.1167198506741</v>
      </c>
      <c r="GE95" s="74">
        <v>181.92568539880929</v>
      </c>
      <c r="GF95" s="74">
        <v>468.39359533053045</v>
      </c>
      <c r="GG95" s="74">
        <v>937.75384844395933</v>
      </c>
      <c r="GH95" s="74">
        <v>2357.5230570678059</v>
      </c>
      <c r="GI95" s="74">
        <v>1247.6850762094418</v>
      </c>
      <c r="GJ95" s="72">
        <v>0</v>
      </c>
      <c r="GK95" s="72">
        <v>0</v>
      </c>
      <c r="GL95" s="72">
        <v>0</v>
      </c>
      <c r="GM95" s="72">
        <v>0</v>
      </c>
      <c r="GN95" s="72">
        <v>0</v>
      </c>
      <c r="GO95" s="72">
        <v>0</v>
      </c>
      <c r="GP95" s="72">
        <v>63.416808655756341</v>
      </c>
      <c r="GQ95" s="72">
        <v>877.98996316953799</v>
      </c>
      <c r="GR95" s="72">
        <f t="shared" si="1"/>
        <v>17637.797698701062</v>
      </c>
      <c r="GS95" s="72">
        <f>SUM(CN$5:CN$202)</f>
        <v>17637.797698701059</v>
      </c>
      <c r="GT95" s="73">
        <v>0</v>
      </c>
    </row>
    <row r="96" spans="1:202" outlineLevel="1" x14ac:dyDescent="0.2">
      <c r="A96" s="66" t="s">
        <v>803</v>
      </c>
      <c r="B96" s="72">
        <v>355.37263395163052</v>
      </c>
      <c r="C96" s="72">
        <v>0</v>
      </c>
      <c r="D96" s="72">
        <v>0</v>
      </c>
      <c r="E96" s="72">
        <v>0</v>
      </c>
      <c r="F96" s="72">
        <v>0</v>
      </c>
      <c r="G96" s="72">
        <v>0</v>
      </c>
      <c r="H96" s="72">
        <v>0</v>
      </c>
      <c r="I96" s="72">
        <v>0</v>
      </c>
      <c r="J96" s="72">
        <v>0</v>
      </c>
      <c r="K96" s="72">
        <v>1876.7299519405492</v>
      </c>
      <c r="L96" s="72">
        <v>1992.2744067169251</v>
      </c>
      <c r="M96" s="72">
        <v>0</v>
      </c>
      <c r="N96" s="72">
        <v>474.03609568089814</v>
      </c>
      <c r="O96" s="72">
        <v>0</v>
      </c>
      <c r="P96" s="72">
        <v>20.873902311994495</v>
      </c>
      <c r="Q96" s="72">
        <v>4.0516347693230976</v>
      </c>
      <c r="R96" s="72">
        <v>0</v>
      </c>
      <c r="S96" s="72">
        <v>0</v>
      </c>
      <c r="T96" s="72">
        <v>83.12130563287127</v>
      </c>
      <c r="U96" s="72">
        <v>888.6639145877582</v>
      </c>
      <c r="V96" s="72">
        <v>1.0439162191993476</v>
      </c>
      <c r="W96" s="72">
        <v>0</v>
      </c>
      <c r="X96" s="72">
        <v>0.26681721278096771</v>
      </c>
      <c r="Y96" s="72">
        <v>0</v>
      </c>
      <c r="Z96" s="72">
        <v>78.31443773957831</v>
      </c>
      <c r="AA96" s="72">
        <v>6.4132416820282669</v>
      </c>
      <c r="AB96" s="72">
        <v>5.7435111938542809</v>
      </c>
      <c r="AC96" s="72">
        <v>32.034987848781213</v>
      </c>
      <c r="AD96" s="72">
        <v>34.183746324704039</v>
      </c>
      <c r="AE96" s="72">
        <v>411.73851969849079</v>
      </c>
      <c r="AF96" s="72">
        <v>1.7941870773064048</v>
      </c>
      <c r="AG96" s="72">
        <v>969.98243074607865</v>
      </c>
      <c r="AH96" s="72">
        <v>124.6547777609068</v>
      </c>
      <c r="AI96" s="72">
        <v>3.2433460403330527</v>
      </c>
      <c r="AJ96" s="72">
        <v>3.7519246188374922</v>
      </c>
      <c r="AK96" s="72">
        <v>0</v>
      </c>
      <c r="AL96" s="72">
        <v>0</v>
      </c>
      <c r="AM96" s="72">
        <v>0</v>
      </c>
      <c r="AN96" s="72">
        <v>0</v>
      </c>
      <c r="AO96" s="72">
        <v>14.463712452135116</v>
      </c>
      <c r="AP96" s="72">
        <v>0</v>
      </c>
      <c r="AQ96" s="72">
        <v>0.45587172662181347</v>
      </c>
      <c r="AR96" s="72">
        <v>0</v>
      </c>
      <c r="AS96" s="72">
        <v>0</v>
      </c>
      <c r="AT96" s="72">
        <v>0</v>
      </c>
      <c r="AU96" s="72">
        <v>0</v>
      </c>
      <c r="AV96" s="72">
        <v>0</v>
      </c>
      <c r="AW96" s="72">
        <v>0</v>
      </c>
      <c r="AX96" s="72">
        <v>0</v>
      </c>
      <c r="AY96" s="72">
        <v>0</v>
      </c>
      <c r="AZ96" s="72">
        <v>0</v>
      </c>
      <c r="BA96" s="72">
        <v>0</v>
      </c>
      <c r="BB96" s="72">
        <v>0</v>
      </c>
      <c r="BC96" s="72">
        <v>38.189596369344244</v>
      </c>
      <c r="BD96" s="72">
        <v>2.2882474985971237</v>
      </c>
      <c r="BE96" s="72">
        <v>31.923761511801217</v>
      </c>
      <c r="BF96" s="72">
        <v>0</v>
      </c>
      <c r="BG96" s="72">
        <v>0</v>
      </c>
      <c r="BH96" s="72">
        <v>0</v>
      </c>
      <c r="BI96" s="72">
        <v>0</v>
      </c>
      <c r="BJ96" s="72">
        <v>3537.6913937875574</v>
      </c>
      <c r="BK96" s="72">
        <v>0</v>
      </c>
      <c r="BL96" s="72">
        <v>0</v>
      </c>
      <c r="BM96" s="72">
        <v>0</v>
      </c>
      <c r="BN96" s="72">
        <v>0</v>
      </c>
      <c r="BO96" s="72">
        <v>0</v>
      </c>
      <c r="BP96" s="72">
        <v>0</v>
      </c>
      <c r="BQ96" s="72">
        <v>0</v>
      </c>
      <c r="BR96" s="72">
        <v>0</v>
      </c>
      <c r="BS96" s="72">
        <v>0</v>
      </c>
      <c r="BT96" s="72">
        <v>0</v>
      </c>
      <c r="BU96" s="72">
        <v>0</v>
      </c>
      <c r="BV96" s="72">
        <v>0</v>
      </c>
      <c r="BW96" s="72">
        <v>0</v>
      </c>
      <c r="BX96" s="72">
        <v>0</v>
      </c>
      <c r="BY96" s="72">
        <v>0</v>
      </c>
      <c r="BZ96" s="72">
        <v>0</v>
      </c>
      <c r="CA96" s="72">
        <v>0</v>
      </c>
      <c r="CB96" s="72">
        <v>0</v>
      </c>
      <c r="CC96" s="72">
        <v>0</v>
      </c>
      <c r="CD96" s="72">
        <v>0</v>
      </c>
      <c r="CE96" s="72">
        <v>0</v>
      </c>
      <c r="CF96" s="72">
        <v>0</v>
      </c>
      <c r="CG96" s="72">
        <v>0</v>
      </c>
      <c r="CH96" s="72">
        <v>0</v>
      </c>
      <c r="CI96" s="72">
        <v>0</v>
      </c>
      <c r="CJ96" s="72">
        <v>0</v>
      </c>
      <c r="CK96" s="72">
        <v>0</v>
      </c>
      <c r="CL96" s="72">
        <v>0</v>
      </c>
      <c r="CM96" s="72">
        <v>0</v>
      </c>
      <c r="CN96" s="72">
        <v>0</v>
      </c>
      <c r="CO96" s="72">
        <v>0</v>
      </c>
      <c r="CP96" s="72">
        <v>0</v>
      </c>
      <c r="CQ96" s="72">
        <v>0</v>
      </c>
      <c r="CR96" s="72">
        <v>0</v>
      </c>
      <c r="CS96" s="72">
        <v>0</v>
      </c>
      <c r="CT96" s="72">
        <v>0</v>
      </c>
      <c r="CU96" s="72">
        <v>0</v>
      </c>
      <c r="CV96" s="72">
        <v>0</v>
      </c>
      <c r="CW96" s="72">
        <v>0</v>
      </c>
      <c r="CX96" s="72">
        <v>0</v>
      </c>
      <c r="CY96" s="72">
        <v>0</v>
      </c>
      <c r="CZ96" s="72">
        <v>0</v>
      </c>
      <c r="DA96" s="72">
        <v>0</v>
      </c>
      <c r="DB96" s="72">
        <v>0</v>
      </c>
      <c r="DC96" s="72">
        <v>0</v>
      </c>
      <c r="DD96" s="72">
        <v>0</v>
      </c>
      <c r="DE96" s="72">
        <v>0</v>
      </c>
      <c r="DF96" s="72">
        <v>0</v>
      </c>
      <c r="DG96" s="72">
        <v>0</v>
      </c>
      <c r="DH96" s="72">
        <v>0</v>
      </c>
      <c r="DI96" s="72">
        <v>0</v>
      </c>
      <c r="DJ96" s="72">
        <v>0</v>
      </c>
      <c r="DK96" s="72">
        <v>0</v>
      </c>
      <c r="DL96" s="72">
        <v>0</v>
      </c>
      <c r="DM96" s="72">
        <v>0</v>
      </c>
      <c r="DN96" s="72">
        <v>0</v>
      </c>
      <c r="DO96" s="72">
        <v>0</v>
      </c>
      <c r="DP96" s="72">
        <v>0</v>
      </c>
      <c r="DQ96" s="72">
        <v>0</v>
      </c>
      <c r="DR96" s="72">
        <v>0</v>
      </c>
      <c r="DS96" s="72">
        <v>0</v>
      </c>
      <c r="DT96" s="72">
        <v>0</v>
      </c>
      <c r="DU96" s="72">
        <v>0</v>
      </c>
      <c r="DV96" s="72">
        <v>0</v>
      </c>
      <c r="DW96" s="72">
        <v>0</v>
      </c>
      <c r="DX96" s="72">
        <v>0</v>
      </c>
      <c r="DY96" s="72">
        <v>0</v>
      </c>
      <c r="DZ96" s="72">
        <v>0</v>
      </c>
      <c r="EA96" s="72">
        <v>0</v>
      </c>
      <c r="EB96" s="72">
        <v>0</v>
      </c>
      <c r="EC96" s="72">
        <v>0</v>
      </c>
      <c r="ED96" s="72">
        <v>0</v>
      </c>
      <c r="EE96" s="72">
        <v>0</v>
      </c>
      <c r="EF96" s="72">
        <v>0</v>
      </c>
      <c r="EG96" s="72">
        <v>0</v>
      </c>
      <c r="EH96" s="72">
        <v>0</v>
      </c>
      <c r="EI96" s="72">
        <v>0</v>
      </c>
      <c r="EJ96" s="72">
        <v>0</v>
      </c>
      <c r="EK96" s="72">
        <v>0</v>
      </c>
      <c r="EL96" s="72">
        <v>0</v>
      </c>
      <c r="EM96" s="72">
        <v>0</v>
      </c>
      <c r="EN96" s="72">
        <v>0</v>
      </c>
      <c r="EO96" s="72">
        <v>0</v>
      </c>
      <c r="EP96" s="72">
        <v>0</v>
      </c>
      <c r="EQ96" s="72">
        <v>0</v>
      </c>
      <c r="ER96" s="72">
        <v>0</v>
      </c>
      <c r="ES96" s="72">
        <v>0</v>
      </c>
      <c r="ET96" s="72">
        <v>0</v>
      </c>
      <c r="EU96" s="72">
        <v>0</v>
      </c>
      <c r="EV96" s="72">
        <v>0</v>
      </c>
      <c r="EW96" s="72">
        <v>0</v>
      </c>
      <c r="EX96" s="72">
        <v>0</v>
      </c>
      <c r="EY96" s="72">
        <v>0</v>
      </c>
      <c r="EZ96" s="72">
        <v>0</v>
      </c>
      <c r="FA96" s="72">
        <v>0</v>
      </c>
      <c r="FB96" s="72">
        <v>0</v>
      </c>
      <c r="FC96" s="72">
        <v>0</v>
      </c>
      <c r="FD96" s="72">
        <v>0</v>
      </c>
      <c r="FE96" s="72">
        <v>0</v>
      </c>
      <c r="FF96" s="72">
        <v>0</v>
      </c>
      <c r="FG96" s="72">
        <v>0</v>
      </c>
      <c r="FH96" s="72">
        <v>0</v>
      </c>
      <c r="FI96" s="72">
        <v>0</v>
      </c>
      <c r="FJ96" s="72">
        <v>0</v>
      </c>
      <c r="FK96" s="72">
        <v>0</v>
      </c>
      <c r="FL96" s="72">
        <v>0</v>
      </c>
      <c r="FM96" s="72">
        <v>0</v>
      </c>
      <c r="FN96" s="72">
        <v>0</v>
      </c>
      <c r="FO96" s="72">
        <v>0</v>
      </c>
      <c r="FP96" s="72">
        <v>0</v>
      </c>
      <c r="FQ96" s="72">
        <v>0</v>
      </c>
      <c r="FR96" s="72">
        <v>0</v>
      </c>
      <c r="FS96" s="72">
        <v>0</v>
      </c>
      <c r="FT96" s="72">
        <v>0</v>
      </c>
      <c r="FU96" s="72">
        <v>0</v>
      </c>
      <c r="FV96" s="74">
        <v>73.668042580746928</v>
      </c>
      <c r="FW96" s="74">
        <v>97.59786911193099</v>
      </c>
      <c r="FX96" s="74">
        <v>141.83737024571531</v>
      </c>
      <c r="FY96" s="74">
        <v>145.41961759902802</v>
      </c>
      <c r="FZ96" s="74">
        <v>177.46912256217573</v>
      </c>
      <c r="GA96" s="74">
        <v>202.5715808417028</v>
      </c>
      <c r="GB96" s="74">
        <v>279.37088200166494</v>
      </c>
      <c r="GC96" s="74">
        <v>346.69065114373524</v>
      </c>
      <c r="GD96" s="74">
        <v>454.5601329089771</v>
      </c>
      <c r="GE96" s="74">
        <v>120.82474852363021</v>
      </c>
      <c r="GF96" s="74">
        <v>130.32159328999785</v>
      </c>
      <c r="GG96" s="74">
        <v>135.2921817849662</v>
      </c>
      <c r="GH96" s="74">
        <v>223.7399789179313</v>
      </c>
      <c r="GI96" s="74">
        <v>341.12158922294066</v>
      </c>
      <c r="GJ96" s="72">
        <v>0</v>
      </c>
      <c r="GK96" s="72">
        <v>0</v>
      </c>
      <c r="GL96" s="72">
        <v>0</v>
      </c>
      <c r="GM96" s="72">
        <v>0</v>
      </c>
      <c r="GN96" s="72">
        <v>0</v>
      </c>
      <c r="GO96" s="72">
        <v>0</v>
      </c>
      <c r="GP96" s="72">
        <v>30.189978924404826</v>
      </c>
      <c r="GQ96" s="72">
        <v>1168.0148964452621</v>
      </c>
      <c r="GR96" s="72">
        <f t="shared" si="1"/>
        <v>15061.992509205693</v>
      </c>
      <c r="GS96" s="72">
        <f>SUM(CO$5:CO$202)</f>
        <v>15061.992509205698</v>
      </c>
      <c r="GT96" s="73">
        <v>0</v>
      </c>
    </row>
    <row r="97" spans="1:202" outlineLevel="1" x14ac:dyDescent="0.2">
      <c r="A97" s="66" t="s">
        <v>810</v>
      </c>
      <c r="B97" s="72">
        <v>0</v>
      </c>
      <c r="C97" s="72">
        <v>0</v>
      </c>
      <c r="D97" s="72">
        <v>0</v>
      </c>
      <c r="E97" s="72">
        <v>0</v>
      </c>
      <c r="F97" s="72">
        <v>0</v>
      </c>
      <c r="G97" s="72">
        <v>0</v>
      </c>
      <c r="H97" s="72">
        <v>0</v>
      </c>
      <c r="I97" s="72">
        <v>0</v>
      </c>
      <c r="J97" s="72">
        <v>0</v>
      </c>
      <c r="K97" s="72">
        <v>42.479083463718148</v>
      </c>
      <c r="L97" s="72">
        <v>2024.1267993697179</v>
      </c>
      <c r="M97" s="72">
        <v>0</v>
      </c>
      <c r="N97" s="72">
        <v>10.074962319830297</v>
      </c>
      <c r="O97" s="72">
        <v>0</v>
      </c>
      <c r="P97" s="72">
        <v>0</v>
      </c>
      <c r="Q97" s="72">
        <v>0</v>
      </c>
      <c r="R97" s="72">
        <v>0</v>
      </c>
      <c r="S97" s="72">
        <v>0</v>
      </c>
      <c r="T97" s="72">
        <v>0</v>
      </c>
      <c r="U97" s="72">
        <v>0</v>
      </c>
      <c r="V97" s="72">
        <v>0</v>
      </c>
      <c r="W97" s="72">
        <v>0</v>
      </c>
      <c r="X97" s="72">
        <v>0</v>
      </c>
      <c r="Y97" s="72">
        <v>0</v>
      </c>
      <c r="Z97" s="72">
        <v>0</v>
      </c>
      <c r="AA97" s="72">
        <v>0</v>
      </c>
      <c r="AB97" s="72">
        <v>0</v>
      </c>
      <c r="AC97" s="72">
        <v>0</v>
      </c>
      <c r="AD97" s="72">
        <v>0</v>
      </c>
      <c r="AE97" s="72">
        <v>0</v>
      </c>
      <c r="AF97" s="72">
        <v>0</v>
      </c>
      <c r="AG97" s="72">
        <v>37.188245798286829</v>
      </c>
      <c r="AH97" s="72">
        <v>0</v>
      </c>
      <c r="AI97" s="72">
        <v>3.6935896819839713</v>
      </c>
      <c r="AJ97" s="72">
        <v>4.2775810798816591</v>
      </c>
      <c r="AK97" s="72">
        <v>0</v>
      </c>
      <c r="AL97" s="72">
        <v>0</v>
      </c>
      <c r="AM97" s="72">
        <v>0</v>
      </c>
      <c r="AN97" s="72">
        <v>0</v>
      </c>
      <c r="AO97" s="72">
        <v>0</v>
      </c>
      <c r="AP97" s="72">
        <v>0</v>
      </c>
      <c r="AQ97" s="72">
        <v>0</v>
      </c>
      <c r="AR97" s="72">
        <v>9.9030654746954134</v>
      </c>
      <c r="AS97" s="72">
        <v>0</v>
      </c>
      <c r="AT97" s="72">
        <v>0</v>
      </c>
      <c r="AU97" s="72">
        <v>0</v>
      </c>
      <c r="AV97" s="72">
        <v>0</v>
      </c>
      <c r="AW97" s="72">
        <v>0</v>
      </c>
      <c r="AX97" s="72">
        <v>0</v>
      </c>
      <c r="AY97" s="72">
        <v>0</v>
      </c>
      <c r="AZ97" s="72">
        <v>0</v>
      </c>
      <c r="BA97" s="72">
        <v>0</v>
      </c>
      <c r="BB97" s="72">
        <v>0</v>
      </c>
      <c r="BC97" s="72">
        <v>34.262292201588281</v>
      </c>
      <c r="BD97" s="72">
        <v>2.4715379535731934</v>
      </c>
      <c r="BE97" s="72">
        <v>33.97222160320802</v>
      </c>
      <c r="BF97" s="72">
        <v>0</v>
      </c>
      <c r="BG97" s="72">
        <v>0</v>
      </c>
      <c r="BH97" s="72">
        <v>0</v>
      </c>
      <c r="BI97" s="72">
        <v>0</v>
      </c>
      <c r="BJ97" s="72">
        <v>4387.2835480915928</v>
      </c>
      <c r="BK97" s="72">
        <v>0</v>
      </c>
      <c r="BL97" s="72">
        <v>0</v>
      </c>
      <c r="BM97" s="72">
        <v>0</v>
      </c>
      <c r="BN97" s="72">
        <v>0</v>
      </c>
      <c r="BO97" s="72">
        <v>0</v>
      </c>
      <c r="BP97" s="72">
        <v>0</v>
      </c>
      <c r="BQ97" s="72">
        <v>0</v>
      </c>
      <c r="BR97" s="72">
        <v>0</v>
      </c>
      <c r="BS97" s="72">
        <v>0</v>
      </c>
      <c r="BT97" s="72">
        <v>0</v>
      </c>
      <c r="BU97" s="72">
        <v>0</v>
      </c>
      <c r="BV97" s="72">
        <v>0</v>
      </c>
      <c r="BW97" s="72">
        <v>0</v>
      </c>
      <c r="BX97" s="72">
        <v>0</v>
      </c>
      <c r="BY97" s="72">
        <v>0</v>
      </c>
      <c r="BZ97" s="72">
        <v>0</v>
      </c>
      <c r="CA97" s="72">
        <v>0</v>
      </c>
      <c r="CB97" s="72">
        <v>0</v>
      </c>
      <c r="CC97" s="72">
        <v>0</v>
      </c>
      <c r="CD97" s="72">
        <v>0</v>
      </c>
      <c r="CE97" s="72">
        <v>0</v>
      </c>
      <c r="CF97" s="72">
        <v>0</v>
      </c>
      <c r="CG97" s="72">
        <v>0</v>
      </c>
      <c r="CH97" s="72">
        <v>0</v>
      </c>
      <c r="CI97" s="72">
        <v>0</v>
      </c>
      <c r="CJ97" s="72">
        <v>0</v>
      </c>
      <c r="CK97" s="72">
        <v>0</v>
      </c>
      <c r="CL97" s="72">
        <v>0</v>
      </c>
      <c r="CM97" s="72">
        <v>0</v>
      </c>
      <c r="CN97" s="72">
        <v>0</v>
      </c>
      <c r="CO97" s="72">
        <v>0</v>
      </c>
      <c r="CP97" s="72">
        <v>0</v>
      </c>
      <c r="CQ97" s="72">
        <v>0</v>
      </c>
      <c r="CR97" s="72">
        <v>0</v>
      </c>
      <c r="CS97" s="72">
        <v>0</v>
      </c>
      <c r="CT97" s="72">
        <v>0</v>
      </c>
      <c r="CU97" s="72">
        <v>0</v>
      </c>
      <c r="CV97" s="72">
        <v>0</v>
      </c>
      <c r="CW97" s="72">
        <v>0</v>
      </c>
      <c r="CX97" s="72">
        <v>0</v>
      </c>
      <c r="CY97" s="72">
        <v>0</v>
      </c>
      <c r="CZ97" s="72">
        <v>0</v>
      </c>
      <c r="DA97" s="72">
        <v>0</v>
      </c>
      <c r="DB97" s="72">
        <v>0</v>
      </c>
      <c r="DC97" s="72">
        <v>0</v>
      </c>
      <c r="DD97" s="72">
        <v>0</v>
      </c>
      <c r="DE97" s="72">
        <v>0</v>
      </c>
      <c r="DF97" s="72">
        <v>0</v>
      </c>
      <c r="DG97" s="72">
        <v>0</v>
      </c>
      <c r="DH97" s="72">
        <v>0</v>
      </c>
      <c r="DI97" s="72">
        <v>0</v>
      </c>
      <c r="DJ97" s="72">
        <v>0</v>
      </c>
      <c r="DK97" s="72">
        <v>0</v>
      </c>
      <c r="DL97" s="72">
        <v>0</v>
      </c>
      <c r="DM97" s="72">
        <v>0</v>
      </c>
      <c r="DN97" s="72">
        <v>0</v>
      </c>
      <c r="DO97" s="72">
        <v>0</v>
      </c>
      <c r="DP97" s="72">
        <v>0</v>
      </c>
      <c r="DQ97" s="72">
        <v>0</v>
      </c>
      <c r="DR97" s="72">
        <v>0</v>
      </c>
      <c r="DS97" s="72">
        <v>0</v>
      </c>
      <c r="DT97" s="72">
        <v>0</v>
      </c>
      <c r="DU97" s="72">
        <v>0</v>
      </c>
      <c r="DV97" s="72">
        <v>0</v>
      </c>
      <c r="DW97" s="72">
        <v>0</v>
      </c>
      <c r="DX97" s="72">
        <v>0</v>
      </c>
      <c r="DY97" s="72">
        <v>0</v>
      </c>
      <c r="DZ97" s="72">
        <v>0</v>
      </c>
      <c r="EA97" s="72">
        <v>0</v>
      </c>
      <c r="EB97" s="72">
        <v>0</v>
      </c>
      <c r="EC97" s="72">
        <v>0</v>
      </c>
      <c r="ED97" s="72">
        <v>0</v>
      </c>
      <c r="EE97" s="72">
        <v>0</v>
      </c>
      <c r="EF97" s="72">
        <v>0</v>
      </c>
      <c r="EG97" s="72">
        <v>0</v>
      </c>
      <c r="EH97" s="72">
        <v>0</v>
      </c>
      <c r="EI97" s="72">
        <v>0</v>
      </c>
      <c r="EJ97" s="72">
        <v>0</v>
      </c>
      <c r="EK97" s="72">
        <v>0</v>
      </c>
      <c r="EL97" s="72">
        <v>0</v>
      </c>
      <c r="EM97" s="72">
        <v>0</v>
      </c>
      <c r="EN97" s="72">
        <v>0</v>
      </c>
      <c r="EO97" s="72">
        <v>0</v>
      </c>
      <c r="EP97" s="72">
        <v>0</v>
      </c>
      <c r="EQ97" s="72">
        <v>0</v>
      </c>
      <c r="ER97" s="72">
        <v>0</v>
      </c>
      <c r="ES97" s="72">
        <v>0</v>
      </c>
      <c r="ET97" s="72">
        <v>0</v>
      </c>
      <c r="EU97" s="72">
        <v>0</v>
      </c>
      <c r="EV97" s="72">
        <v>0</v>
      </c>
      <c r="EW97" s="72">
        <v>0</v>
      </c>
      <c r="EX97" s="72">
        <v>0</v>
      </c>
      <c r="EY97" s="72">
        <v>0</v>
      </c>
      <c r="EZ97" s="72">
        <v>0</v>
      </c>
      <c r="FA97" s="72">
        <v>0</v>
      </c>
      <c r="FB97" s="72">
        <v>0</v>
      </c>
      <c r="FC97" s="72">
        <v>0</v>
      </c>
      <c r="FD97" s="72">
        <v>0</v>
      </c>
      <c r="FE97" s="72">
        <v>0</v>
      </c>
      <c r="FF97" s="72">
        <v>0</v>
      </c>
      <c r="FG97" s="72">
        <v>0</v>
      </c>
      <c r="FH97" s="72">
        <v>0</v>
      </c>
      <c r="FI97" s="72">
        <v>0</v>
      </c>
      <c r="FJ97" s="72">
        <v>0</v>
      </c>
      <c r="FK97" s="72">
        <v>0</v>
      </c>
      <c r="FL97" s="72">
        <v>0</v>
      </c>
      <c r="FM97" s="72">
        <v>0</v>
      </c>
      <c r="FN97" s="72">
        <v>0</v>
      </c>
      <c r="FO97" s="72">
        <v>0</v>
      </c>
      <c r="FP97" s="72">
        <v>0</v>
      </c>
      <c r="FQ97" s="72">
        <v>0</v>
      </c>
      <c r="FR97" s="72">
        <v>0</v>
      </c>
      <c r="FS97" s="72">
        <v>0</v>
      </c>
      <c r="FT97" s="72">
        <v>0</v>
      </c>
      <c r="FU97" s="72">
        <v>0</v>
      </c>
      <c r="FV97" s="74">
        <v>18.570343175485153</v>
      </c>
      <c r="FW97" s="74">
        <v>29.119721728791404</v>
      </c>
      <c r="FX97" s="74">
        <v>27.066420170531007</v>
      </c>
      <c r="FY97" s="74">
        <v>29.803113381745874</v>
      </c>
      <c r="FZ97" s="74">
        <v>31.675051445936031</v>
      </c>
      <c r="GA97" s="74">
        <v>58.724424169538409</v>
      </c>
      <c r="GB97" s="74">
        <v>41.612958623236686</v>
      </c>
      <c r="GC97" s="74">
        <v>65.438918190124809</v>
      </c>
      <c r="GD97" s="74">
        <v>84.618970265449875</v>
      </c>
      <c r="GE97" s="74">
        <v>26.516827984533112</v>
      </c>
      <c r="GF97" s="74">
        <v>28.010649682306475</v>
      </c>
      <c r="GG97" s="74">
        <v>35.907777717915728</v>
      </c>
      <c r="GH97" s="74">
        <v>31.659344285904332</v>
      </c>
      <c r="GI97" s="74">
        <v>68.168528203172201</v>
      </c>
      <c r="GJ97" s="72">
        <v>0</v>
      </c>
      <c r="GK97" s="72">
        <v>0</v>
      </c>
      <c r="GL97" s="72">
        <v>0</v>
      </c>
      <c r="GM97" s="72">
        <v>0</v>
      </c>
      <c r="GN97" s="72">
        <v>0</v>
      </c>
      <c r="GO97" s="72">
        <v>0</v>
      </c>
      <c r="GP97" s="72">
        <v>9.0143765580774087</v>
      </c>
      <c r="GQ97" s="72">
        <v>321.69969009639584</v>
      </c>
      <c r="GR97" s="72">
        <f t="shared" si="1"/>
        <v>7497.3400427172219</v>
      </c>
      <c r="GS97" s="72">
        <f>SUM(CP$5:CP$202)</f>
        <v>7497.3400427172219</v>
      </c>
      <c r="GT97" s="73">
        <v>0</v>
      </c>
    </row>
    <row r="98" spans="1:202" outlineLevel="1" x14ac:dyDescent="0.2">
      <c r="A98" s="66" t="s">
        <v>815</v>
      </c>
      <c r="B98" s="72">
        <v>0</v>
      </c>
      <c r="C98" s="72">
        <v>629.68796627624613</v>
      </c>
      <c r="D98" s="72">
        <v>12.886013727580462</v>
      </c>
      <c r="E98" s="72">
        <v>842.08823838976343</v>
      </c>
      <c r="F98" s="72">
        <v>199.75075840572364</v>
      </c>
      <c r="G98" s="72">
        <v>851.53119134324925</v>
      </c>
      <c r="H98" s="72">
        <v>226.34130414092181</v>
      </c>
      <c r="I98" s="72">
        <v>0</v>
      </c>
      <c r="J98" s="72">
        <v>0</v>
      </c>
      <c r="K98" s="72">
        <v>22.679916620260407</v>
      </c>
      <c r="L98" s="72">
        <v>0</v>
      </c>
      <c r="M98" s="72">
        <v>6.9494400152756395</v>
      </c>
      <c r="N98" s="72">
        <v>0</v>
      </c>
      <c r="O98" s="72">
        <v>0</v>
      </c>
      <c r="P98" s="72">
        <v>0</v>
      </c>
      <c r="Q98" s="72">
        <v>0</v>
      </c>
      <c r="R98" s="72">
        <v>0</v>
      </c>
      <c r="S98" s="72">
        <v>0</v>
      </c>
      <c r="T98" s="72">
        <v>0</v>
      </c>
      <c r="U98" s="72">
        <v>0</v>
      </c>
      <c r="V98" s="72">
        <v>0</v>
      </c>
      <c r="W98" s="72">
        <v>0</v>
      </c>
      <c r="X98" s="72">
        <v>0</v>
      </c>
      <c r="Y98" s="72">
        <v>0</v>
      </c>
      <c r="Z98" s="72">
        <v>0</v>
      </c>
      <c r="AA98" s="72">
        <v>0</v>
      </c>
      <c r="AB98" s="72">
        <v>0</v>
      </c>
      <c r="AC98" s="72">
        <v>0</v>
      </c>
      <c r="AD98" s="72">
        <v>0</v>
      </c>
      <c r="AE98" s="72">
        <v>0</v>
      </c>
      <c r="AF98" s="72">
        <v>0</v>
      </c>
      <c r="AG98" s="72">
        <v>68.980185331685902</v>
      </c>
      <c r="AH98" s="72">
        <v>0</v>
      </c>
      <c r="AI98" s="72">
        <v>118.81757224982965</v>
      </c>
      <c r="AJ98" s="72">
        <v>134.87250945171914</v>
      </c>
      <c r="AK98" s="72">
        <v>0</v>
      </c>
      <c r="AL98" s="72">
        <v>0</v>
      </c>
      <c r="AM98" s="72">
        <v>0</v>
      </c>
      <c r="AN98" s="72">
        <v>0</v>
      </c>
      <c r="AO98" s="72">
        <v>108.86468846678062</v>
      </c>
      <c r="AP98" s="72">
        <v>238.05510767435536</v>
      </c>
      <c r="AQ98" s="72">
        <v>13.178401271538089</v>
      </c>
      <c r="AR98" s="72">
        <v>0</v>
      </c>
      <c r="AS98" s="72">
        <v>0</v>
      </c>
      <c r="AT98" s="72">
        <v>0</v>
      </c>
      <c r="AU98" s="72">
        <v>0</v>
      </c>
      <c r="AV98" s="72">
        <v>0</v>
      </c>
      <c r="AW98" s="72">
        <v>0</v>
      </c>
      <c r="AX98" s="72">
        <v>0</v>
      </c>
      <c r="AY98" s="72">
        <v>0</v>
      </c>
      <c r="AZ98" s="72">
        <v>0</v>
      </c>
      <c r="BA98" s="72">
        <v>0</v>
      </c>
      <c r="BB98" s="72">
        <v>0</v>
      </c>
      <c r="BC98" s="72">
        <v>1798.0781597830455</v>
      </c>
      <c r="BD98" s="72">
        <v>45.263648737844392</v>
      </c>
      <c r="BE98" s="72">
        <v>885.39971566826011</v>
      </c>
      <c r="BF98" s="72">
        <v>946.01048177178234</v>
      </c>
      <c r="BG98" s="72">
        <v>273.19642384635881</v>
      </c>
      <c r="BH98" s="72">
        <v>179.91053818483687</v>
      </c>
      <c r="BI98" s="72">
        <v>11.504775423385734</v>
      </c>
      <c r="BJ98" s="72">
        <v>357.23262673730676</v>
      </c>
      <c r="BK98" s="72">
        <v>0</v>
      </c>
      <c r="BL98" s="72">
        <v>0</v>
      </c>
      <c r="BM98" s="72">
        <v>0</v>
      </c>
      <c r="BN98" s="72">
        <v>0</v>
      </c>
      <c r="BO98" s="72">
        <v>0</v>
      </c>
      <c r="BP98" s="72">
        <v>0</v>
      </c>
      <c r="BQ98" s="72">
        <v>0</v>
      </c>
      <c r="BR98" s="72">
        <v>0</v>
      </c>
      <c r="BS98" s="72">
        <v>0</v>
      </c>
      <c r="BT98" s="72">
        <v>0</v>
      </c>
      <c r="BU98" s="72">
        <v>0</v>
      </c>
      <c r="BV98" s="72">
        <v>0</v>
      </c>
      <c r="BW98" s="72">
        <v>0</v>
      </c>
      <c r="BX98" s="72">
        <v>0</v>
      </c>
      <c r="BY98" s="72">
        <v>0</v>
      </c>
      <c r="BZ98" s="72">
        <v>0</v>
      </c>
      <c r="CA98" s="72">
        <v>0</v>
      </c>
      <c r="CB98" s="72">
        <v>0</v>
      </c>
      <c r="CC98" s="72">
        <v>0</v>
      </c>
      <c r="CD98" s="72">
        <v>0</v>
      </c>
      <c r="CE98" s="72">
        <v>0</v>
      </c>
      <c r="CF98" s="72">
        <v>0</v>
      </c>
      <c r="CG98" s="72">
        <v>0</v>
      </c>
      <c r="CH98" s="72">
        <v>0</v>
      </c>
      <c r="CI98" s="72">
        <v>0</v>
      </c>
      <c r="CJ98" s="72">
        <v>0</v>
      </c>
      <c r="CK98" s="72">
        <v>0</v>
      </c>
      <c r="CL98" s="72">
        <v>0</v>
      </c>
      <c r="CM98" s="72">
        <v>0</v>
      </c>
      <c r="CN98" s="72">
        <v>0</v>
      </c>
      <c r="CO98" s="72">
        <v>0</v>
      </c>
      <c r="CP98" s="72">
        <v>0</v>
      </c>
      <c r="CQ98" s="72">
        <v>0</v>
      </c>
      <c r="CR98" s="72">
        <v>0</v>
      </c>
      <c r="CS98" s="72">
        <v>0</v>
      </c>
      <c r="CT98" s="72">
        <v>0</v>
      </c>
      <c r="CU98" s="72">
        <v>0</v>
      </c>
      <c r="CV98" s="72">
        <v>0</v>
      </c>
      <c r="CW98" s="72">
        <v>0</v>
      </c>
      <c r="CX98" s="72">
        <v>0</v>
      </c>
      <c r="CY98" s="72">
        <v>0</v>
      </c>
      <c r="CZ98" s="72">
        <v>0</v>
      </c>
      <c r="DA98" s="72">
        <v>0</v>
      </c>
      <c r="DB98" s="72">
        <v>0</v>
      </c>
      <c r="DC98" s="72">
        <v>0</v>
      </c>
      <c r="DD98" s="72">
        <v>0</v>
      </c>
      <c r="DE98" s="72">
        <v>0</v>
      </c>
      <c r="DF98" s="72">
        <v>0</v>
      </c>
      <c r="DG98" s="72">
        <v>0</v>
      </c>
      <c r="DH98" s="72">
        <v>0</v>
      </c>
      <c r="DI98" s="72">
        <v>0</v>
      </c>
      <c r="DJ98" s="72">
        <v>0</v>
      </c>
      <c r="DK98" s="72">
        <v>0</v>
      </c>
      <c r="DL98" s="72">
        <v>0</v>
      </c>
      <c r="DM98" s="72">
        <v>0</v>
      </c>
      <c r="DN98" s="72">
        <v>0</v>
      </c>
      <c r="DO98" s="72">
        <v>0</v>
      </c>
      <c r="DP98" s="72">
        <v>0</v>
      </c>
      <c r="DQ98" s="72">
        <v>0</v>
      </c>
      <c r="DR98" s="72">
        <v>0</v>
      </c>
      <c r="DS98" s="72">
        <v>0</v>
      </c>
      <c r="DT98" s="72">
        <v>0</v>
      </c>
      <c r="DU98" s="72">
        <v>0</v>
      </c>
      <c r="DV98" s="72">
        <v>0</v>
      </c>
      <c r="DW98" s="72">
        <v>0</v>
      </c>
      <c r="DX98" s="72">
        <v>0</v>
      </c>
      <c r="DY98" s="72">
        <v>0</v>
      </c>
      <c r="DZ98" s="72">
        <v>0</v>
      </c>
      <c r="EA98" s="72">
        <v>0</v>
      </c>
      <c r="EB98" s="72">
        <v>0</v>
      </c>
      <c r="EC98" s="72">
        <v>0</v>
      </c>
      <c r="ED98" s="72">
        <v>0</v>
      </c>
      <c r="EE98" s="72">
        <v>0</v>
      </c>
      <c r="EF98" s="72">
        <v>0</v>
      </c>
      <c r="EG98" s="72">
        <v>0</v>
      </c>
      <c r="EH98" s="72">
        <v>0</v>
      </c>
      <c r="EI98" s="72">
        <v>0</v>
      </c>
      <c r="EJ98" s="72">
        <v>0</v>
      </c>
      <c r="EK98" s="72">
        <v>0</v>
      </c>
      <c r="EL98" s="72">
        <v>0</v>
      </c>
      <c r="EM98" s="72">
        <v>0</v>
      </c>
      <c r="EN98" s="72">
        <v>0</v>
      </c>
      <c r="EO98" s="72">
        <v>0</v>
      </c>
      <c r="EP98" s="72">
        <v>0</v>
      </c>
      <c r="EQ98" s="72">
        <v>0</v>
      </c>
      <c r="ER98" s="72">
        <v>0</v>
      </c>
      <c r="ES98" s="72">
        <v>0</v>
      </c>
      <c r="ET98" s="72">
        <v>0</v>
      </c>
      <c r="EU98" s="72">
        <v>0</v>
      </c>
      <c r="EV98" s="72">
        <v>0</v>
      </c>
      <c r="EW98" s="72">
        <v>0</v>
      </c>
      <c r="EX98" s="72">
        <v>0</v>
      </c>
      <c r="EY98" s="72">
        <v>0</v>
      </c>
      <c r="EZ98" s="72">
        <v>0</v>
      </c>
      <c r="FA98" s="72">
        <v>0</v>
      </c>
      <c r="FB98" s="72">
        <v>0</v>
      </c>
      <c r="FC98" s="72">
        <v>0</v>
      </c>
      <c r="FD98" s="72">
        <v>0</v>
      </c>
      <c r="FE98" s="72">
        <v>0</v>
      </c>
      <c r="FF98" s="72">
        <v>0</v>
      </c>
      <c r="FG98" s="72">
        <v>0</v>
      </c>
      <c r="FH98" s="72">
        <v>0</v>
      </c>
      <c r="FI98" s="72">
        <v>0</v>
      </c>
      <c r="FJ98" s="72">
        <v>0</v>
      </c>
      <c r="FK98" s="72">
        <v>0</v>
      </c>
      <c r="FL98" s="72">
        <v>0</v>
      </c>
      <c r="FM98" s="72">
        <v>0</v>
      </c>
      <c r="FN98" s="72">
        <v>0</v>
      </c>
      <c r="FO98" s="72">
        <v>0</v>
      </c>
      <c r="FP98" s="72">
        <v>0</v>
      </c>
      <c r="FQ98" s="72">
        <v>0</v>
      </c>
      <c r="FR98" s="72">
        <v>0</v>
      </c>
      <c r="FS98" s="72">
        <v>0</v>
      </c>
      <c r="FT98" s="72">
        <v>0</v>
      </c>
      <c r="FU98" s="72">
        <v>0</v>
      </c>
      <c r="FV98" s="74">
        <v>5462.1446945316256</v>
      </c>
      <c r="FW98" s="74">
        <v>7272.7743600321128</v>
      </c>
      <c r="FX98" s="74">
        <v>8558.5614086243822</v>
      </c>
      <c r="FY98" s="74">
        <v>8571.6415160303859</v>
      </c>
      <c r="FZ98" s="74">
        <v>8845.855600477702</v>
      </c>
      <c r="GA98" s="74">
        <v>11137.416137006596</v>
      </c>
      <c r="GB98" s="74">
        <v>12009.786690249357</v>
      </c>
      <c r="GC98" s="74">
        <v>14926.081596592223</v>
      </c>
      <c r="GD98" s="74">
        <v>19102.164102833594</v>
      </c>
      <c r="GE98" s="74">
        <v>4515.9950315194792</v>
      </c>
      <c r="GF98" s="74">
        <v>3665.6256302479142</v>
      </c>
      <c r="GG98" s="74">
        <v>4563.4669251098521</v>
      </c>
      <c r="GH98" s="74">
        <v>5165.332944244281</v>
      </c>
      <c r="GI98" s="74">
        <v>6174.3175865289741</v>
      </c>
      <c r="GJ98" s="72">
        <v>0</v>
      </c>
      <c r="GK98" s="72">
        <v>0</v>
      </c>
      <c r="GL98" s="72">
        <v>0</v>
      </c>
      <c r="GM98" s="72">
        <v>0</v>
      </c>
      <c r="GN98" s="72">
        <v>0</v>
      </c>
      <c r="GO98" s="72">
        <v>0</v>
      </c>
      <c r="GP98" s="72">
        <v>-11635.417243925236</v>
      </c>
      <c r="GQ98" s="72">
        <v>18264.241699953283</v>
      </c>
      <c r="GR98" s="72">
        <f t="shared" si="1"/>
        <v>134571.26834357425</v>
      </c>
      <c r="GS98" s="72">
        <f>SUM(CQ$5:CQ$202)</f>
        <v>134571.26834357428</v>
      </c>
      <c r="GT98" s="73">
        <v>0</v>
      </c>
    </row>
    <row r="99" spans="1:202" outlineLevel="1" x14ac:dyDescent="0.2">
      <c r="A99" s="66" t="s">
        <v>821</v>
      </c>
      <c r="B99" s="72">
        <v>0</v>
      </c>
      <c r="C99" s="72">
        <v>0</v>
      </c>
      <c r="D99" s="72">
        <v>0</v>
      </c>
      <c r="E99" s="72">
        <v>0</v>
      </c>
      <c r="F99" s="72">
        <v>0</v>
      </c>
      <c r="G99" s="72">
        <v>0</v>
      </c>
      <c r="H99" s="72">
        <v>0</v>
      </c>
      <c r="I99" s="72">
        <v>0</v>
      </c>
      <c r="J99" s="72">
        <v>0</v>
      </c>
      <c r="K99" s="72">
        <v>8.7292742378542112</v>
      </c>
      <c r="L99" s="72">
        <v>137.88528714645469</v>
      </c>
      <c r="M99" s="72">
        <v>258.86140192841805</v>
      </c>
      <c r="N99" s="72">
        <v>919.31383146285475</v>
      </c>
      <c r="O99" s="72">
        <v>0</v>
      </c>
      <c r="P99" s="72">
        <v>0</v>
      </c>
      <c r="Q99" s="72">
        <v>9.2606315043970069E-3</v>
      </c>
      <c r="R99" s="72">
        <v>0</v>
      </c>
      <c r="S99" s="72">
        <v>0</v>
      </c>
      <c r="T99" s="72">
        <v>0</v>
      </c>
      <c r="U99" s="72">
        <v>0</v>
      </c>
      <c r="V99" s="72">
        <v>0</v>
      </c>
      <c r="W99" s="72">
        <v>0</v>
      </c>
      <c r="X99" s="72">
        <v>0</v>
      </c>
      <c r="Y99" s="72">
        <v>0</v>
      </c>
      <c r="Z99" s="72">
        <v>0</v>
      </c>
      <c r="AA99" s="72">
        <v>0</v>
      </c>
      <c r="AB99" s="72">
        <v>0</v>
      </c>
      <c r="AC99" s="72">
        <v>0</v>
      </c>
      <c r="AD99" s="72">
        <v>0</v>
      </c>
      <c r="AE99" s="72">
        <v>2504.9044683249076</v>
      </c>
      <c r="AF99" s="72">
        <v>1.0125117384416826</v>
      </c>
      <c r="AG99" s="72">
        <v>1143.8595382082269</v>
      </c>
      <c r="AH99" s="72">
        <v>0</v>
      </c>
      <c r="AI99" s="72">
        <v>3.5556078658861017</v>
      </c>
      <c r="AJ99" s="72">
        <v>4.1095046963509043</v>
      </c>
      <c r="AK99" s="72">
        <v>0</v>
      </c>
      <c r="AL99" s="72">
        <v>0</v>
      </c>
      <c r="AM99" s="72">
        <v>0</v>
      </c>
      <c r="AN99" s="72">
        <v>0</v>
      </c>
      <c r="AO99" s="72">
        <v>0</v>
      </c>
      <c r="AP99" s="72">
        <v>0</v>
      </c>
      <c r="AQ99" s="72">
        <v>0</v>
      </c>
      <c r="AR99" s="72">
        <v>3.863025778778459</v>
      </c>
      <c r="AS99" s="72">
        <v>0</v>
      </c>
      <c r="AT99" s="72">
        <v>0</v>
      </c>
      <c r="AU99" s="72">
        <v>0</v>
      </c>
      <c r="AV99" s="72">
        <v>0</v>
      </c>
      <c r="AW99" s="72">
        <v>0</v>
      </c>
      <c r="AX99" s="72">
        <v>0</v>
      </c>
      <c r="AY99" s="72">
        <v>0</v>
      </c>
      <c r="AZ99" s="72">
        <v>0</v>
      </c>
      <c r="BA99" s="72">
        <v>0</v>
      </c>
      <c r="BB99" s="72">
        <v>0</v>
      </c>
      <c r="BC99" s="72">
        <v>35.379601782001316</v>
      </c>
      <c r="BD99" s="72">
        <v>2.5578915051648563</v>
      </c>
      <c r="BE99" s="72">
        <v>35.118409611109485</v>
      </c>
      <c r="BF99" s="72">
        <v>0</v>
      </c>
      <c r="BG99" s="72">
        <v>0</v>
      </c>
      <c r="BH99" s="72">
        <v>0</v>
      </c>
      <c r="BI99" s="72">
        <v>0</v>
      </c>
      <c r="BJ99" s="72">
        <v>2549.1918931436326</v>
      </c>
      <c r="BK99" s="72">
        <v>0</v>
      </c>
      <c r="BL99" s="72">
        <v>0</v>
      </c>
      <c r="BM99" s="72">
        <v>0</v>
      </c>
      <c r="BN99" s="72">
        <v>0</v>
      </c>
      <c r="BO99" s="72">
        <v>0</v>
      </c>
      <c r="BP99" s="72">
        <v>0</v>
      </c>
      <c r="BQ99" s="72">
        <v>0</v>
      </c>
      <c r="BR99" s="72">
        <v>0</v>
      </c>
      <c r="BS99" s="72">
        <v>0</v>
      </c>
      <c r="BT99" s="72">
        <v>0</v>
      </c>
      <c r="BU99" s="72">
        <v>0</v>
      </c>
      <c r="BV99" s="72">
        <v>0</v>
      </c>
      <c r="BW99" s="72">
        <v>0</v>
      </c>
      <c r="BX99" s="72">
        <v>0</v>
      </c>
      <c r="BY99" s="72">
        <v>0</v>
      </c>
      <c r="BZ99" s="72">
        <v>0</v>
      </c>
      <c r="CA99" s="72">
        <v>0</v>
      </c>
      <c r="CB99" s="72">
        <v>0</v>
      </c>
      <c r="CC99" s="72">
        <v>0</v>
      </c>
      <c r="CD99" s="72">
        <v>0</v>
      </c>
      <c r="CE99" s="72">
        <v>0</v>
      </c>
      <c r="CF99" s="72">
        <v>0</v>
      </c>
      <c r="CG99" s="72">
        <v>0</v>
      </c>
      <c r="CH99" s="72">
        <v>0</v>
      </c>
      <c r="CI99" s="72">
        <v>0</v>
      </c>
      <c r="CJ99" s="72">
        <v>0</v>
      </c>
      <c r="CK99" s="72">
        <v>0</v>
      </c>
      <c r="CL99" s="72">
        <v>0</v>
      </c>
      <c r="CM99" s="72">
        <v>0</v>
      </c>
      <c r="CN99" s="72">
        <v>0</v>
      </c>
      <c r="CO99" s="72">
        <v>0</v>
      </c>
      <c r="CP99" s="72">
        <v>0</v>
      </c>
      <c r="CQ99" s="72">
        <v>0</v>
      </c>
      <c r="CR99" s="72">
        <v>0</v>
      </c>
      <c r="CS99" s="72">
        <v>0</v>
      </c>
      <c r="CT99" s="72">
        <v>0</v>
      </c>
      <c r="CU99" s="72">
        <v>0</v>
      </c>
      <c r="CV99" s="72">
        <v>0</v>
      </c>
      <c r="CW99" s="72">
        <v>0</v>
      </c>
      <c r="CX99" s="72">
        <v>0</v>
      </c>
      <c r="CY99" s="72">
        <v>0</v>
      </c>
      <c r="CZ99" s="72">
        <v>0</v>
      </c>
      <c r="DA99" s="72">
        <v>0</v>
      </c>
      <c r="DB99" s="72">
        <v>0</v>
      </c>
      <c r="DC99" s="72">
        <v>0</v>
      </c>
      <c r="DD99" s="72">
        <v>0</v>
      </c>
      <c r="DE99" s="72">
        <v>0</v>
      </c>
      <c r="DF99" s="72">
        <v>0</v>
      </c>
      <c r="DG99" s="72">
        <v>0</v>
      </c>
      <c r="DH99" s="72">
        <v>0</v>
      </c>
      <c r="DI99" s="72">
        <v>0</v>
      </c>
      <c r="DJ99" s="72">
        <v>0</v>
      </c>
      <c r="DK99" s="72">
        <v>0</v>
      </c>
      <c r="DL99" s="72">
        <v>0</v>
      </c>
      <c r="DM99" s="72">
        <v>0</v>
      </c>
      <c r="DN99" s="72">
        <v>0</v>
      </c>
      <c r="DO99" s="72">
        <v>0</v>
      </c>
      <c r="DP99" s="72">
        <v>0</v>
      </c>
      <c r="DQ99" s="72">
        <v>0</v>
      </c>
      <c r="DR99" s="72">
        <v>0</v>
      </c>
      <c r="DS99" s="72">
        <v>0</v>
      </c>
      <c r="DT99" s="72">
        <v>0</v>
      </c>
      <c r="DU99" s="72">
        <v>0</v>
      </c>
      <c r="DV99" s="72">
        <v>0</v>
      </c>
      <c r="DW99" s="72">
        <v>0</v>
      </c>
      <c r="DX99" s="72">
        <v>0</v>
      </c>
      <c r="DY99" s="72">
        <v>0</v>
      </c>
      <c r="DZ99" s="72">
        <v>0</v>
      </c>
      <c r="EA99" s="72">
        <v>0</v>
      </c>
      <c r="EB99" s="72">
        <v>0</v>
      </c>
      <c r="EC99" s="72">
        <v>0</v>
      </c>
      <c r="ED99" s="72">
        <v>0</v>
      </c>
      <c r="EE99" s="72">
        <v>0</v>
      </c>
      <c r="EF99" s="72">
        <v>0</v>
      </c>
      <c r="EG99" s="72">
        <v>0</v>
      </c>
      <c r="EH99" s="72">
        <v>0</v>
      </c>
      <c r="EI99" s="72">
        <v>0</v>
      </c>
      <c r="EJ99" s="72">
        <v>0</v>
      </c>
      <c r="EK99" s="72">
        <v>0</v>
      </c>
      <c r="EL99" s="72">
        <v>0</v>
      </c>
      <c r="EM99" s="72">
        <v>0</v>
      </c>
      <c r="EN99" s="72">
        <v>0</v>
      </c>
      <c r="EO99" s="72">
        <v>0</v>
      </c>
      <c r="EP99" s="72">
        <v>0</v>
      </c>
      <c r="EQ99" s="72">
        <v>0</v>
      </c>
      <c r="ER99" s="72">
        <v>0</v>
      </c>
      <c r="ES99" s="72">
        <v>0</v>
      </c>
      <c r="ET99" s="72">
        <v>0</v>
      </c>
      <c r="EU99" s="72">
        <v>0</v>
      </c>
      <c r="EV99" s="72">
        <v>0</v>
      </c>
      <c r="EW99" s="72">
        <v>0</v>
      </c>
      <c r="EX99" s="72">
        <v>0</v>
      </c>
      <c r="EY99" s="72">
        <v>0</v>
      </c>
      <c r="EZ99" s="72">
        <v>0</v>
      </c>
      <c r="FA99" s="72">
        <v>0</v>
      </c>
      <c r="FB99" s="72">
        <v>0</v>
      </c>
      <c r="FC99" s="72">
        <v>0</v>
      </c>
      <c r="FD99" s="72">
        <v>0</v>
      </c>
      <c r="FE99" s="72">
        <v>0</v>
      </c>
      <c r="FF99" s="72">
        <v>0</v>
      </c>
      <c r="FG99" s="72">
        <v>0</v>
      </c>
      <c r="FH99" s="72">
        <v>0</v>
      </c>
      <c r="FI99" s="72">
        <v>0</v>
      </c>
      <c r="FJ99" s="72">
        <v>0</v>
      </c>
      <c r="FK99" s="72">
        <v>0</v>
      </c>
      <c r="FL99" s="72">
        <v>0</v>
      </c>
      <c r="FM99" s="72">
        <v>0</v>
      </c>
      <c r="FN99" s="72">
        <v>0</v>
      </c>
      <c r="FO99" s="72">
        <v>0</v>
      </c>
      <c r="FP99" s="72">
        <v>0</v>
      </c>
      <c r="FQ99" s="72">
        <v>0</v>
      </c>
      <c r="FR99" s="72">
        <v>0</v>
      </c>
      <c r="FS99" s="72">
        <v>0</v>
      </c>
      <c r="FT99" s="72">
        <v>0</v>
      </c>
      <c r="FU99" s="72">
        <v>0</v>
      </c>
      <c r="FV99" s="74">
        <v>327.80701874504359</v>
      </c>
      <c r="FW99" s="74">
        <v>367.88059955712225</v>
      </c>
      <c r="FX99" s="74">
        <v>423.25056211127867</v>
      </c>
      <c r="FY99" s="74">
        <v>354.10086985951511</v>
      </c>
      <c r="FZ99" s="74">
        <v>414.64384180947781</v>
      </c>
      <c r="GA99" s="74">
        <v>493.75845933901741</v>
      </c>
      <c r="GB99" s="74">
        <v>652.84687123245851</v>
      </c>
      <c r="GC99" s="74">
        <v>634.1476204128229</v>
      </c>
      <c r="GD99" s="74">
        <v>924.17532893336318</v>
      </c>
      <c r="GE99" s="74">
        <v>232.78529202480766</v>
      </c>
      <c r="GF99" s="74">
        <v>264.17465214398385</v>
      </c>
      <c r="GG99" s="74">
        <v>329.2311478312119</v>
      </c>
      <c r="GH99" s="74">
        <v>367.29704044884551</v>
      </c>
      <c r="GI99" s="74">
        <v>635.21056962027058</v>
      </c>
      <c r="GJ99" s="72">
        <v>0</v>
      </c>
      <c r="GK99" s="72">
        <v>0</v>
      </c>
      <c r="GL99" s="72">
        <v>0</v>
      </c>
      <c r="GM99" s="72">
        <v>0</v>
      </c>
      <c r="GN99" s="72">
        <v>0</v>
      </c>
      <c r="GO99" s="72">
        <v>0</v>
      </c>
      <c r="GP99" s="72">
        <v>60.103609769123949</v>
      </c>
      <c r="GQ99" s="72">
        <v>2661.0710951780311</v>
      </c>
      <c r="GR99" s="72">
        <f t="shared" si="1"/>
        <v>16750.836087077958</v>
      </c>
      <c r="GS99" s="72">
        <f>SUM(CR$5:CR$202)</f>
        <v>16750.836087077965</v>
      </c>
      <c r="GT99" s="73">
        <v>0</v>
      </c>
    </row>
    <row r="100" spans="1:202" outlineLevel="1" x14ac:dyDescent="0.2">
      <c r="A100" s="66" t="s">
        <v>827</v>
      </c>
      <c r="B100" s="72">
        <v>0</v>
      </c>
      <c r="C100" s="72">
        <v>0</v>
      </c>
      <c r="D100" s="72">
        <v>0</v>
      </c>
      <c r="E100" s="72">
        <v>0</v>
      </c>
      <c r="F100" s="72">
        <v>0</v>
      </c>
      <c r="G100" s="72">
        <v>0</v>
      </c>
      <c r="H100" s="72">
        <v>0</v>
      </c>
      <c r="I100" s="72">
        <v>0</v>
      </c>
      <c r="J100" s="72">
        <v>0</v>
      </c>
      <c r="K100" s="72">
        <v>0</v>
      </c>
      <c r="L100" s="72">
        <v>0</v>
      </c>
      <c r="M100" s="72">
        <v>0</v>
      </c>
      <c r="N100" s="72">
        <v>390.14591405220301</v>
      </c>
      <c r="O100" s="72">
        <v>0</v>
      </c>
      <c r="P100" s="72">
        <v>0</v>
      </c>
      <c r="Q100" s="72">
        <v>0</v>
      </c>
      <c r="R100" s="72">
        <v>0</v>
      </c>
      <c r="S100" s="72">
        <v>0</v>
      </c>
      <c r="T100" s="72">
        <v>0</v>
      </c>
      <c r="U100" s="72">
        <v>0</v>
      </c>
      <c r="V100" s="72">
        <v>0</v>
      </c>
      <c r="W100" s="72">
        <v>0</v>
      </c>
      <c r="X100" s="72">
        <v>0</v>
      </c>
      <c r="Y100" s="72">
        <v>0</v>
      </c>
      <c r="Z100" s="72">
        <v>0</v>
      </c>
      <c r="AA100" s="72">
        <v>0</v>
      </c>
      <c r="AB100" s="72">
        <v>0</v>
      </c>
      <c r="AC100" s="72">
        <v>0</v>
      </c>
      <c r="AD100" s="72">
        <v>0</v>
      </c>
      <c r="AE100" s="72">
        <v>0</v>
      </c>
      <c r="AF100" s="72">
        <v>0</v>
      </c>
      <c r="AG100" s="72">
        <v>0</v>
      </c>
      <c r="AH100" s="72">
        <v>0</v>
      </c>
      <c r="AI100" s="72">
        <v>3.5834270630801717</v>
      </c>
      <c r="AJ100" s="72">
        <v>4.0178453791602902</v>
      </c>
      <c r="AK100" s="72">
        <v>0</v>
      </c>
      <c r="AL100" s="72">
        <v>0</v>
      </c>
      <c r="AM100" s="72">
        <v>0</v>
      </c>
      <c r="AN100" s="72">
        <v>0</v>
      </c>
      <c r="AO100" s="72">
        <v>37.426847340766486</v>
      </c>
      <c r="AP100" s="72">
        <v>82.222388179942172</v>
      </c>
      <c r="AQ100" s="72">
        <v>4.5812718194249129</v>
      </c>
      <c r="AR100" s="72">
        <v>5.2523187424458759E-2</v>
      </c>
      <c r="AS100" s="72">
        <v>0</v>
      </c>
      <c r="AT100" s="72">
        <v>90.350912045551667</v>
      </c>
      <c r="AU100" s="72">
        <v>0</v>
      </c>
      <c r="AV100" s="72">
        <v>0</v>
      </c>
      <c r="AW100" s="72">
        <v>0</v>
      </c>
      <c r="AX100" s="72">
        <v>0</v>
      </c>
      <c r="AY100" s="72">
        <v>0</v>
      </c>
      <c r="AZ100" s="72">
        <v>0</v>
      </c>
      <c r="BA100" s="72">
        <v>0</v>
      </c>
      <c r="BB100" s="72">
        <v>0</v>
      </c>
      <c r="BC100" s="72">
        <v>0</v>
      </c>
      <c r="BD100" s="72">
        <v>0</v>
      </c>
      <c r="BE100" s="72">
        <v>0</v>
      </c>
      <c r="BF100" s="72">
        <v>370.14334737279222</v>
      </c>
      <c r="BG100" s="72">
        <v>11.643538242233662</v>
      </c>
      <c r="BH100" s="72">
        <v>27.770947941998529</v>
      </c>
      <c r="BI100" s="72">
        <v>0</v>
      </c>
      <c r="BJ100" s="72">
        <v>313.61484588280103</v>
      </c>
      <c r="BK100" s="72">
        <v>0</v>
      </c>
      <c r="BL100" s="72">
        <v>0</v>
      </c>
      <c r="BM100" s="72">
        <v>0</v>
      </c>
      <c r="BN100" s="72">
        <v>0</v>
      </c>
      <c r="BO100" s="72">
        <v>0</v>
      </c>
      <c r="BP100" s="72">
        <v>0</v>
      </c>
      <c r="BQ100" s="72">
        <v>0</v>
      </c>
      <c r="BR100" s="72">
        <v>0</v>
      </c>
      <c r="BS100" s="72">
        <v>0</v>
      </c>
      <c r="BT100" s="72">
        <v>0</v>
      </c>
      <c r="BU100" s="72">
        <v>0</v>
      </c>
      <c r="BV100" s="72">
        <v>0</v>
      </c>
      <c r="BW100" s="72">
        <v>0</v>
      </c>
      <c r="BX100" s="72">
        <v>0</v>
      </c>
      <c r="BY100" s="72">
        <v>0</v>
      </c>
      <c r="BZ100" s="72">
        <v>0</v>
      </c>
      <c r="CA100" s="72">
        <v>0</v>
      </c>
      <c r="CB100" s="72">
        <v>0</v>
      </c>
      <c r="CC100" s="72">
        <v>0</v>
      </c>
      <c r="CD100" s="72">
        <v>0</v>
      </c>
      <c r="CE100" s="72">
        <v>0</v>
      </c>
      <c r="CF100" s="72">
        <v>0</v>
      </c>
      <c r="CG100" s="72">
        <v>0</v>
      </c>
      <c r="CH100" s="72">
        <v>0</v>
      </c>
      <c r="CI100" s="72">
        <v>0</v>
      </c>
      <c r="CJ100" s="72">
        <v>0</v>
      </c>
      <c r="CK100" s="72">
        <v>0</v>
      </c>
      <c r="CL100" s="72">
        <v>0</v>
      </c>
      <c r="CM100" s="72">
        <v>0</v>
      </c>
      <c r="CN100" s="72">
        <v>0</v>
      </c>
      <c r="CO100" s="72">
        <v>0</v>
      </c>
      <c r="CP100" s="72">
        <v>0</v>
      </c>
      <c r="CQ100" s="72">
        <v>0</v>
      </c>
      <c r="CR100" s="72">
        <v>0</v>
      </c>
      <c r="CS100" s="72">
        <v>0</v>
      </c>
      <c r="CT100" s="72">
        <v>0</v>
      </c>
      <c r="CU100" s="72">
        <v>0</v>
      </c>
      <c r="CV100" s="72">
        <v>0</v>
      </c>
      <c r="CW100" s="72">
        <v>0</v>
      </c>
      <c r="CX100" s="72">
        <v>0</v>
      </c>
      <c r="CY100" s="72">
        <v>0</v>
      </c>
      <c r="CZ100" s="72">
        <v>0</v>
      </c>
      <c r="DA100" s="72">
        <v>0</v>
      </c>
      <c r="DB100" s="72">
        <v>0</v>
      </c>
      <c r="DC100" s="72">
        <v>0</v>
      </c>
      <c r="DD100" s="72">
        <v>0</v>
      </c>
      <c r="DE100" s="72">
        <v>0</v>
      </c>
      <c r="DF100" s="72">
        <v>0</v>
      </c>
      <c r="DG100" s="72">
        <v>0</v>
      </c>
      <c r="DH100" s="72">
        <v>0</v>
      </c>
      <c r="DI100" s="72">
        <v>0</v>
      </c>
      <c r="DJ100" s="72">
        <v>0</v>
      </c>
      <c r="DK100" s="72">
        <v>0</v>
      </c>
      <c r="DL100" s="72">
        <v>0</v>
      </c>
      <c r="DM100" s="72">
        <v>0</v>
      </c>
      <c r="DN100" s="72">
        <v>0</v>
      </c>
      <c r="DO100" s="72">
        <v>0</v>
      </c>
      <c r="DP100" s="72">
        <v>0</v>
      </c>
      <c r="DQ100" s="72">
        <v>0</v>
      </c>
      <c r="DR100" s="72">
        <v>0</v>
      </c>
      <c r="DS100" s="72">
        <v>0</v>
      </c>
      <c r="DT100" s="72">
        <v>0</v>
      </c>
      <c r="DU100" s="72">
        <v>0</v>
      </c>
      <c r="DV100" s="72">
        <v>0</v>
      </c>
      <c r="DW100" s="72">
        <v>0</v>
      </c>
      <c r="DX100" s="72">
        <v>0</v>
      </c>
      <c r="DY100" s="72">
        <v>0</v>
      </c>
      <c r="DZ100" s="72">
        <v>0</v>
      </c>
      <c r="EA100" s="72">
        <v>0</v>
      </c>
      <c r="EB100" s="72">
        <v>0</v>
      </c>
      <c r="EC100" s="72">
        <v>0</v>
      </c>
      <c r="ED100" s="72">
        <v>0</v>
      </c>
      <c r="EE100" s="72">
        <v>0</v>
      </c>
      <c r="EF100" s="72">
        <v>0</v>
      </c>
      <c r="EG100" s="72">
        <v>0</v>
      </c>
      <c r="EH100" s="72">
        <v>0</v>
      </c>
      <c r="EI100" s="72">
        <v>0</v>
      </c>
      <c r="EJ100" s="72">
        <v>0</v>
      </c>
      <c r="EK100" s="72">
        <v>0</v>
      </c>
      <c r="EL100" s="72">
        <v>0</v>
      </c>
      <c r="EM100" s="72">
        <v>0</v>
      </c>
      <c r="EN100" s="72">
        <v>0</v>
      </c>
      <c r="EO100" s="72">
        <v>0</v>
      </c>
      <c r="EP100" s="72">
        <v>0</v>
      </c>
      <c r="EQ100" s="72">
        <v>0</v>
      </c>
      <c r="ER100" s="72">
        <v>0</v>
      </c>
      <c r="ES100" s="72">
        <v>0</v>
      </c>
      <c r="ET100" s="72">
        <v>0</v>
      </c>
      <c r="EU100" s="72">
        <v>0</v>
      </c>
      <c r="EV100" s="72">
        <v>0</v>
      </c>
      <c r="EW100" s="72">
        <v>0</v>
      </c>
      <c r="EX100" s="72">
        <v>0</v>
      </c>
      <c r="EY100" s="72">
        <v>0</v>
      </c>
      <c r="EZ100" s="72">
        <v>0</v>
      </c>
      <c r="FA100" s="72">
        <v>0</v>
      </c>
      <c r="FB100" s="72">
        <v>0</v>
      </c>
      <c r="FC100" s="72">
        <v>0</v>
      </c>
      <c r="FD100" s="72">
        <v>0</v>
      </c>
      <c r="FE100" s="72">
        <v>0</v>
      </c>
      <c r="FF100" s="72">
        <v>0</v>
      </c>
      <c r="FG100" s="72">
        <v>0</v>
      </c>
      <c r="FH100" s="72">
        <v>0</v>
      </c>
      <c r="FI100" s="72">
        <v>0</v>
      </c>
      <c r="FJ100" s="72">
        <v>0</v>
      </c>
      <c r="FK100" s="72">
        <v>0</v>
      </c>
      <c r="FL100" s="72">
        <v>0</v>
      </c>
      <c r="FM100" s="72">
        <v>0</v>
      </c>
      <c r="FN100" s="72">
        <v>0</v>
      </c>
      <c r="FO100" s="72">
        <v>0</v>
      </c>
      <c r="FP100" s="72">
        <v>0</v>
      </c>
      <c r="FQ100" s="72">
        <v>0</v>
      </c>
      <c r="FR100" s="72">
        <v>0</v>
      </c>
      <c r="FS100" s="72">
        <v>0</v>
      </c>
      <c r="FT100" s="72">
        <v>0</v>
      </c>
      <c r="FU100" s="72">
        <v>0</v>
      </c>
      <c r="FV100" s="74">
        <v>1910.2400480167805</v>
      </c>
      <c r="FW100" s="74">
        <v>2559.7153463211675</v>
      </c>
      <c r="FX100" s="74">
        <v>3098.304145054462</v>
      </c>
      <c r="FY100" s="74">
        <v>3100.6018902401975</v>
      </c>
      <c r="FZ100" s="74">
        <v>3284.7310291810768</v>
      </c>
      <c r="GA100" s="74">
        <v>3766.5749629840507</v>
      </c>
      <c r="GB100" s="74">
        <v>4292.620772809456</v>
      </c>
      <c r="GC100" s="74">
        <v>5187.9532611604091</v>
      </c>
      <c r="GD100" s="74">
        <v>6487.3987384348193</v>
      </c>
      <c r="GE100" s="74">
        <v>1475.8413930734041</v>
      </c>
      <c r="GF100" s="74">
        <v>1222.2692117176246</v>
      </c>
      <c r="GG100" s="74">
        <v>1613.8544249547228</v>
      </c>
      <c r="GH100" s="74">
        <v>1854.0759788389475</v>
      </c>
      <c r="GI100" s="74">
        <v>2102.7151355723909</v>
      </c>
      <c r="GJ100" s="72">
        <v>0</v>
      </c>
      <c r="GK100" s="72">
        <v>0</v>
      </c>
      <c r="GL100" s="72">
        <v>0</v>
      </c>
      <c r="GM100" s="72">
        <v>0</v>
      </c>
      <c r="GN100" s="72">
        <v>0</v>
      </c>
      <c r="GO100" s="72">
        <v>0</v>
      </c>
      <c r="GP100" s="72">
        <v>-5129.4306542165705</v>
      </c>
      <c r="GQ100" s="72">
        <v>5144.7484807456922</v>
      </c>
      <c r="GR100" s="72">
        <f t="shared" si="1"/>
        <v>43307.76797339601</v>
      </c>
      <c r="GS100" s="72">
        <f>SUM(CS$5:CS$202)</f>
        <v>43307.76797339601</v>
      </c>
      <c r="GT100" s="73">
        <v>0</v>
      </c>
    </row>
    <row r="101" spans="1:202" outlineLevel="1" x14ac:dyDescent="0.2">
      <c r="A101" s="66" t="s">
        <v>833</v>
      </c>
      <c r="B101" s="72">
        <v>6312.1937481182213</v>
      </c>
      <c r="C101" s="72">
        <v>45.567264587575593</v>
      </c>
      <c r="D101" s="72">
        <v>28.923087538503751</v>
      </c>
      <c r="E101" s="72">
        <v>618.59932261648737</v>
      </c>
      <c r="F101" s="72">
        <v>976.33905200477966</v>
      </c>
      <c r="G101" s="72">
        <v>2968.2430469497622</v>
      </c>
      <c r="H101" s="72">
        <v>117.35850652764998</v>
      </c>
      <c r="I101" s="72">
        <v>535.15138055240902</v>
      </c>
      <c r="J101" s="72">
        <v>174.23787694199439</v>
      </c>
      <c r="K101" s="72">
        <v>34.553162756612394</v>
      </c>
      <c r="L101" s="72">
        <v>2.9541197985207348</v>
      </c>
      <c r="M101" s="72">
        <v>2.4349973338084721</v>
      </c>
      <c r="N101" s="72">
        <v>30.332589872943949</v>
      </c>
      <c r="O101" s="72">
        <v>5253.1484429789762</v>
      </c>
      <c r="P101" s="72">
        <v>197.03009554306229</v>
      </c>
      <c r="Q101" s="72">
        <v>52.77820936547873</v>
      </c>
      <c r="R101" s="72">
        <v>8.6738942580577234</v>
      </c>
      <c r="S101" s="72">
        <v>52.021551965165727</v>
      </c>
      <c r="T101" s="72">
        <v>287.46633599821121</v>
      </c>
      <c r="U101" s="72">
        <v>5.5676585562483805</v>
      </c>
      <c r="V101" s="72">
        <v>17.090811482657905</v>
      </c>
      <c r="W101" s="72">
        <v>177.98421269885415</v>
      </c>
      <c r="X101" s="72">
        <v>288.98280723003393</v>
      </c>
      <c r="Y101" s="72">
        <v>30.589108330880343</v>
      </c>
      <c r="Z101" s="72">
        <v>197.85065605932715</v>
      </c>
      <c r="AA101" s="72">
        <v>54.639748824324869</v>
      </c>
      <c r="AB101" s="72">
        <v>37.750963842000942</v>
      </c>
      <c r="AC101" s="72">
        <v>0.48656575426765208</v>
      </c>
      <c r="AD101" s="72">
        <v>4.6521846909705564</v>
      </c>
      <c r="AE101" s="72">
        <v>163.5351811106984</v>
      </c>
      <c r="AF101" s="72">
        <v>1.663483116109411</v>
      </c>
      <c r="AG101" s="72">
        <v>1505.1363295761926</v>
      </c>
      <c r="AH101" s="72">
        <v>168.30314833826887</v>
      </c>
      <c r="AI101" s="72">
        <v>1.1303626752370457</v>
      </c>
      <c r="AJ101" s="72">
        <v>1.5754103387367908</v>
      </c>
      <c r="AK101" s="72">
        <v>8899.3844463645473</v>
      </c>
      <c r="AL101" s="72">
        <v>60.925354749737174</v>
      </c>
      <c r="AM101" s="72">
        <v>140.46016938474614</v>
      </c>
      <c r="AN101" s="72">
        <v>12.382476769362126</v>
      </c>
      <c r="AO101" s="72">
        <v>31.786348091891529</v>
      </c>
      <c r="AP101" s="72">
        <v>25.542227744539645</v>
      </c>
      <c r="AQ101" s="72">
        <v>5.0251631290364709E-2</v>
      </c>
      <c r="AR101" s="72">
        <v>0</v>
      </c>
      <c r="AS101" s="72">
        <v>624.03273183048418</v>
      </c>
      <c r="AT101" s="72">
        <v>6.0425083667238368</v>
      </c>
      <c r="AU101" s="72">
        <v>0</v>
      </c>
      <c r="AV101" s="72">
        <v>0</v>
      </c>
      <c r="AW101" s="72">
        <v>0</v>
      </c>
      <c r="AX101" s="72">
        <v>1030.1740337534893</v>
      </c>
      <c r="AY101" s="72">
        <v>0.23559258044775006</v>
      </c>
      <c r="AZ101" s="72">
        <v>7.5356045781531034</v>
      </c>
      <c r="BA101" s="72">
        <v>0.12815347898758683</v>
      </c>
      <c r="BB101" s="72">
        <v>0.64474528084813088</v>
      </c>
      <c r="BC101" s="72">
        <v>174.33157030672965</v>
      </c>
      <c r="BD101" s="72">
        <v>4.4488015639873524</v>
      </c>
      <c r="BE101" s="72">
        <v>20.076238644911715</v>
      </c>
      <c r="BF101" s="72">
        <v>3.2595323122133193E-3</v>
      </c>
      <c r="BG101" s="72">
        <v>4.439580472310363E-2</v>
      </c>
      <c r="BH101" s="72">
        <v>0.41210158474967573</v>
      </c>
      <c r="BI101" s="72">
        <v>0.42038107303802325</v>
      </c>
      <c r="BJ101" s="72">
        <v>5132.9536616254427</v>
      </c>
      <c r="BK101" s="72">
        <v>0</v>
      </c>
      <c r="BL101" s="72">
        <v>0</v>
      </c>
      <c r="BM101" s="72">
        <v>0</v>
      </c>
      <c r="BN101" s="72">
        <v>0</v>
      </c>
      <c r="BO101" s="72">
        <v>0</v>
      </c>
      <c r="BP101" s="72">
        <v>0</v>
      </c>
      <c r="BQ101" s="72">
        <v>0</v>
      </c>
      <c r="BR101" s="72">
        <v>0</v>
      </c>
      <c r="BS101" s="72">
        <v>0</v>
      </c>
      <c r="BT101" s="72">
        <v>0</v>
      </c>
      <c r="BU101" s="72">
        <v>0</v>
      </c>
      <c r="BV101" s="72">
        <v>0</v>
      </c>
      <c r="BW101" s="72">
        <v>0</v>
      </c>
      <c r="BX101" s="72">
        <v>0</v>
      </c>
      <c r="BY101" s="72">
        <v>0</v>
      </c>
      <c r="BZ101" s="72">
        <v>0</v>
      </c>
      <c r="CA101" s="72">
        <v>0</v>
      </c>
      <c r="CB101" s="72">
        <v>0</v>
      </c>
      <c r="CC101" s="72">
        <v>0</v>
      </c>
      <c r="CD101" s="72">
        <v>0</v>
      </c>
      <c r="CE101" s="72">
        <v>0</v>
      </c>
      <c r="CF101" s="72">
        <v>0</v>
      </c>
      <c r="CG101" s="72">
        <v>0</v>
      </c>
      <c r="CH101" s="72">
        <v>0</v>
      </c>
      <c r="CI101" s="72">
        <v>0</v>
      </c>
      <c r="CJ101" s="72">
        <v>0</v>
      </c>
      <c r="CK101" s="72">
        <v>0</v>
      </c>
      <c r="CL101" s="72">
        <v>0</v>
      </c>
      <c r="CM101" s="72">
        <v>0</v>
      </c>
      <c r="CN101" s="72">
        <v>0</v>
      </c>
      <c r="CO101" s="72">
        <v>0</v>
      </c>
      <c r="CP101" s="72">
        <v>0</v>
      </c>
      <c r="CQ101" s="72">
        <v>0</v>
      </c>
      <c r="CR101" s="72">
        <v>0</v>
      </c>
      <c r="CS101" s="72">
        <v>0</v>
      </c>
      <c r="CT101" s="72">
        <v>0</v>
      </c>
      <c r="CU101" s="72">
        <v>0</v>
      </c>
      <c r="CV101" s="72">
        <v>0</v>
      </c>
      <c r="CW101" s="72">
        <v>0</v>
      </c>
      <c r="CX101" s="72">
        <v>0</v>
      </c>
      <c r="CY101" s="72">
        <v>0</v>
      </c>
      <c r="CZ101" s="72">
        <v>0</v>
      </c>
      <c r="DA101" s="72">
        <v>0</v>
      </c>
      <c r="DB101" s="72">
        <v>0</v>
      </c>
      <c r="DC101" s="72">
        <v>0</v>
      </c>
      <c r="DD101" s="72">
        <v>0</v>
      </c>
      <c r="DE101" s="72">
        <v>0</v>
      </c>
      <c r="DF101" s="72">
        <v>0</v>
      </c>
      <c r="DG101" s="72">
        <v>0</v>
      </c>
      <c r="DH101" s="72">
        <v>0</v>
      </c>
      <c r="DI101" s="72">
        <v>0</v>
      </c>
      <c r="DJ101" s="72">
        <v>0</v>
      </c>
      <c r="DK101" s="72">
        <v>0</v>
      </c>
      <c r="DL101" s="72">
        <v>0</v>
      </c>
      <c r="DM101" s="72">
        <v>0</v>
      </c>
      <c r="DN101" s="72">
        <v>0</v>
      </c>
      <c r="DO101" s="72">
        <v>0</v>
      </c>
      <c r="DP101" s="72">
        <v>0</v>
      </c>
      <c r="DQ101" s="72">
        <v>0</v>
      </c>
      <c r="DR101" s="72">
        <v>0</v>
      </c>
      <c r="DS101" s="72">
        <v>0</v>
      </c>
      <c r="DT101" s="72">
        <v>0</v>
      </c>
      <c r="DU101" s="72">
        <v>0</v>
      </c>
      <c r="DV101" s="72">
        <v>0</v>
      </c>
      <c r="DW101" s="72">
        <v>0</v>
      </c>
      <c r="DX101" s="72">
        <v>0</v>
      </c>
      <c r="DY101" s="72">
        <v>0</v>
      </c>
      <c r="DZ101" s="72">
        <v>0</v>
      </c>
      <c r="EA101" s="72">
        <v>0</v>
      </c>
      <c r="EB101" s="72">
        <v>0</v>
      </c>
      <c r="EC101" s="72">
        <v>0</v>
      </c>
      <c r="ED101" s="72">
        <v>0</v>
      </c>
      <c r="EE101" s="72">
        <v>0</v>
      </c>
      <c r="EF101" s="72">
        <v>0</v>
      </c>
      <c r="EG101" s="72">
        <v>0</v>
      </c>
      <c r="EH101" s="72">
        <v>0</v>
      </c>
      <c r="EI101" s="72">
        <v>0</v>
      </c>
      <c r="EJ101" s="72">
        <v>0</v>
      </c>
      <c r="EK101" s="72">
        <v>0</v>
      </c>
      <c r="EL101" s="72">
        <v>0</v>
      </c>
      <c r="EM101" s="72">
        <v>0</v>
      </c>
      <c r="EN101" s="72">
        <v>0</v>
      </c>
      <c r="EO101" s="72">
        <v>0</v>
      </c>
      <c r="EP101" s="72">
        <v>0</v>
      </c>
      <c r="EQ101" s="72">
        <v>0</v>
      </c>
      <c r="ER101" s="72">
        <v>0</v>
      </c>
      <c r="ES101" s="72">
        <v>0</v>
      </c>
      <c r="ET101" s="72">
        <v>0</v>
      </c>
      <c r="EU101" s="72">
        <v>0</v>
      </c>
      <c r="EV101" s="72">
        <v>0</v>
      </c>
      <c r="EW101" s="72">
        <v>0</v>
      </c>
      <c r="EX101" s="72">
        <v>0</v>
      </c>
      <c r="EY101" s="72">
        <v>0</v>
      </c>
      <c r="EZ101" s="72">
        <v>0</v>
      </c>
      <c r="FA101" s="72">
        <v>0</v>
      </c>
      <c r="FB101" s="72">
        <v>0</v>
      </c>
      <c r="FC101" s="72">
        <v>0</v>
      </c>
      <c r="FD101" s="72">
        <v>0</v>
      </c>
      <c r="FE101" s="72">
        <v>0</v>
      </c>
      <c r="FF101" s="72">
        <v>0</v>
      </c>
      <c r="FG101" s="72">
        <v>0</v>
      </c>
      <c r="FH101" s="72">
        <v>0</v>
      </c>
      <c r="FI101" s="72">
        <v>0</v>
      </c>
      <c r="FJ101" s="72">
        <v>0</v>
      </c>
      <c r="FK101" s="72">
        <v>0</v>
      </c>
      <c r="FL101" s="72">
        <v>0</v>
      </c>
      <c r="FM101" s="72">
        <v>0</v>
      </c>
      <c r="FN101" s="72">
        <v>0</v>
      </c>
      <c r="FO101" s="72">
        <v>0</v>
      </c>
      <c r="FP101" s="72">
        <v>0</v>
      </c>
      <c r="FQ101" s="72">
        <v>0</v>
      </c>
      <c r="FR101" s="72">
        <v>0</v>
      </c>
      <c r="FS101" s="72">
        <v>0</v>
      </c>
      <c r="FT101" s="72">
        <v>0</v>
      </c>
      <c r="FU101" s="72">
        <v>0</v>
      </c>
      <c r="FV101" s="74">
        <v>113.40471428797755</v>
      </c>
      <c r="FW101" s="74">
        <v>151.40479515046093</v>
      </c>
      <c r="FX101" s="74">
        <v>189.27208036142378</v>
      </c>
      <c r="FY101" s="74">
        <v>206.34855962076674</v>
      </c>
      <c r="FZ101" s="74">
        <v>274.05638554600887</v>
      </c>
      <c r="GA101" s="74">
        <v>247.63726128165573</v>
      </c>
      <c r="GB101" s="74">
        <v>248.12172379439988</v>
      </c>
      <c r="GC101" s="74">
        <v>382.39242921297745</v>
      </c>
      <c r="GD101" s="74">
        <v>604.88010589320868</v>
      </c>
      <c r="GE101" s="74">
        <v>206.34479705877138</v>
      </c>
      <c r="GF101" s="74">
        <v>159.73328733136282</v>
      </c>
      <c r="GG101" s="74">
        <v>178.15021882313448</v>
      </c>
      <c r="GH101" s="74">
        <v>303.3978152417975</v>
      </c>
      <c r="GI101" s="74">
        <v>318.8201067891207</v>
      </c>
      <c r="GJ101" s="72">
        <v>0</v>
      </c>
      <c r="GK101" s="72">
        <v>0</v>
      </c>
      <c r="GL101" s="72">
        <v>0</v>
      </c>
      <c r="GM101" s="72">
        <v>0</v>
      </c>
      <c r="GN101" s="72">
        <v>0</v>
      </c>
      <c r="GO101" s="72">
        <v>0</v>
      </c>
      <c r="GP101" s="72">
        <v>133.29889680460906</v>
      </c>
      <c r="GQ101" s="72">
        <v>6253.9595513690965</v>
      </c>
      <c r="GR101" s="72">
        <f t="shared" si="1"/>
        <v>46498.183101640941</v>
      </c>
      <c r="GS101" s="72">
        <f>SUM(CT$5:CT$202)</f>
        <v>46498.183101640963</v>
      </c>
      <c r="GT101" s="73">
        <v>0</v>
      </c>
    </row>
    <row r="102" spans="1:202" outlineLevel="1" x14ac:dyDescent="0.2">
      <c r="A102" s="66" t="s">
        <v>839</v>
      </c>
      <c r="B102" s="72">
        <v>1588.9585234980677</v>
      </c>
      <c r="C102" s="72">
        <v>140.21605834409468</v>
      </c>
      <c r="D102" s="72">
        <v>118.98312168595922</v>
      </c>
      <c r="E102" s="72">
        <v>13.267086136287643</v>
      </c>
      <c r="F102" s="72">
        <v>6.3466322284592103</v>
      </c>
      <c r="G102" s="72">
        <v>114.57831960026786</v>
      </c>
      <c r="H102" s="72">
        <v>199.36084388604826</v>
      </c>
      <c r="I102" s="72">
        <v>5873.8513037539906</v>
      </c>
      <c r="J102" s="72">
        <v>1142.476968606554</v>
      </c>
      <c r="K102" s="72">
        <v>177.82412991422103</v>
      </c>
      <c r="L102" s="72">
        <v>125.22505877350264</v>
      </c>
      <c r="M102" s="72">
        <v>37.415432974796985</v>
      </c>
      <c r="N102" s="72">
        <v>42.381302086989344</v>
      </c>
      <c r="O102" s="72">
        <v>487.91679604945693</v>
      </c>
      <c r="P102" s="72">
        <v>31362.770194835353</v>
      </c>
      <c r="Q102" s="72">
        <v>24992.470854094849</v>
      </c>
      <c r="R102" s="72">
        <v>107.48768907922104</v>
      </c>
      <c r="S102" s="72">
        <v>116.87395011848261</v>
      </c>
      <c r="T102" s="72">
        <v>2342.7304655327848</v>
      </c>
      <c r="U102" s="72">
        <v>17.779899993144976</v>
      </c>
      <c r="V102" s="72">
        <v>2463.2877765102353</v>
      </c>
      <c r="W102" s="72">
        <v>110.74186944410209</v>
      </c>
      <c r="X102" s="72">
        <v>401.31208648301669</v>
      </c>
      <c r="Y102" s="72">
        <v>41.218942186468574</v>
      </c>
      <c r="Z102" s="72">
        <v>158.16182030417986</v>
      </c>
      <c r="AA102" s="72">
        <v>883.79151165900225</v>
      </c>
      <c r="AB102" s="72">
        <v>199.34451772288637</v>
      </c>
      <c r="AC102" s="72">
        <v>27.27233474134945</v>
      </c>
      <c r="AD102" s="72">
        <v>105.31878374273933</v>
      </c>
      <c r="AE102" s="72">
        <v>521.05380345742367</v>
      </c>
      <c r="AF102" s="72">
        <v>40.45225480832034</v>
      </c>
      <c r="AG102" s="72">
        <v>93.7888524996618</v>
      </c>
      <c r="AH102" s="72">
        <v>155.06937805657549</v>
      </c>
      <c r="AI102" s="72">
        <v>247.08605472644268</v>
      </c>
      <c r="AJ102" s="72">
        <v>261.65088032601454</v>
      </c>
      <c r="AK102" s="72">
        <v>615.92178035376878</v>
      </c>
      <c r="AL102" s="72">
        <v>853.74427438231885</v>
      </c>
      <c r="AM102" s="72">
        <v>1349.2869133607353</v>
      </c>
      <c r="AN102" s="72">
        <v>397.07694188840236</v>
      </c>
      <c r="AO102" s="72">
        <v>579.23190635126116</v>
      </c>
      <c r="AP102" s="72">
        <v>229.0091225547273</v>
      </c>
      <c r="AQ102" s="72">
        <v>3.6061632888450261</v>
      </c>
      <c r="AR102" s="72">
        <v>345.56164708816806</v>
      </c>
      <c r="AS102" s="72">
        <v>927.06423296791206</v>
      </c>
      <c r="AT102" s="72">
        <v>151.34029811589798</v>
      </c>
      <c r="AU102" s="72">
        <v>381.0066757636892</v>
      </c>
      <c r="AV102" s="72">
        <v>165.33821989954785</v>
      </c>
      <c r="AW102" s="72">
        <v>333.78754370374048</v>
      </c>
      <c r="AX102" s="72">
        <v>182.50832508785257</v>
      </c>
      <c r="AY102" s="72">
        <v>31.928040710174287</v>
      </c>
      <c r="AZ102" s="72">
        <v>107.51352365167472</v>
      </c>
      <c r="BA102" s="72">
        <v>29.601831560495103</v>
      </c>
      <c r="BB102" s="72">
        <v>685.44075417303316</v>
      </c>
      <c r="BC102" s="72">
        <v>816.73975778251861</v>
      </c>
      <c r="BD102" s="72">
        <v>2125.0256222211451</v>
      </c>
      <c r="BE102" s="72">
        <v>725.05633291351478</v>
      </c>
      <c r="BF102" s="72">
        <v>24.752779230718463</v>
      </c>
      <c r="BG102" s="72">
        <v>164.48070758317681</v>
      </c>
      <c r="BH102" s="72">
        <v>85.820828908873438</v>
      </c>
      <c r="BI102" s="72">
        <v>19.359043486403266</v>
      </c>
      <c r="BJ102" s="72">
        <v>4478.173997045149</v>
      </c>
      <c r="BK102" s="72">
        <v>0</v>
      </c>
      <c r="BL102" s="72">
        <v>0</v>
      </c>
      <c r="BM102" s="72">
        <v>0</v>
      </c>
      <c r="BN102" s="72">
        <v>0</v>
      </c>
      <c r="BO102" s="72">
        <v>0</v>
      </c>
      <c r="BP102" s="72">
        <v>0</v>
      </c>
      <c r="BQ102" s="72">
        <v>0</v>
      </c>
      <c r="BR102" s="72">
        <v>0</v>
      </c>
      <c r="BS102" s="72">
        <v>0</v>
      </c>
      <c r="BT102" s="72">
        <v>0</v>
      </c>
      <c r="BU102" s="72">
        <v>0</v>
      </c>
      <c r="BV102" s="72">
        <v>0</v>
      </c>
      <c r="BW102" s="72">
        <v>0</v>
      </c>
      <c r="BX102" s="72">
        <v>0</v>
      </c>
      <c r="BY102" s="72">
        <v>0</v>
      </c>
      <c r="BZ102" s="72">
        <v>0</v>
      </c>
      <c r="CA102" s="72">
        <v>0</v>
      </c>
      <c r="CB102" s="72">
        <v>0</v>
      </c>
      <c r="CC102" s="72">
        <v>0</v>
      </c>
      <c r="CD102" s="72">
        <v>0</v>
      </c>
      <c r="CE102" s="72">
        <v>0</v>
      </c>
      <c r="CF102" s="72">
        <v>0</v>
      </c>
      <c r="CG102" s="72">
        <v>0</v>
      </c>
      <c r="CH102" s="72">
        <v>0</v>
      </c>
      <c r="CI102" s="72">
        <v>0</v>
      </c>
      <c r="CJ102" s="72">
        <v>0</v>
      </c>
      <c r="CK102" s="72">
        <v>0</v>
      </c>
      <c r="CL102" s="72">
        <v>0</v>
      </c>
      <c r="CM102" s="72">
        <v>0</v>
      </c>
      <c r="CN102" s="72">
        <v>0</v>
      </c>
      <c r="CO102" s="72">
        <v>0</v>
      </c>
      <c r="CP102" s="72">
        <v>0</v>
      </c>
      <c r="CQ102" s="72">
        <v>0</v>
      </c>
      <c r="CR102" s="72">
        <v>0</v>
      </c>
      <c r="CS102" s="72">
        <v>0</v>
      </c>
      <c r="CT102" s="72">
        <v>0</v>
      </c>
      <c r="CU102" s="72">
        <v>0</v>
      </c>
      <c r="CV102" s="72">
        <v>0</v>
      </c>
      <c r="CW102" s="72">
        <v>0</v>
      </c>
      <c r="CX102" s="72">
        <v>0</v>
      </c>
      <c r="CY102" s="72">
        <v>0</v>
      </c>
      <c r="CZ102" s="72">
        <v>0</v>
      </c>
      <c r="DA102" s="72">
        <v>0</v>
      </c>
      <c r="DB102" s="72">
        <v>0</v>
      </c>
      <c r="DC102" s="72">
        <v>0</v>
      </c>
      <c r="DD102" s="72">
        <v>0</v>
      </c>
      <c r="DE102" s="72">
        <v>0</v>
      </c>
      <c r="DF102" s="72">
        <v>0</v>
      </c>
      <c r="DG102" s="72">
        <v>0</v>
      </c>
      <c r="DH102" s="72">
        <v>0</v>
      </c>
      <c r="DI102" s="72">
        <v>0</v>
      </c>
      <c r="DJ102" s="72">
        <v>0</v>
      </c>
      <c r="DK102" s="72">
        <v>0</v>
      </c>
      <c r="DL102" s="72">
        <v>0</v>
      </c>
      <c r="DM102" s="72">
        <v>0</v>
      </c>
      <c r="DN102" s="72">
        <v>0</v>
      </c>
      <c r="DO102" s="72">
        <v>0</v>
      </c>
      <c r="DP102" s="72">
        <v>0</v>
      </c>
      <c r="DQ102" s="72">
        <v>0</v>
      </c>
      <c r="DR102" s="72">
        <v>0</v>
      </c>
      <c r="DS102" s="72">
        <v>0</v>
      </c>
      <c r="DT102" s="72">
        <v>0</v>
      </c>
      <c r="DU102" s="72">
        <v>0</v>
      </c>
      <c r="DV102" s="72">
        <v>0</v>
      </c>
      <c r="DW102" s="72">
        <v>0</v>
      </c>
      <c r="DX102" s="72">
        <v>0</v>
      </c>
      <c r="DY102" s="72">
        <v>0</v>
      </c>
      <c r="DZ102" s="72">
        <v>0</v>
      </c>
      <c r="EA102" s="72">
        <v>0</v>
      </c>
      <c r="EB102" s="72">
        <v>0</v>
      </c>
      <c r="EC102" s="72">
        <v>0</v>
      </c>
      <c r="ED102" s="72">
        <v>0</v>
      </c>
      <c r="EE102" s="72">
        <v>0</v>
      </c>
      <c r="EF102" s="72">
        <v>0</v>
      </c>
      <c r="EG102" s="72">
        <v>0</v>
      </c>
      <c r="EH102" s="72">
        <v>0</v>
      </c>
      <c r="EI102" s="72">
        <v>0</v>
      </c>
      <c r="EJ102" s="72">
        <v>0</v>
      </c>
      <c r="EK102" s="72">
        <v>0</v>
      </c>
      <c r="EL102" s="72">
        <v>0</v>
      </c>
      <c r="EM102" s="72">
        <v>0</v>
      </c>
      <c r="EN102" s="72">
        <v>0</v>
      </c>
      <c r="EO102" s="72">
        <v>0</v>
      </c>
      <c r="EP102" s="72">
        <v>0</v>
      </c>
      <c r="EQ102" s="72">
        <v>0</v>
      </c>
      <c r="ER102" s="72">
        <v>0</v>
      </c>
      <c r="ES102" s="72">
        <v>0</v>
      </c>
      <c r="ET102" s="72">
        <v>0</v>
      </c>
      <c r="EU102" s="72">
        <v>0</v>
      </c>
      <c r="EV102" s="72">
        <v>0</v>
      </c>
      <c r="EW102" s="72">
        <v>0</v>
      </c>
      <c r="EX102" s="72">
        <v>0</v>
      </c>
      <c r="EY102" s="72">
        <v>0</v>
      </c>
      <c r="EZ102" s="72">
        <v>0</v>
      </c>
      <c r="FA102" s="72">
        <v>0</v>
      </c>
      <c r="FB102" s="72">
        <v>0</v>
      </c>
      <c r="FC102" s="72">
        <v>0</v>
      </c>
      <c r="FD102" s="72">
        <v>0</v>
      </c>
      <c r="FE102" s="72">
        <v>0</v>
      </c>
      <c r="FF102" s="72">
        <v>0</v>
      </c>
      <c r="FG102" s="72">
        <v>0</v>
      </c>
      <c r="FH102" s="72">
        <v>0</v>
      </c>
      <c r="FI102" s="72">
        <v>0</v>
      </c>
      <c r="FJ102" s="72">
        <v>0</v>
      </c>
      <c r="FK102" s="72">
        <v>0</v>
      </c>
      <c r="FL102" s="72">
        <v>0</v>
      </c>
      <c r="FM102" s="72">
        <v>0</v>
      </c>
      <c r="FN102" s="72">
        <v>0</v>
      </c>
      <c r="FO102" s="72">
        <v>0</v>
      </c>
      <c r="FP102" s="72">
        <v>0</v>
      </c>
      <c r="FQ102" s="72">
        <v>0</v>
      </c>
      <c r="FR102" s="72">
        <v>0</v>
      </c>
      <c r="FS102" s="72">
        <v>0</v>
      </c>
      <c r="FT102" s="72">
        <v>0</v>
      </c>
      <c r="FU102" s="72">
        <v>0</v>
      </c>
      <c r="FV102" s="74">
        <v>799.46239051806219</v>
      </c>
      <c r="FW102" s="74">
        <v>1515.8784491345407</v>
      </c>
      <c r="FX102" s="74">
        <v>1446.2767890426435</v>
      </c>
      <c r="FY102" s="74">
        <v>1628.8613588987025</v>
      </c>
      <c r="FZ102" s="74">
        <v>1479.4603505588266</v>
      </c>
      <c r="GA102" s="74">
        <v>1742.1080430536267</v>
      </c>
      <c r="GB102" s="74">
        <v>1759.6607013989633</v>
      </c>
      <c r="GC102" s="74">
        <v>2005.3218629282155</v>
      </c>
      <c r="GD102" s="74">
        <v>2695.1623083293234</v>
      </c>
      <c r="GE102" s="74">
        <v>723.40756853828486</v>
      </c>
      <c r="GF102" s="74">
        <v>639.57395780675904</v>
      </c>
      <c r="GG102" s="74">
        <v>526.38534121987402</v>
      </c>
      <c r="GH102" s="74">
        <v>667.37367022255148</v>
      </c>
      <c r="GI102" s="74">
        <v>724.81372000278702</v>
      </c>
      <c r="GJ102" s="72">
        <v>0</v>
      </c>
      <c r="GK102" s="72">
        <v>0</v>
      </c>
      <c r="GL102" s="72">
        <v>0</v>
      </c>
      <c r="GM102" s="72">
        <v>0</v>
      </c>
      <c r="GN102" s="72">
        <v>0</v>
      </c>
      <c r="GO102" s="72">
        <v>0</v>
      </c>
      <c r="GP102" s="72">
        <v>-130.177721106067</v>
      </c>
      <c r="GQ102" s="72">
        <v>20363.163606610826</v>
      </c>
      <c r="GR102" s="72">
        <f t="shared" si="1"/>
        <v>129113.57515909267</v>
      </c>
      <c r="GS102" s="72">
        <f>SUM(CU$5:CU$202)</f>
        <v>129113.57515909255</v>
      </c>
      <c r="GT102" s="73">
        <v>1.1641532182693481E-10</v>
      </c>
    </row>
    <row r="103" spans="1:202" outlineLevel="1" x14ac:dyDescent="0.2">
      <c r="A103" s="66" t="s">
        <v>844</v>
      </c>
      <c r="B103" s="72">
        <v>0</v>
      </c>
      <c r="C103" s="72">
        <v>3.7806852783449552</v>
      </c>
      <c r="D103" s="72">
        <v>1.2599538748123567</v>
      </c>
      <c r="E103" s="72">
        <v>7.786662701693988</v>
      </c>
      <c r="F103" s="72">
        <v>3.7979268280606289</v>
      </c>
      <c r="G103" s="72">
        <v>15.572242016249991</v>
      </c>
      <c r="H103" s="72">
        <v>7.699098447667108</v>
      </c>
      <c r="I103" s="72">
        <v>91.880746561640777</v>
      </c>
      <c r="J103" s="72">
        <v>10.433115594523132</v>
      </c>
      <c r="K103" s="72">
        <v>18.163213845114324</v>
      </c>
      <c r="L103" s="72">
        <v>78.82325497271114</v>
      </c>
      <c r="M103" s="72">
        <v>1.5403447558070578</v>
      </c>
      <c r="N103" s="72">
        <v>1.874208861259423</v>
      </c>
      <c r="O103" s="72">
        <v>10.884125090863323</v>
      </c>
      <c r="P103" s="72">
        <v>14.876852128585243</v>
      </c>
      <c r="Q103" s="72">
        <v>585.59916203443947</v>
      </c>
      <c r="R103" s="72">
        <v>6.4255881636339121</v>
      </c>
      <c r="S103" s="72">
        <v>9.6953726737480981</v>
      </c>
      <c r="T103" s="72">
        <v>99.592055279423789</v>
      </c>
      <c r="U103" s="72">
        <v>6.0567563462141276</v>
      </c>
      <c r="V103" s="72">
        <v>18.053938942861151</v>
      </c>
      <c r="W103" s="72">
        <v>4.6483757651248663</v>
      </c>
      <c r="X103" s="72">
        <v>15.470344642529854</v>
      </c>
      <c r="Y103" s="72">
        <v>7.820791202207408</v>
      </c>
      <c r="Z103" s="72">
        <v>32.369934243500765</v>
      </c>
      <c r="AA103" s="72">
        <v>44.175785728131359</v>
      </c>
      <c r="AB103" s="72">
        <v>15.674996981984128</v>
      </c>
      <c r="AC103" s="72">
        <v>3.7483813223626479</v>
      </c>
      <c r="AD103" s="72">
        <v>5.9413551717684374</v>
      </c>
      <c r="AE103" s="72">
        <v>15.531286502220397</v>
      </c>
      <c r="AF103" s="72">
        <v>10.168951791502323</v>
      </c>
      <c r="AG103" s="72">
        <v>8.0710502581741377</v>
      </c>
      <c r="AH103" s="72">
        <v>11.131000496024225</v>
      </c>
      <c r="AI103" s="72">
        <v>572.16375759912899</v>
      </c>
      <c r="AJ103" s="72">
        <v>665.58009755053592</v>
      </c>
      <c r="AK103" s="72">
        <v>168.624332613082</v>
      </c>
      <c r="AL103" s="72">
        <v>364.23477366210756</v>
      </c>
      <c r="AM103" s="72">
        <v>460.90426277254124</v>
      </c>
      <c r="AN103" s="72">
        <v>208.09806046675632</v>
      </c>
      <c r="AO103" s="72">
        <v>210.2612975598318</v>
      </c>
      <c r="AP103" s="72">
        <v>92.092820426460463</v>
      </c>
      <c r="AQ103" s="72">
        <v>2.1109910683816087</v>
      </c>
      <c r="AR103" s="72">
        <v>469.21121499008245</v>
      </c>
      <c r="AS103" s="72">
        <v>75.128454757947651</v>
      </c>
      <c r="AT103" s="72">
        <v>75.718280522252059</v>
      </c>
      <c r="AU103" s="72">
        <v>522.2378568221892</v>
      </c>
      <c r="AV103" s="72">
        <v>0</v>
      </c>
      <c r="AW103" s="72">
        <v>423.86098721279478</v>
      </c>
      <c r="AX103" s="72">
        <v>96.190321113975955</v>
      </c>
      <c r="AY103" s="72">
        <v>19.190597300250012</v>
      </c>
      <c r="AZ103" s="72">
        <v>46.536226026510711</v>
      </c>
      <c r="BA103" s="72">
        <v>17.927599046954292</v>
      </c>
      <c r="BB103" s="72">
        <v>980.14978425685479</v>
      </c>
      <c r="BC103" s="72">
        <v>5703.7006036823059</v>
      </c>
      <c r="BD103" s="72">
        <v>15224.038203692791</v>
      </c>
      <c r="BE103" s="72">
        <v>565.15280937716682</v>
      </c>
      <c r="BF103" s="72">
        <v>20.377451013729395</v>
      </c>
      <c r="BG103" s="72">
        <v>335.70150202769429</v>
      </c>
      <c r="BH103" s="72">
        <v>3756.4017251236401</v>
      </c>
      <c r="BI103" s="72">
        <v>10.612289321413433</v>
      </c>
      <c r="BJ103" s="72">
        <v>4435.2825045000527</v>
      </c>
      <c r="BK103" s="72">
        <v>0</v>
      </c>
      <c r="BL103" s="72">
        <v>0</v>
      </c>
      <c r="BM103" s="72">
        <v>0</v>
      </c>
      <c r="BN103" s="72">
        <v>0</v>
      </c>
      <c r="BO103" s="72">
        <v>0</v>
      </c>
      <c r="BP103" s="72">
        <v>0</v>
      </c>
      <c r="BQ103" s="72">
        <v>0</v>
      </c>
      <c r="BR103" s="72">
        <v>0</v>
      </c>
      <c r="BS103" s="72">
        <v>0</v>
      </c>
      <c r="BT103" s="72">
        <v>0</v>
      </c>
      <c r="BU103" s="72">
        <v>0</v>
      </c>
      <c r="BV103" s="72">
        <v>0</v>
      </c>
      <c r="BW103" s="72">
        <v>0</v>
      </c>
      <c r="BX103" s="72">
        <v>0</v>
      </c>
      <c r="BY103" s="72">
        <v>0</v>
      </c>
      <c r="BZ103" s="72">
        <v>0</v>
      </c>
      <c r="CA103" s="72">
        <v>0</v>
      </c>
      <c r="CB103" s="72">
        <v>0</v>
      </c>
      <c r="CC103" s="72">
        <v>0</v>
      </c>
      <c r="CD103" s="72">
        <v>0</v>
      </c>
      <c r="CE103" s="72">
        <v>0</v>
      </c>
      <c r="CF103" s="72">
        <v>0</v>
      </c>
      <c r="CG103" s="72">
        <v>0</v>
      </c>
      <c r="CH103" s="72">
        <v>0</v>
      </c>
      <c r="CI103" s="72">
        <v>0</v>
      </c>
      <c r="CJ103" s="72">
        <v>0</v>
      </c>
      <c r="CK103" s="72">
        <v>0</v>
      </c>
      <c r="CL103" s="72">
        <v>0</v>
      </c>
      <c r="CM103" s="72">
        <v>0</v>
      </c>
      <c r="CN103" s="72">
        <v>0</v>
      </c>
      <c r="CO103" s="72">
        <v>0</v>
      </c>
      <c r="CP103" s="72">
        <v>0</v>
      </c>
      <c r="CQ103" s="72">
        <v>0</v>
      </c>
      <c r="CR103" s="72">
        <v>0</v>
      </c>
      <c r="CS103" s="72">
        <v>0</v>
      </c>
      <c r="CT103" s="72">
        <v>0</v>
      </c>
      <c r="CU103" s="72">
        <v>0</v>
      </c>
      <c r="CV103" s="72">
        <v>0</v>
      </c>
      <c r="CW103" s="72">
        <v>0</v>
      </c>
      <c r="CX103" s="72">
        <v>0</v>
      </c>
      <c r="CY103" s="72">
        <v>0</v>
      </c>
      <c r="CZ103" s="72">
        <v>0</v>
      </c>
      <c r="DA103" s="72">
        <v>0</v>
      </c>
      <c r="DB103" s="72">
        <v>0</v>
      </c>
      <c r="DC103" s="72">
        <v>0</v>
      </c>
      <c r="DD103" s="72">
        <v>0</v>
      </c>
      <c r="DE103" s="72">
        <v>0</v>
      </c>
      <c r="DF103" s="72">
        <v>0</v>
      </c>
      <c r="DG103" s="72">
        <v>0</v>
      </c>
      <c r="DH103" s="72">
        <v>0</v>
      </c>
      <c r="DI103" s="72">
        <v>0</v>
      </c>
      <c r="DJ103" s="72">
        <v>0</v>
      </c>
      <c r="DK103" s="72">
        <v>0</v>
      </c>
      <c r="DL103" s="72">
        <v>0</v>
      </c>
      <c r="DM103" s="72">
        <v>0</v>
      </c>
      <c r="DN103" s="72">
        <v>0</v>
      </c>
      <c r="DO103" s="72">
        <v>0</v>
      </c>
      <c r="DP103" s="72">
        <v>0</v>
      </c>
      <c r="DQ103" s="72">
        <v>0</v>
      </c>
      <c r="DR103" s="72">
        <v>0</v>
      </c>
      <c r="DS103" s="72">
        <v>0</v>
      </c>
      <c r="DT103" s="72">
        <v>0</v>
      </c>
      <c r="DU103" s="72">
        <v>0</v>
      </c>
      <c r="DV103" s="72">
        <v>0</v>
      </c>
      <c r="DW103" s="72">
        <v>0</v>
      </c>
      <c r="DX103" s="72">
        <v>0</v>
      </c>
      <c r="DY103" s="72">
        <v>0</v>
      </c>
      <c r="DZ103" s="72">
        <v>0</v>
      </c>
      <c r="EA103" s="72">
        <v>0</v>
      </c>
      <c r="EB103" s="72">
        <v>0</v>
      </c>
      <c r="EC103" s="72">
        <v>0</v>
      </c>
      <c r="ED103" s="72">
        <v>0</v>
      </c>
      <c r="EE103" s="72">
        <v>0</v>
      </c>
      <c r="EF103" s="72">
        <v>0</v>
      </c>
      <c r="EG103" s="72">
        <v>0</v>
      </c>
      <c r="EH103" s="72">
        <v>0</v>
      </c>
      <c r="EI103" s="72">
        <v>0</v>
      </c>
      <c r="EJ103" s="72">
        <v>0</v>
      </c>
      <c r="EK103" s="72">
        <v>0</v>
      </c>
      <c r="EL103" s="72">
        <v>0</v>
      </c>
      <c r="EM103" s="72">
        <v>0</v>
      </c>
      <c r="EN103" s="72">
        <v>0</v>
      </c>
      <c r="EO103" s="72">
        <v>0</v>
      </c>
      <c r="EP103" s="72">
        <v>0</v>
      </c>
      <c r="EQ103" s="72">
        <v>0</v>
      </c>
      <c r="ER103" s="72">
        <v>0</v>
      </c>
      <c r="ES103" s="72">
        <v>0</v>
      </c>
      <c r="ET103" s="72">
        <v>0</v>
      </c>
      <c r="EU103" s="72">
        <v>0</v>
      </c>
      <c r="EV103" s="72">
        <v>0</v>
      </c>
      <c r="EW103" s="72">
        <v>0</v>
      </c>
      <c r="EX103" s="72">
        <v>0</v>
      </c>
      <c r="EY103" s="72">
        <v>0</v>
      </c>
      <c r="EZ103" s="72">
        <v>0</v>
      </c>
      <c r="FA103" s="72">
        <v>0</v>
      </c>
      <c r="FB103" s="72">
        <v>0</v>
      </c>
      <c r="FC103" s="72">
        <v>0</v>
      </c>
      <c r="FD103" s="72">
        <v>0</v>
      </c>
      <c r="FE103" s="72">
        <v>0</v>
      </c>
      <c r="FF103" s="72">
        <v>0</v>
      </c>
      <c r="FG103" s="72">
        <v>0</v>
      </c>
      <c r="FH103" s="72">
        <v>0</v>
      </c>
      <c r="FI103" s="72">
        <v>0</v>
      </c>
      <c r="FJ103" s="72">
        <v>0</v>
      </c>
      <c r="FK103" s="72">
        <v>0</v>
      </c>
      <c r="FL103" s="72">
        <v>0</v>
      </c>
      <c r="FM103" s="72">
        <v>0</v>
      </c>
      <c r="FN103" s="72">
        <v>0</v>
      </c>
      <c r="FO103" s="72">
        <v>0</v>
      </c>
      <c r="FP103" s="72">
        <v>0</v>
      </c>
      <c r="FQ103" s="72">
        <v>0</v>
      </c>
      <c r="FR103" s="72">
        <v>0</v>
      </c>
      <c r="FS103" s="72">
        <v>0</v>
      </c>
      <c r="FT103" s="72">
        <v>0</v>
      </c>
      <c r="FU103" s="72">
        <v>0</v>
      </c>
      <c r="FV103" s="74">
        <v>25.101755861380092</v>
      </c>
      <c r="FW103" s="74">
        <v>50.209326624624467</v>
      </c>
      <c r="FX103" s="74">
        <v>104.07130120377342</v>
      </c>
      <c r="FY103" s="74">
        <v>191.56597030161763</v>
      </c>
      <c r="FZ103" s="74">
        <v>221.49559108403807</v>
      </c>
      <c r="GA103" s="74">
        <v>536.4319098140395</v>
      </c>
      <c r="GB103" s="74">
        <v>818.55372541869394</v>
      </c>
      <c r="GC103" s="74">
        <v>968.46431412341349</v>
      </c>
      <c r="GD103" s="74">
        <v>1897.3271664693473</v>
      </c>
      <c r="GE103" s="74">
        <v>572.36847634298363</v>
      </c>
      <c r="GF103" s="74">
        <v>468.79730158802658</v>
      </c>
      <c r="GG103" s="74">
        <v>721.84642782162246</v>
      </c>
      <c r="GH103" s="74">
        <v>876.31007710224503</v>
      </c>
      <c r="GI103" s="74">
        <v>1170.935122848314</v>
      </c>
      <c r="GJ103" s="72">
        <v>0</v>
      </c>
      <c r="GK103" s="72">
        <v>0</v>
      </c>
      <c r="GL103" s="72">
        <v>0</v>
      </c>
      <c r="GM103" s="72">
        <v>0</v>
      </c>
      <c r="GN103" s="72">
        <v>0</v>
      </c>
      <c r="GO103" s="72">
        <v>0</v>
      </c>
      <c r="GP103" s="72">
        <v>-224.80050024625916</v>
      </c>
      <c r="GQ103" s="72">
        <v>1636.0867295262922</v>
      </c>
      <c r="GR103" s="72">
        <f t="shared" si="1"/>
        <v>46724.801058894765</v>
      </c>
      <c r="GS103" s="72">
        <f>SUM(CV$5:CV$202)</f>
        <v>46724.801058894765</v>
      </c>
      <c r="GT103" s="73">
        <v>0</v>
      </c>
    </row>
    <row r="104" spans="1:202" outlineLevel="1" x14ac:dyDescent="0.2">
      <c r="A104" s="66" t="s">
        <v>1506</v>
      </c>
      <c r="B104" s="72">
        <v>0</v>
      </c>
      <c r="C104" s="72">
        <v>0</v>
      </c>
      <c r="D104" s="72">
        <v>0</v>
      </c>
      <c r="E104" s="72">
        <v>0</v>
      </c>
      <c r="F104" s="72">
        <v>0</v>
      </c>
      <c r="G104" s="72">
        <v>0</v>
      </c>
      <c r="H104" s="72">
        <v>0</v>
      </c>
      <c r="I104" s="72">
        <v>0</v>
      </c>
      <c r="J104" s="72">
        <v>0</v>
      </c>
      <c r="K104" s="72">
        <v>0</v>
      </c>
      <c r="L104" s="72">
        <v>0</v>
      </c>
      <c r="M104" s="72">
        <v>0</v>
      </c>
      <c r="N104" s="72">
        <v>0</v>
      </c>
      <c r="O104" s="72">
        <v>222.69335149099442</v>
      </c>
      <c r="P104" s="72">
        <v>0</v>
      </c>
      <c r="Q104" s="72">
        <v>0</v>
      </c>
      <c r="R104" s="72">
        <v>35005.032122527569</v>
      </c>
      <c r="S104" s="72">
        <v>251.9988483021485</v>
      </c>
      <c r="T104" s="72">
        <v>741.92610947936419</v>
      </c>
      <c r="U104" s="72">
        <v>3.7132261075192496</v>
      </c>
      <c r="V104" s="72">
        <v>0.91311841116165082</v>
      </c>
      <c r="W104" s="72">
        <v>0</v>
      </c>
      <c r="X104" s="72">
        <v>71.871505122888692</v>
      </c>
      <c r="Y104" s="72">
        <v>4138.6521876428314</v>
      </c>
      <c r="Z104" s="72">
        <v>2.0666477842618907</v>
      </c>
      <c r="AA104" s="72">
        <v>0</v>
      </c>
      <c r="AB104" s="72">
        <v>282.99603901419272</v>
      </c>
      <c r="AC104" s="72">
        <v>0</v>
      </c>
      <c r="AD104" s="72">
        <v>0</v>
      </c>
      <c r="AE104" s="72">
        <v>0</v>
      </c>
      <c r="AF104" s="72">
        <v>0</v>
      </c>
      <c r="AG104" s="72">
        <v>5.4180261580858291</v>
      </c>
      <c r="AH104" s="72">
        <v>0</v>
      </c>
      <c r="AI104" s="72">
        <v>19568.629547536548</v>
      </c>
      <c r="AJ104" s="72">
        <v>0</v>
      </c>
      <c r="AK104" s="72">
        <v>0</v>
      </c>
      <c r="AL104" s="72">
        <v>0</v>
      </c>
      <c r="AM104" s="72">
        <v>0</v>
      </c>
      <c r="AN104" s="72">
        <v>0</v>
      </c>
      <c r="AO104" s="72">
        <v>306.63002014325104</v>
      </c>
      <c r="AP104" s="72">
        <v>0</v>
      </c>
      <c r="AQ104" s="72">
        <v>0</v>
      </c>
      <c r="AR104" s="72">
        <v>0</v>
      </c>
      <c r="AS104" s="72">
        <v>0</v>
      </c>
      <c r="AT104" s="72">
        <v>0</v>
      </c>
      <c r="AU104" s="72">
        <v>0</v>
      </c>
      <c r="AV104" s="72">
        <v>0</v>
      </c>
      <c r="AW104" s="72">
        <v>0</v>
      </c>
      <c r="AX104" s="72">
        <v>0</v>
      </c>
      <c r="AY104" s="72">
        <v>0</v>
      </c>
      <c r="AZ104" s="72">
        <v>0</v>
      </c>
      <c r="BA104" s="72">
        <v>0</v>
      </c>
      <c r="BB104" s="72">
        <v>0</v>
      </c>
      <c r="BC104" s="72">
        <v>35.48782309806267</v>
      </c>
      <c r="BD104" s="72">
        <v>9.9630999068380617E-4</v>
      </c>
      <c r="BE104" s="72">
        <v>1.42383779392133</v>
      </c>
      <c r="BF104" s="72">
        <v>0</v>
      </c>
      <c r="BG104" s="72">
        <v>0</v>
      </c>
      <c r="BH104" s="72">
        <v>0</v>
      </c>
      <c r="BI104" s="72">
        <v>0</v>
      </c>
      <c r="BJ104" s="72">
        <v>100.07650667191498</v>
      </c>
      <c r="BK104" s="72">
        <v>0</v>
      </c>
      <c r="BL104" s="72">
        <v>0</v>
      </c>
      <c r="BM104" s="72">
        <v>0</v>
      </c>
      <c r="BN104" s="72">
        <v>0</v>
      </c>
      <c r="BO104" s="72">
        <v>0</v>
      </c>
      <c r="BP104" s="72">
        <v>0</v>
      </c>
      <c r="BQ104" s="72">
        <v>0</v>
      </c>
      <c r="BR104" s="72">
        <v>0</v>
      </c>
      <c r="BS104" s="72">
        <v>0</v>
      </c>
      <c r="BT104" s="72">
        <v>0</v>
      </c>
      <c r="BU104" s="72">
        <v>0</v>
      </c>
      <c r="BV104" s="72">
        <v>0</v>
      </c>
      <c r="BW104" s="72">
        <v>0</v>
      </c>
      <c r="BX104" s="72">
        <v>0</v>
      </c>
      <c r="BY104" s="72">
        <v>0</v>
      </c>
      <c r="BZ104" s="72">
        <v>0</v>
      </c>
      <c r="CA104" s="72">
        <v>0</v>
      </c>
      <c r="CB104" s="72">
        <v>0</v>
      </c>
      <c r="CC104" s="72">
        <v>0</v>
      </c>
      <c r="CD104" s="72">
        <v>0</v>
      </c>
      <c r="CE104" s="72">
        <v>0</v>
      </c>
      <c r="CF104" s="72">
        <v>0</v>
      </c>
      <c r="CG104" s="72">
        <v>0</v>
      </c>
      <c r="CH104" s="72">
        <v>0</v>
      </c>
      <c r="CI104" s="72">
        <v>0</v>
      </c>
      <c r="CJ104" s="72">
        <v>0</v>
      </c>
      <c r="CK104" s="72">
        <v>0</v>
      </c>
      <c r="CL104" s="72">
        <v>0</v>
      </c>
      <c r="CM104" s="72">
        <v>0</v>
      </c>
      <c r="CN104" s="72">
        <v>0</v>
      </c>
      <c r="CO104" s="72">
        <v>0</v>
      </c>
      <c r="CP104" s="72">
        <v>0</v>
      </c>
      <c r="CQ104" s="72">
        <v>0</v>
      </c>
      <c r="CR104" s="72">
        <v>0</v>
      </c>
      <c r="CS104" s="72">
        <v>0</v>
      </c>
      <c r="CT104" s="72">
        <v>0</v>
      </c>
      <c r="CU104" s="72">
        <v>0</v>
      </c>
      <c r="CV104" s="72">
        <v>0</v>
      </c>
      <c r="CW104" s="72">
        <v>0</v>
      </c>
      <c r="CX104" s="72">
        <v>0</v>
      </c>
      <c r="CY104" s="72">
        <v>0</v>
      </c>
      <c r="CZ104" s="72">
        <v>0</v>
      </c>
      <c r="DA104" s="72">
        <v>0</v>
      </c>
      <c r="DB104" s="72">
        <v>0</v>
      </c>
      <c r="DC104" s="72">
        <v>0</v>
      </c>
      <c r="DD104" s="72">
        <v>0</v>
      </c>
      <c r="DE104" s="72">
        <v>0</v>
      </c>
      <c r="DF104" s="72">
        <v>0</v>
      </c>
      <c r="DG104" s="72">
        <v>0</v>
      </c>
      <c r="DH104" s="72">
        <v>0</v>
      </c>
      <c r="DI104" s="72">
        <v>0</v>
      </c>
      <c r="DJ104" s="72">
        <v>0</v>
      </c>
      <c r="DK104" s="72">
        <v>0</v>
      </c>
      <c r="DL104" s="72">
        <v>0</v>
      </c>
      <c r="DM104" s="72">
        <v>0</v>
      </c>
      <c r="DN104" s="72">
        <v>0</v>
      </c>
      <c r="DO104" s="72">
        <v>0</v>
      </c>
      <c r="DP104" s="72">
        <v>0</v>
      </c>
      <c r="DQ104" s="72">
        <v>0</v>
      </c>
      <c r="DR104" s="72">
        <v>0</v>
      </c>
      <c r="DS104" s="72">
        <v>0</v>
      </c>
      <c r="DT104" s="72">
        <v>0</v>
      </c>
      <c r="DU104" s="72">
        <v>0</v>
      </c>
      <c r="DV104" s="72">
        <v>0</v>
      </c>
      <c r="DW104" s="72">
        <v>0</v>
      </c>
      <c r="DX104" s="72">
        <v>0</v>
      </c>
      <c r="DY104" s="72">
        <v>0</v>
      </c>
      <c r="DZ104" s="72">
        <v>0</v>
      </c>
      <c r="EA104" s="72">
        <v>0</v>
      </c>
      <c r="EB104" s="72">
        <v>0</v>
      </c>
      <c r="EC104" s="72">
        <v>0</v>
      </c>
      <c r="ED104" s="72">
        <v>0</v>
      </c>
      <c r="EE104" s="72">
        <v>0</v>
      </c>
      <c r="EF104" s="72">
        <v>0</v>
      </c>
      <c r="EG104" s="72">
        <v>0</v>
      </c>
      <c r="EH104" s="72">
        <v>0</v>
      </c>
      <c r="EI104" s="72">
        <v>0</v>
      </c>
      <c r="EJ104" s="72">
        <v>0</v>
      </c>
      <c r="EK104" s="72">
        <v>0</v>
      </c>
      <c r="EL104" s="72">
        <v>0</v>
      </c>
      <c r="EM104" s="72">
        <v>0</v>
      </c>
      <c r="EN104" s="72">
        <v>0</v>
      </c>
      <c r="EO104" s="72">
        <v>0</v>
      </c>
      <c r="EP104" s="72">
        <v>0</v>
      </c>
      <c r="EQ104" s="72">
        <v>0</v>
      </c>
      <c r="ER104" s="72">
        <v>0</v>
      </c>
      <c r="ES104" s="72">
        <v>0</v>
      </c>
      <c r="ET104" s="72">
        <v>0</v>
      </c>
      <c r="EU104" s="72">
        <v>0</v>
      </c>
      <c r="EV104" s="72">
        <v>0</v>
      </c>
      <c r="EW104" s="72">
        <v>0</v>
      </c>
      <c r="EX104" s="72">
        <v>0</v>
      </c>
      <c r="EY104" s="72">
        <v>0</v>
      </c>
      <c r="EZ104" s="72">
        <v>0</v>
      </c>
      <c r="FA104" s="72">
        <v>0</v>
      </c>
      <c r="FB104" s="72">
        <v>0</v>
      </c>
      <c r="FC104" s="72">
        <v>0</v>
      </c>
      <c r="FD104" s="72">
        <v>0</v>
      </c>
      <c r="FE104" s="72">
        <v>0</v>
      </c>
      <c r="FF104" s="72">
        <v>0</v>
      </c>
      <c r="FG104" s="72">
        <v>0</v>
      </c>
      <c r="FH104" s="72">
        <v>0</v>
      </c>
      <c r="FI104" s="72">
        <v>0</v>
      </c>
      <c r="FJ104" s="72">
        <v>0</v>
      </c>
      <c r="FK104" s="72">
        <v>0</v>
      </c>
      <c r="FL104" s="72">
        <v>0</v>
      </c>
      <c r="FM104" s="72">
        <v>0</v>
      </c>
      <c r="FN104" s="72">
        <v>0</v>
      </c>
      <c r="FO104" s="72">
        <v>0</v>
      </c>
      <c r="FP104" s="72">
        <v>0</v>
      </c>
      <c r="FQ104" s="72">
        <v>0</v>
      </c>
      <c r="FR104" s="72">
        <v>0</v>
      </c>
      <c r="FS104" s="72">
        <v>0</v>
      </c>
      <c r="FT104" s="72">
        <v>0</v>
      </c>
      <c r="FU104" s="72">
        <v>0</v>
      </c>
      <c r="FV104" s="74">
        <v>3.0879536257515516</v>
      </c>
      <c r="FW104" s="74">
        <v>5.1130692363845771</v>
      </c>
      <c r="FX104" s="74">
        <v>9.216093231937629</v>
      </c>
      <c r="FY104" s="74">
        <v>13.702110752686036</v>
      </c>
      <c r="FZ104" s="74">
        <v>15.245320216296685</v>
      </c>
      <c r="GA104" s="74">
        <v>28.634074542393879</v>
      </c>
      <c r="GB104" s="74">
        <v>40.054462760306066</v>
      </c>
      <c r="GC104" s="74">
        <v>76.310917845834126</v>
      </c>
      <c r="GD104" s="74">
        <v>147.80032588113588</v>
      </c>
      <c r="GE104" s="74">
        <v>37.767364380484729</v>
      </c>
      <c r="GF104" s="74">
        <v>39.241776869491019</v>
      </c>
      <c r="GG104" s="74">
        <v>48.386147434067183</v>
      </c>
      <c r="GH104" s="74">
        <v>52.335403818986599</v>
      </c>
      <c r="GI104" s="74">
        <v>62.725047154201981</v>
      </c>
      <c r="GJ104" s="72">
        <v>0</v>
      </c>
      <c r="GK104" s="72">
        <v>0</v>
      </c>
      <c r="GL104" s="72">
        <v>0</v>
      </c>
      <c r="GM104" s="72">
        <v>0</v>
      </c>
      <c r="GN104" s="72">
        <v>0</v>
      </c>
      <c r="GO104" s="72">
        <v>0</v>
      </c>
      <c r="GP104" s="72">
        <v>2123.0838256785919</v>
      </c>
      <c r="GQ104" s="72">
        <v>993.81657809832814</v>
      </c>
      <c r="GR104" s="72">
        <f t="shared" si="1"/>
        <v>64436.050385121584</v>
      </c>
      <c r="GS104" s="72">
        <f>SUM(CW$5:CW$202)</f>
        <v>64436.050385121584</v>
      </c>
      <c r="GT104" s="73">
        <v>0</v>
      </c>
    </row>
    <row r="105" spans="1:202" outlineLevel="1" x14ac:dyDescent="0.2">
      <c r="A105" s="66" t="s">
        <v>851</v>
      </c>
      <c r="B105" s="72">
        <v>15542.048281273319</v>
      </c>
      <c r="C105" s="72">
        <v>1247.8572180168057</v>
      </c>
      <c r="D105" s="72">
        <v>1155.7529272575739</v>
      </c>
      <c r="E105" s="72">
        <v>11249.903439353819</v>
      </c>
      <c r="F105" s="72">
        <v>3806.4062078948868</v>
      </c>
      <c r="G105" s="72">
        <v>25519.3947117467</v>
      </c>
      <c r="H105" s="72">
        <v>8457.6793506787835</v>
      </c>
      <c r="I105" s="72">
        <v>5763.9912405586856</v>
      </c>
      <c r="J105" s="72">
        <v>1888.6265824362088</v>
      </c>
      <c r="K105" s="72">
        <v>410.88797804468732</v>
      </c>
      <c r="L105" s="72">
        <v>291.52706023866335</v>
      </c>
      <c r="M105" s="72">
        <v>58.032143112533582</v>
      </c>
      <c r="N105" s="72">
        <v>16.621221900541787</v>
      </c>
      <c r="O105" s="72">
        <v>1072.7882214933529</v>
      </c>
      <c r="P105" s="72">
        <v>1472.2979059925349</v>
      </c>
      <c r="Q105" s="72">
        <v>466.11933175943591</v>
      </c>
      <c r="R105" s="72">
        <v>36647.63423922089</v>
      </c>
      <c r="S105" s="72">
        <v>8292.7363639464365</v>
      </c>
      <c r="T105" s="72">
        <v>7105.6096162404747</v>
      </c>
      <c r="U105" s="72">
        <v>2439.3911442061622</v>
      </c>
      <c r="V105" s="72">
        <v>865.55180155986545</v>
      </c>
      <c r="W105" s="72">
        <v>1064.587662551723</v>
      </c>
      <c r="X105" s="72">
        <v>1787.7477546973698</v>
      </c>
      <c r="Y105" s="72">
        <v>974.36118074830233</v>
      </c>
      <c r="Z105" s="72">
        <v>1776.7330536963088</v>
      </c>
      <c r="AA105" s="72">
        <v>1822.3595199812164</v>
      </c>
      <c r="AB105" s="72">
        <v>626.20505353444582</v>
      </c>
      <c r="AC105" s="72">
        <v>96.109271673145855</v>
      </c>
      <c r="AD105" s="72">
        <v>354.16066305278491</v>
      </c>
      <c r="AE105" s="72">
        <v>2145.4217917333863</v>
      </c>
      <c r="AF105" s="72">
        <v>107.31066005838056</v>
      </c>
      <c r="AG105" s="72">
        <v>1279.0324673164607</v>
      </c>
      <c r="AH105" s="72">
        <v>1162.47310108396</v>
      </c>
      <c r="AI105" s="72">
        <v>4755.5401159121302</v>
      </c>
      <c r="AJ105" s="72">
        <v>3468.435769964065</v>
      </c>
      <c r="AK105" s="72">
        <v>21373.88067981042</v>
      </c>
      <c r="AL105" s="72">
        <v>13142.94929003642</v>
      </c>
      <c r="AM105" s="72">
        <v>5777.3710602635319</v>
      </c>
      <c r="AN105" s="72">
        <v>4638.5716755502699</v>
      </c>
      <c r="AO105" s="72">
        <v>1281.3606104714017</v>
      </c>
      <c r="AP105" s="72">
        <v>78873.293815324098</v>
      </c>
      <c r="AQ105" s="72">
        <v>954.83078043691057</v>
      </c>
      <c r="AR105" s="72">
        <v>25799.232101813595</v>
      </c>
      <c r="AS105" s="72">
        <v>14415.053566302136</v>
      </c>
      <c r="AT105" s="72">
        <v>6987.9331412529646</v>
      </c>
      <c r="AU105" s="72">
        <v>942.02668372073788</v>
      </c>
      <c r="AV105" s="72">
        <v>430.77811933068568</v>
      </c>
      <c r="AW105" s="72">
        <v>1525.6159680959177</v>
      </c>
      <c r="AX105" s="72">
        <v>219.35547723674662</v>
      </c>
      <c r="AY105" s="72">
        <v>916.84343966369181</v>
      </c>
      <c r="AZ105" s="72">
        <v>309.00249686751812</v>
      </c>
      <c r="BA105" s="72">
        <v>58.193579706827684</v>
      </c>
      <c r="BB105" s="72">
        <v>1885.6915537965447</v>
      </c>
      <c r="BC105" s="72">
        <v>9661.3005827226625</v>
      </c>
      <c r="BD105" s="72">
        <v>31.615708064850129</v>
      </c>
      <c r="BE105" s="72">
        <v>3838.8087416710482</v>
      </c>
      <c r="BF105" s="72">
        <v>1921.7653311083241</v>
      </c>
      <c r="BG105" s="72">
        <v>89.738939680816699</v>
      </c>
      <c r="BH105" s="72">
        <v>439.16320077238009</v>
      </c>
      <c r="BI105" s="72">
        <v>277.122305779329</v>
      </c>
      <c r="BJ105" s="72">
        <v>47479.977698424198</v>
      </c>
      <c r="BK105" s="72">
        <v>0</v>
      </c>
      <c r="BL105" s="72">
        <v>0</v>
      </c>
      <c r="BM105" s="72">
        <v>0</v>
      </c>
      <c r="BN105" s="72">
        <v>0</v>
      </c>
      <c r="BO105" s="72">
        <v>0</v>
      </c>
      <c r="BP105" s="72">
        <v>0</v>
      </c>
      <c r="BQ105" s="72">
        <v>0</v>
      </c>
      <c r="BR105" s="72">
        <v>0</v>
      </c>
      <c r="BS105" s="72">
        <v>0</v>
      </c>
      <c r="BT105" s="72">
        <v>0</v>
      </c>
      <c r="BU105" s="72">
        <v>0</v>
      </c>
      <c r="BV105" s="72">
        <v>0</v>
      </c>
      <c r="BW105" s="72">
        <v>0</v>
      </c>
      <c r="BX105" s="72">
        <v>0</v>
      </c>
      <c r="BY105" s="72">
        <v>0</v>
      </c>
      <c r="BZ105" s="72">
        <v>0</v>
      </c>
      <c r="CA105" s="72">
        <v>0</v>
      </c>
      <c r="CB105" s="72">
        <v>0</v>
      </c>
      <c r="CC105" s="72">
        <v>0</v>
      </c>
      <c r="CD105" s="72">
        <v>0</v>
      </c>
      <c r="CE105" s="72">
        <v>0</v>
      </c>
      <c r="CF105" s="72">
        <v>0</v>
      </c>
      <c r="CG105" s="72">
        <v>0</v>
      </c>
      <c r="CH105" s="72">
        <v>0</v>
      </c>
      <c r="CI105" s="72">
        <v>0</v>
      </c>
      <c r="CJ105" s="72">
        <v>0</v>
      </c>
      <c r="CK105" s="72">
        <v>0</v>
      </c>
      <c r="CL105" s="72">
        <v>0</v>
      </c>
      <c r="CM105" s="72">
        <v>0</v>
      </c>
      <c r="CN105" s="72">
        <v>0</v>
      </c>
      <c r="CO105" s="72">
        <v>0</v>
      </c>
      <c r="CP105" s="72">
        <v>0</v>
      </c>
      <c r="CQ105" s="72">
        <v>0</v>
      </c>
      <c r="CR105" s="72">
        <v>0</v>
      </c>
      <c r="CS105" s="72">
        <v>0</v>
      </c>
      <c r="CT105" s="72">
        <v>0</v>
      </c>
      <c r="CU105" s="72">
        <v>0</v>
      </c>
      <c r="CV105" s="72">
        <v>0</v>
      </c>
      <c r="CW105" s="72">
        <v>0</v>
      </c>
      <c r="CX105" s="72">
        <v>0</v>
      </c>
      <c r="CY105" s="72">
        <v>0</v>
      </c>
      <c r="CZ105" s="72">
        <v>0</v>
      </c>
      <c r="DA105" s="72">
        <v>0</v>
      </c>
      <c r="DB105" s="72">
        <v>0</v>
      </c>
      <c r="DC105" s="72">
        <v>0</v>
      </c>
      <c r="DD105" s="72">
        <v>0</v>
      </c>
      <c r="DE105" s="72">
        <v>0</v>
      </c>
      <c r="DF105" s="72">
        <v>0</v>
      </c>
      <c r="DG105" s="72">
        <v>0</v>
      </c>
      <c r="DH105" s="72">
        <v>0</v>
      </c>
      <c r="DI105" s="72">
        <v>0</v>
      </c>
      <c r="DJ105" s="72">
        <v>0</v>
      </c>
      <c r="DK105" s="72">
        <v>0</v>
      </c>
      <c r="DL105" s="72">
        <v>0</v>
      </c>
      <c r="DM105" s="72">
        <v>0</v>
      </c>
      <c r="DN105" s="72">
        <v>0</v>
      </c>
      <c r="DO105" s="72">
        <v>0</v>
      </c>
      <c r="DP105" s="72">
        <v>0</v>
      </c>
      <c r="DQ105" s="72">
        <v>0</v>
      </c>
      <c r="DR105" s="72">
        <v>0</v>
      </c>
      <c r="DS105" s="72">
        <v>0</v>
      </c>
      <c r="DT105" s="72">
        <v>0</v>
      </c>
      <c r="DU105" s="72">
        <v>0</v>
      </c>
      <c r="DV105" s="72">
        <v>0</v>
      </c>
      <c r="DW105" s="72">
        <v>0</v>
      </c>
      <c r="DX105" s="72">
        <v>0</v>
      </c>
      <c r="DY105" s="72">
        <v>0</v>
      </c>
      <c r="DZ105" s="72">
        <v>0</v>
      </c>
      <c r="EA105" s="72">
        <v>0</v>
      </c>
      <c r="EB105" s="72">
        <v>0</v>
      </c>
      <c r="EC105" s="72">
        <v>0</v>
      </c>
      <c r="ED105" s="72">
        <v>0</v>
      </c>
      <c r="EE105" s="72">
        <v>0</v>
      </c>
      <c r="EF105" s="72">
        <v>0</v>
      </c>
      <c r="EG105" s="72">
        <v>0</v>
      </c>
      <c r="EH105" s="72">
        <v>0</v>
      </c>
      <c r="EI105" s="72">
        <v>0</v>
      </c>
      <c r="EJ105" s="72">
        <v>0</v>
      </c>
      <c r="EK105" s="72">
        <v>0</v>
      </c>
      <c r="EL105" s="72">
        <v>0</v>
      </c>
      <c r="EM105" s="72">
        <v>0</v>
      </c>
      <c r="EN105" s="72">
        <v>0</v>
      </c>
      <c r="EO105" s="72">
        <v>0</v>
      </c>
      <c r="EP105" s="72">
        <v>0</v>
      </c>
      <c r="EQ105" s="72">
        <v>0</v>
      </c>
      <c r="ER105" s="72">
        <v>0</v>
      </c>
      <c r="ES105" s="72">
        <v>0</v>
      </c>
      <c r="ET105" s="72">
        <v>0</v>
      </c>
      <c r="EU105" s="72">
        <v>0</v>
      </c>
      <c r="EV105" s="72">
        <v>0</v>
      </c>
      <c r="EW105" s="72">
        <v>0</v>
      </c>
      <c r="EX105" s="72">
        <v>0</v>
      </c>
      <c r="EY105" s="72">
        <v>0</v>
      </c>
      <c r="EZ105" s="72">
        <v>0</v>
      </c>
      <c r="FA105" s="72">
        <v>0</v>
      </c>
      <c r="FB105" s="72">
        <v>0</v>
      </c>
      <c r="FC105" s="72">
        <v>0</v>
      </c>
      <c r="FD105" s="72">
        <v>0</v>
      </c>
      <c r="FE105" s="72">
        <v>0</v>
      </c>
      <c r="FF105" s="72">
        <v>0</v>
      </c>
      <c r="FG105" s="72">
        <v>0</v>
      </c>
      <c r="FH105" s="72">
        <v>0</v>
      </c>
      <c r="FI105" s="72">
        <v>0</v>
      </c>
      <c r="FJ105" s="72">
        <v>0</v>
      </c>
      <c r="FK105" s="72">
        <v>0</v>
      </c>
      <c r="FL105" s="72">
        <v>0</v>
      </c>
      <c r="FM105" s="72">
        <v>0</v>
      </c>
      <c r="FN105" s="72">
        <v>0</v>
      </c>
      <c r="FO105" s="72">
        <v>0</v>
      </c>
      <c r="FP105" s="72">
        <v>0</v>
      </c>
      <c r="FQ105" s="72">
        <v>0</v>
      </c>
      <c r="FR105" s="72">
        <v>0</v>
      </c>
      <c r="FS105" s="72">
        <v>0</v>
      </c>
      <c r="FT105" s="72">
        <v>0</v>
      </c>
      <c r="FU105" s="72">
        <v>0</v>
      </c>
      <c r="FV105" s="74">
        <v>594.71563714667036</v>
      </c>
      <c r="FW105" s="74">
        <v>984.73701267175363</v>
      </c>
      <c r="FX105" s="74">
        <v>1774.9472377846801</v>
      </c>
      <c r="FY105" s="74">
        <v>2638.9190104999184</v>
      </c>
      <c r="FZ105" s="74">
        <v>2936.1290436261802</v>
      </c>
      <c r="GA105" s="74">
        <v>5514.6980652730663</v>
      </c>
      <c r="GB105" s="74">
        <v>7714.1752202529933</v>
      </c>
      <c r="GC105" s="74">
        <v>14696.883965311168</v>
      </c>
      <c r="GD105" s="74">
        <v>28465.182975502808</v>
      </c>
      <c r="GE105" s="74">
        <v>7273.6980191611137</v>
      </c>
      <c r="GF105" s="74">
        <v>7557.6582948284567</v>
      </c>
      <c r="GG105" s="74">
        <v>9318.7923096871127</v>
      </c>
      <c r="GH105" s="74">
        <v>10079.388099606489</v>
      </c>
      <c r="GI105" s="74">
        <v>12080.351878434434</v>
      </c>
      <c r="GJ105" s="72">
        <v>0</v>
      </c>
      <c r="GK105" s="72">
        <v>0</v>
      </c>
      <c r="GL105" s="72">
        <v>0</v>
      </c>
      <c r="GM105" s="72">
        <v>0</v>
      </c>
      <c r="GN105" s="72">
        <v>0</v>
      </c>
      <c r="GO105" s="72">
        <v>0</v>
      </c>
      <c r="GP105" s="72">
        <v>-8976.6746296058609</v>
      </c>
      <c r="GQ105" s="72">
        <v>44561.514114421996</v>
      </c>
      <c r="GR105" s="72">
        <f t="shared" si="1"/>
        <v>545677.92785544286</v>
      </c>
      <c r="GS105" s="72">
        <f>SUM(CX$5:CX$202)</f>
        <v>545677.92785544298</v>
      </c>
      <c r="GT105" s="73">
        <v>0</v>
      </c>
    </row>
    <row r="106" spans="1:202" outlineLevel="1" x14ac:dyDescent="0.2">
      <c r="A106" s="66" t="s">
        <v>858</v>
      </c>
      <c r="B106" s="72">
        <v>22654.872861391796</v>
      </c>
      <c r="C106" s="72">
        <v>1311.3159287000481</v>
      </c>
      <c r="D106" s="72">
        <v>6.2886376625502001</v>
      </c>
      <c r="E106" s="72">
        <v>285.60921144329023</v>
      </c>
      <c r="F106" s="72">
        <v>1365.0891311856126</v>
      </c>
      <c r="G106" s="72">
        <v>40872.192480235957</v>
      </c>
      <c r="H106" s="72">
        <v>679.17584444195734</v>
      </c>
      <c r="I106" s="72">
        <v>345.30646144371246</v>
      </c>
      <c r="J106" s="72">
        <v>735.82911137758197</v>
      </c>
      <c r="K106" s="72">
        <v>1354.9596855175791</v>
      </c>
      <c r="L106" s="72">
        <v>145.9230682704067</v>
      </c>
      <c r="M106" s="72">
        <v>317.99246016494362</v>
      </c>
      <c r="N106" s="72">
        <v>882.10329912691998</v>
      </c>
      <c r="O106" s="72">
        <v>536.38476545618664</v>
      </c>
      <c r="P106" s="72">
        <v>1828.7256796484253</v>
      </c>
      <c r="Q106" s="72">
        <v>366.11407466338812</v>
      </c>
      <c r="R106" s="72">
        <v>3725.5448356759566</v>
      </c>
      <c r="S106" s="72">
        <v>19858.787182113228</v>
      </c>
      <c r="T106" s="72">
        <v>21740.228357890941</v>
      </c>
      <c r="U106" s="72">
        <v>2700.9489338971789</v>
      </c>
      <c r="V106" s="72">
        <v>15012.806739470399</v>
      </c>
      <c r="W106" s="72">
        <v>118.92491375004677</v>
      </c>
      <c r="X106" s="72">
        <v>406.01155593838365</v>
      </c>
      <c r="Y106" s="72">
        <v>36.666366947529916</v>
      </c>
      <c r="Z106" s="72">
        <v>123.67644469807585</v>
      </c>
      <c r="AA106" s="72">
        <v>149.11821901246404</v>
      </c>
      <c r="AB106" s="72">
        <v>314.91492224408893</v>
      </c>
      <c r="AC106" s="72">
        <v>12.089686249168096</v>
      </c>
      <c r="AD106" s="72">
        <v>0.68310127503412355</v>
      </c>
      <c r="AE106" s="72">
        <v>520.84035358122458</v>
      </c>
      <c r="AF106" s="72">
        <v>8.7858307861246434</v>
      </c>
      <c r="AG106" s="72">
        <v>157.36799666797035</v>
      </c>
      <c r="AH106" s="72">
        <v>224.62992006665462</v>
      </c>
      <c r="AI106" s="72">
        <v>50.517755919331783</v>
      </c>
      <c r="AJ106" s="72">
        <v>58.102654932398224</v>
      </c>
      <c r="AK106" s="72">
        <v>0</v>
      </c>
      <c r="AL106" s="72">
        <v>0</v>
      </c>
      <c r="AM106" s="72">
        <v>0</v>
      </c>
      <c r="AN106" s="72">
        <v>0</v>
      </c>
      <c r="AO106" s="72">
        <v>11.023889178331261</v>
      </c>
      <c r="AP106" s="72">
        <v>0</v>
      </c>
      <c r="AQ106" s="72">
        <v>0</v>
      </c>
      <c r="AR106" s="72">
        <v>0</v>
      </c>
      <c r="AS106" s="72">
        <v>0</v>
      </c>
      <c r="AT106" s="72">
        <v>0</v>
      </c>
      <c r="AU106" s="72">
        <v>0</v>
      </c>
      <c r="AV106" s="72">
        <v>0</v>
      </c>
      <c r="AW106" s="72">
        <v>0</v>
      </c>
      <c r="AX106" s="72">
        <v>0.3787717808306344</v>
      </c>
      <c r="AY106" s="72">
        <v>0</v>
      </c>
      <c r="AZ106" s="72">
        <v>0</v>
      </c>
      <c r="BA106" s="72">
        <v>0</v>
      </c>
      <c r="BB106" s="72">
        <v>0</v>
      </c>
      <c r="BC106" s="72">
        <v>737.92948397441285</v>
      </c>
      <c r="BD106" s="72">
        <v>3.867901462939388</v>
      </c>
      <c r="BE106" s="72">
        <v>120.73121865178648</v>
      </c>
      <c r="BF106" s="72">
        <v>309.24469866188031</v>
      </c>
      <c r="BG106" s="72">
        <v>0</v>
      </c>
      <c r="BH106" s="72">
        <v>0</v>
      </c>
      <c r="BI106" s="72">
        <v>6.3661855783000023</v>
      </c>
      <c r="BJ106" s="72">
        <v>4392.7337002495751</v>
      </c>
      <c r="BK106" s="72">
        <v>0</v>
      </c>
      <c r="BL106" s="72">
        <v>0</v>
      </c>
      <c r="BM106" s="72">
        <v>0</v>
      </c>
      <c r="BN106" s="72">
        <v>0</v>
      </c>
      <c r="BO106" s="72">
        <v>0</v>
      </c>
      <c r="BP106" s="72">
        <v>0</v>
      </c>
      <c r="BQ106" s="72">
        <v>0</v>
      </c>
      <c r="BR106" s="72">
        <v>0</v>
      </c>
      <c r="BS106" s="72">
        <v>0</v>
      </c>
      <c r="BT106" s="72">
        <v>0</v>
      </c>
      <c r="BU106" s="72">
        <v>0</v>
      </c>
      <c r="BV106" s="72">
        <v>0</v>
      </c>
      <c r="BW106" s="72">
        <v>0</v>
      </c>
      <c r="BX106" s="72">
        <v>0</v>
      </c>
      <c r="BY106" s="72">
        <v>0</v>
      </c>
      <c r="BZ106" s="72">
        <v>0</v>
      </c>
      <c r="CA106" s="72">
        <v>0</v>
      </c>
      <c r="CB106" s="72">
        <v>0</v>
      </c>
      <c r="CC106" s="72">
        <v>0</v>
      </c>
      <c r="CD106" s="72">
        <v>0</v>
      </c>
      <c r="CE106" s="72">
        <v>0</v>
      </c>
      <c r="CF106" s="72">
        <v>0</v>
      </c>
      <c r="CG106" s="72">
        <v>0</v>
      </c>
      <c r="CH106" s="72">
        <v>0</v>
      </c>
      <c r="CI106" s="72">
        <v>0</v>
      </c>
      <c r="CJ106" s="72">
        <v>0</v>
      </c>
      <c r="CK106" s="72">
        <v>0</v>
      </c>
      <c r="CL106" s="72">
        <v>0</v>
      </c>
      <c r="CM106" s="72">
        <v>0</v>
      </c>
      <c r="CN106" s="72">
        <v>0</v>
      </c>
      <c r="CO106" s="72">
        <v>0</v>
      </c>
      <c r="CP106" s="72">
        <v>0</v>
      </c>
      <c r="CQ106" s="72">
        <v>0</v>
      </c>
      <c r="CR106" s="72">
        <v>0</v>
      </c>
      <c r="CS106" s="72">
        <v>0</v>
      </c>
      <c r="CT106" s="72">
        <v>0</v>
      </c>
      <c r="CU106" s="72">
        <v>0</v>
      </c>
      <c r="CV106" s="72">
        <v>0</v>
      </c>
      <c r="CW106" s="72">
        <v>0</v>
      </c>
      <c r="CX106" s="72">
        <v>0</v>
      </c>
      <c r="CY106" s="72">
        <v>0</v>
      </c>
      <c r="CZ106" s="72">
        <v>0</v>
      </c>
      <c r="DA106" s="72">
        <v>0</v>
      </c>
      <c r="DB106" s="72">
        <v>0</v>
      </c>
      <c r="DC106" s="72">
        <v>0</v>
      </c>
      <c r="DD106" s="72">
        <v>0</v>
      </c>
      <c r="DE106" s="72">
        <v>0</v>
      </c>
      <c r="DF106" s="72">
        <v>0</v>
      </c>
      <c r="DG106" s="72">
        <v>0</v>
      </c>
      <c r="DH106" s="72">
        <v>0</v>
      </c>
      <c r="DI106" s="72">
        <v>0</v>
      </c>
      <c r="DJ106" s="72">
        <v>0</v>
      </c>
      <c r="DK106" s="72">
        <v>0</v>
      </c>
      <c r="DL106" s="72">
        <v>0</v>
      </c>
      <c r="DM106" s="72">
        <v>0</v>
      </c>
      <c r="DN106" s="72">
        <v>0</v>
      </c>
      <c r="DO106" s="72">
        <v>0</v>
      </c>
      <c r="DP106" s="72">
        <v>0</v>
      </c>
      <c r="DQ106" s="72">
        <v>0</v>
      </c>
      <c r="DR106" s="72">
        <v>0</v>
      </c>
      <c r="DS106" s="72">
        <v>0</v>
      </c>
      <c r="DT106" s="72">
        <v>0</v>
      </c>
      <c r="DU106" s="72">
        <v>0</v>
      </c>
      <c r="DV106" s="72">
        <v>0</v>
      </c>
      <c r="DW106" s="72">
        <v>0</v>
      </c>
      <c r="DX106" s="72">
        <v>0</v>
      </c>
      <c r="DY106" s="72">
        <v>0</v>
      </c>
      <c r="DZ106" s="72">
        <v>0</v>
      </c>
      <c r="EA106" s="72">
        <v>0</v>
      </c>
      <c r="EB106" s="72">
        <v>0</v>
      </c>
      <c r="EC106" s="72">
        <v>0</v>
      </c>
      <c r="ED106" s="72">
        <v>0</v>
      </c>
      <c r="EE106" s="72">
        <v>0</v>
      </c>
      <c r="EF106" s="72">
        <v>0</v>
      </c>
      <c r="EG106" s="72">
        <v>0</v>
      </c>
      <c r="EH106" s="72">
        <v>0</v>
      </c>
      <c r="EI106" s="72">
        <v>0</v>
      </c>
      <c r="EJ106" s="72">
        <v>0</v>
      </c>
      <c r="EK106" s="72">
        <v>0</v>
      </c>
      <c r="EL106" s="72">
        <v>0</v>
      </c>
      <c r="EM106" s="72">
        <v>0</v>
      </c>
      <c r="EN106" s="72">
        <v>0</v>
      </c>
      <c r="EO106" s="72">
        <v>0</v>
      </c>
      <c r="EP106" s="72">
        <v>0</v>
      </c>
      <c r="EQ106" s="72">
        <v>0</v>
      </c>
      <c r="ER106" s="72">
        <v>0</v>
      </c>
      <c r="ES106" s="72">
        <v>0</v>
      </c>
      <c r="ET106" s="72">
        <v>0</v>
      </c>
      <c r="EU106" s="72">
        <v>0</v>
      </c>
      <c r="EV106" s="72">
        <v>0</v>
      </c>
      <c r="EW106" s="72">
        <v>0</v>
      </c>
      <c r="EX106" s="72">
        <v>0</v>
      </c>
      <c r="EY106" s="72">
        <v>0</v>
      </c>
      <c r="EZ106" s="72">
        <v>0</v>
      </c>
      <c r="FA106" s="72">
        <v>0</v>
      </c>
      <c r="FB106" s="72">
        <v>0</v>
      </c>
      <c r="FC106" s="72">
        <v>0</v>
      </c>
      <c r="FD106" s="72">
        <v>0</v>
      </c>
      <c r="FE106" s="72">
        <v>0</v>
      </c>
      <c r="FF106" s="72">
        <v>0</v>
      </c>
      <c r="FG106" s="72">
        <v>0</v>
      </c>
      <c r="FH106" s="72">
        <v>0</v>
      </c>
      <c r="FI106" s="72">
        <v>0</v>
      </c>
      <c r="FJ106" s="72">
        <v>0</v>
      </c>
      <c r="FK106" s="72">
        <v>0</v>
      </c>
      <c r="FL106" s="72">
        <v>0</v>
      </c>
      <c r="FM106" s="72">
        <v>0</v>
      </c>
      <c r="FN106" s="72">
        <v>0</v>
      </c>
      <c r="FO106" s="72">
        <v>0</v>
      </c>
      <c r="FP106" s="72">
        <v>0</v>
      </c>
      <c r="FQ106" s="72">
        <v>0</v>
      </c>
      <c r="FR106" s="72">
        <v>0</v>
      </c>
      <c r="FS106" s="72">
        <v>0</v>
      </c>
      <c r="FT106" s="72">
        <v>0</v>
      </c>
      <c r="FU106" s="72">
        <v>0</v>
      </c>
      <c r="FV106" s="74">
        <v>66.229582225952868</v>
      </c>
      <c r="FW106" s="74">
        <v>101.27223076844895</v>
      </c>
      <c r="FX106" s="74">
        <v>185.33853192435191</v>
      </c>
      <c r="FY106" s="74">
        <v>244.9759127738557</v>
      </c>
      <c r="FZ106" s="74">
        <v>334.77774966156448</v>
      </c>
      <c r="GA106" s="74">
        <v>317.37169517596152</v>
      </c>
      <c r="GB106" s="74">
        <v>416.76351410888714</v>
      </c>
      <c r="GC106" s="74">
        <v>570.65957180601106</v>
      </c>
      <c r="GD106" s="74">
        <v>1223.8568823534679</v>
      </c>
      <c r="GE106" s="74">
        <v>323.28768022394996</v>
      </c>
      <c r="GF106" s="74">
        <v>313.10283598741017</v>
      </c>
      <c r="GG106" s="74">
        <v>251.62239752322188</v>
      </c>
      <c r="GH106" s="74">
        <v>405.18464902142438</v>
      </c>
      <c r="GI106" s="74">
        <v>371.21788607808139</v>
      </c>
      <c r="GJ106" s="72">
        <v>0</v>
      </c>
      <c r="GK106" s="72">
        <v>0</v>
      </c>
      <c r="GL106" s="72">
        <v>0</v>
      </c>
      <c r="GM106" s="72">
        <v>0</v>
      </c>
      <c r="GN106" s="72">
        <v>0</v>
      </c>
      <c r="GO106" s="72">
        <v>0</v>
      </c>
      <c r="GP106" s="72">
        <v>-1482.0210795182047</v>
      </c>
      <c r="GQ106" s="72">
        <v>56985.794361734188</v>
      </c>
      <c r="GR106" s="72">
        <f t="shared" si="1"/>
        <v>205120.23872323323</v>
      </c>
      <c r="GS106" s="72">
        <f>SUM(CY$5:CY$202)</f>
        <v>205120.23872323317</v>
      </c>
      <c r="GT106" s="73">
        <v>0</v>
      </c>
    </row>
    <row r="107" spans="1:202" outlineLevel="1" x14ac:dyDescent="0.2">
      <c r="A107" s="66" t="s">
        <v>873</v>
      </c>
      <c r="B107" s="72">
        <v>3216.8294566537934</v>
      </c>
      <c r="C107" s="72">
        <v>0</v>
      </c>
      <c r="D107" s="72">
        <v>0</v>
      </c>
      <c r="E107" s="72">
        <v>0</v>
      </c>
      <c r="F107" s="72">
        <v>0</v>
      </c>
      <c r="G107" s="72">
        <v>0</v>
      </c>
      <c r="H107" s="72">
        <v>0</v>
      </c>
      <c r="I107" s="72">
        <v>8.3712147273052928E-2</v>
      </c>
      <c r="J107" s="72">
        <v>0</v>
      </c>
      <c r="K107" s="72">
        <v>54.811132332867793</v>
      </c>
      <c r="L107" s="72">
        <v>14.8811263281123</v>
      </c>
      <c r="M107" s="72">
        <v>0.45131521618710396</v>
      </c>
      <c r="N107" s="72">
        <v>22.931602990346889</v>
      </c>
      <c r="O107" s="72">
        <v>250.93066850648333</v>
      </c>
      <c r="P107" s="72">
        <v>509.26748178339619</v>
      </c>
      <c r="Q107" s="72">
        <v>1832.6447403269096</v>
      </c>
      <c r="R107" s="72">
        <v>2.6605889499058617</v>
      </c>
      <c r="S107" s="72">
        <v>87.762488252093235</v>
      </c>
      <c r="T107" s="72">
        <v>2386.035069129985</v>
      </c>
      <c r="U107" s="72">
        <v>9.2311790983029294</v>
      </c>
      <c r="V107" s="72">
        <v>865.46549254111096</v>
      </c>
      <c r="W107" s="72">
        <v>134.05191956956071</v>
      </c>
      <c r="X107" s="72">
        <v>292.1539132057593</v>
      </c>
      <c r="Y107" s="72">
        <v>181.49538277685048</v>
      </c>
      <c r="Z107" s="72">
        <v>471.62821836708616</v>
      </c>
      <c r="AA107" s="72">
        <v>690.46558555591491</v>
      </c>
      <c r="AB107" s="72">
        <v>156.80840336100135</v>
      </c>
      <c r="AC107" s="72">
        <v>0.70572215796453364</v>
      </c>
      <c r="AD107" s="72">
        <v>17.581266807130827</v>
      </c>
      <c r="AE107" s="72">
        <v>735.8325062890566</v>
      </c>
      <c r="AF107" s="72">
        <v>136.9450231549738</v>
      </c>
      <c r="AG107" s="72">
        <v>82.004005724293989</v>
      </c>
      <c r="AH107" s="72">
        <v>352.01236613614145</v>
      </c>
      <c r="AI107" s="72">
        <v>88.271325774891949</v>
      </c>
      <c r="AJ107" s="72">
        <v>103.66603180955984</v>
      </c>
      <c r="AK107" s="72">
        <v>8686.6372154867877</v>
      </c>
      <c r="AL107" s="72">
        <v>0</v>
      </c>
      <c r="AM107" s="72">
        <v>0</v>
      </c>
      <c r="AN107" s="72">
        <v>0</v>
      </c>
      <c r="AO107" s="72">
        <v>0</v>
      </c>
      <c r="AP107" s="72">
        <v>0</v>
      </c>
      <c r="AQ107" s="72">
        <v>0</v>
      </c>
      <c r="AR107" s="72">
        <v>0</v>
      </c>
      <c r="AS107" s="72">
        <v>0</v>
      </c>
      <c r="AT107" s="72">
        <v>0</v>
      </c>
      <c r="AU107" s="72">
        <v>0</v>
      </c>
      <c r="AV107" s="72">
        <v>0</v>
      </c>
      <c r="AW107" s="72">
        <v>0</v>
      </c>
      <c r="AX107" s="72">
        <v>2554.5908863060736</v>
      </c>
      <c r="AY107" s="72">
        <v>0</v>
      </c>
      <c r="AZ107" s="72">
        <v>0</v>
      </c>
      <c r="BA107" s="72">
        <v>0</v>
      </c>
      <c r="BB107" s="72">
        <v>0</v>
      </c>
      <c r="BC107" s="72">
        <v>1218.546437274972</v>
      </c>
      <c r="BD107" s="72">
        <v>111.36664455593565</v>
      </c>
      <c r="BE107" s="72">
        <v>152.93169920835956</v>
      </c>
      <c r="BF107" s="72">
        <v>0</v>
      </c>
      <c r="BG107" s="72">
        <v>0</v>
      </c>
      <c r="BH107" s="72">
        <v>17.166895041383697</v>
      </c>
      <c r="BI107" s="72">
        <v>0</v>
      </c>
      <c r="BJ107" s="72">
        <v>4244.9351687802473</v>
      </c>
      <c r="BK107" s="72">
        <v>0</v>
      </c>
      <c r="BL107" s="72">
        <v>0</v>
      </c>
      <c r="BM107" s="72">
        <v>0</v>
      </c>
      <c r="BN107" s="72">
        <v>0</v>
      </c>
      <c r="BO107" s="72">
        <v>0</v>
      </c>
      <c r="BP107" s="72">
        <v>0</v>
      </c>
      <c r="BQ107" s="72">
        <v>0</v>
      </c>
      <c r="BR107" s="72">
        <v>0</v>
      </c>
      <c r="BS107" s="72">
        <v>0</v>
      </c>
      <c r="BT107" s="72">
        <v>0</v>
      </c>
      <c r="BU107" s="72">
        <v>0</v>
      </c>
      <c r="BV107" s="72">
        <v>0</v>
      </c>
      <c r="BW107" s="72">
        <v>0</v>
      </c>
      <c r="BX107" s="72">
        <v>0</v>
      </c>
      <c r="BY107" s="72">
        <v>0</v>
      </c>
      <c r="BZ107" s="72">
        <v>0</v>
      </c>
      <c r="CA107" s="72">
        <v>0</v>
      </c>
      <c r="CB107" s="72">
        <v>0</v>
      </c>
      <c r="CC107" s="72">
        <v>0</v>
      </c>
      <c r="CD107" s="72">
        <v>0</v>
      </c>
      <c r="CE107" s="72">
        <v>0</v>
      </c>
      <c r="CF107" s="72">
        <v>0</v>
      </c>
      <c r="CG107" s="72">
        <v>0</v>
      </c>
      <c r="CH107" s="72">
        <v>0</v>
      </c>
      <c r="CI107" s="72">
        <v>0</v>
      </c>
      <c r="CJ107" s="72">
        <v>0</v>
      </c>
      <c r="CK107" s="72">
        <v>0</v>
      </c>
      <c r="CL107" s="72">
        <v>0</v>
      </c>
      <c r="CM107" s="72">
        <v>0</v>
      </c>
      <c r="CN107" s="72">
        <v>0</v>
      </c>
      <c r="CO107" s="72">
        <v>0</v>
      </c>
      <c r="CP107" s="72">
        <v>0</v>
      </c>
      <c r="CQ107" s="72">
        <v>0</v>
      </c>
      <c r="CR107" s="72">
        <v>0</v>
      </c>
      <c r="CS107" s="72">
        <v>0</v>
      </c>
      <c r="CT107" s="72">
        <v>0</v>
      </c>
      <c r="CU107" s="72">
        <v>0</v>
      </c>
      <c r="CV107" s="72">
        <v>0</v>
      </c>
      <c r="CW107" s="72">
        <v>0</v>
      </c>
      <c r="CX107" s="72">
        <v>0</v>
      </c>
      <c r="CY107" s="72">
        <v>0</v>
      </c>
      <c r="CZ107" s="72">
        <v>0</v>
      </c>
      <c r="DA107" s="72">
        <v>0</v>
      </c>
      <c r="DB107" s="72">
        <v>0</v>
      </c>
      <c r="DC107" s="72">
        <v>0</v>
      </c>
      <c r="DD107" s="72">
        <v>0</v>
      </c>
      <c r="DE107" s="72">
        <v>0</v>
      </c>
      <c r="DF107" s="72">
        <v>0</v>
      </c>
      <c r="DG107" s="72">
        <v>0</v>
      </c>
      <c r="DH107" s="72">
        <v>0</v>
      </c>
      <c r="DI107" s="72">
        <v>0</v>
      </c>
      <c r="DJ107" s="72">
        <v>0</v>
      </c>
      <c r="DK107" s="72">
        <v>0</v>
      </c>
      <c r="DL107" s="72">
        <v>0</v>
      </c>
      <c r="DM107" s="72">
        <v>0</v>
      </c>
      <c r="DN107" s="72">
        <v>0</v>
      </c>
      <c r="DO107" s="72">
        <v>0</v>
      </c>
      <c r="DP107" s="72">
        <v>0</v>
      </c>
      <c r="DQ107" s="72">
        <v>0</v>
      </c>
      <c r="DR107" s="72">
        <v>0</v>
      </c>
      <c r="DS107" s="72">
        <v>0</v>
      </c>
      <c r="DT107" s="72">
        <v>0</v>
      </c>
      <c r="DU107" s="72">
        <v>0</v>
      </c>
      <c r="DV107" s="72">
        <v>0</v>
      </c>
      <c r="DW107" s="72">
        <v>0</v>
      </c>
      <c r="DX107" s="72">
        <v>0</v>
      </c>
      <c r="DY107" s="72">
        <v>0</v>
      </c>
      <c r="DZ107" s="72">
        <v>0</v>
      </c>
      <c r="EA107" s="72">
        <v>0</v>
      </c>
      <c r="EB107" s="72">
        <v>0</v>
      </c>
      <c r="EC107" s="72">
        <v>0</v>
      </c>
      <c r="ED107" s="72">
        <v>0</v>
      </c>
      <c r="EE107" s="72">
        <v>0</v>
      </c>
      <c r="EF107" s="72">
        <v>0</v>
      </c>
      <c r="EG107" s="72">
        <v>0</v>
      </c>
      <c r="EH107" s="72">
        <v>0</v>
      </c>
      <c r="EI107" s="72">
        <v>0</v>
      </c>
      <c r="EJ107" s="72">
        <v>0</v>
      </c>
      <c r="EK107" s="72">
        <v>0</v>
      </c>
      <c r="EL107" s="72">
        <v>0</v>
      </c>
      <c r="EM107" s="72">
        <v>0</v>
      </c>
      <c r="EN107" s="72">
        <v>0</v>
      </c>
      <c r="EO107" s="72">
        <v>0</v>
      </c>
      <c r="EP107" s="72">
        <v>0</v>
      </c>
      <c r="EQ107" s="72">
        <v>0</v>
      </c>
      <c r="ER107" s="72">
        <v>0</v>
      </c>
      <c r="ES107" s="72">
        <v>0</v>
      </c>
      <c r="ET107" s="72">
        <v>0</v>
      </c>
      <c r="EU107" s="72">
        <v>0</v>
      </c>
      <c r="EV107" s="72">
        <v>0</v>
      </c>
      <c r="EW107" s="72">
        <v>0</v>
      </c>
      <c r="EX107" s="72">
        <v>0</v>
      </c>
      <c r="EY107" s="72">
        <v>0</v>
      </c>
      <c r="EZ107" s="72">
        <v>0</v>
      </c>
      <c r="FA107" s="72">
        <v>0</v>
      </c>
      <c r="FB107" s="72">
        <v>0</v>
      </c>
      <c r="FC107" s="72">
        <v>0</v>
      </c>
      <c r="FD107" s="72">
        <v>0</v>
      </c>
      <c r="FE107" s="72">
        <v>0</v>
      </c>
      <c r="FF107" s="72">
        <v>0</v>
      </c>
      <c r="FG107" s="72">
        <v>0</v>
      </c>
      <c r="FH107" s="72">
        <v>0</v>
      </c>
      <c r="FI107" s="72">
        <v>0</v>
      </c>
      <c r="FJ107" s="72">
        <v>0</v>
      </c>
      <c r="FK107" s="72">
        <v>0</v>
      </c>
      <c r="FL107" s="72">
        <v>0</v>
      </c>
      <c r="FM107" s="72">
        <v>0</v>
      </c>
      <c r="FN107" s="72">
        <v>0</v>
      </c>
      <c r="FO107" s="72">
        <v>0</v>
      </c>
      <c r="FP107" s="72">
        <v>0</v>
      </c>
      <c r="FQ107" s="72">
        <v>0</v>
      </c>
      <c r="FR107" s="72">
        <v>0</v>
      </c>
      <c r="FS107" s="72">
        <v>0</v>
      </c>
      <c r="FT107" s="72">
        <v>0</v>
      </c>
      <c r="FU107" s="72">
        <v>0</v>
      </c>
      <c r="FV107" s="74">
        <v>7.9700984928856791</v>
      </c>
      <c r="FW107" s="74">
        <v>82.230523133989109</v>
      </c>
      <c r="FX107" s="74">
        <v>136.09487792242837</v>
      </c>
      <c r="FY107" s="74">
        <v>223.30730777218992</v>
      </c>
      <c r="FZ107" s="74">
        <v>17.89987046657285</v>
      </c>
      <c r="GA107" s="74">
        <v>50.682189017268861</v>
      </c>
      <c r="GB107" s="74">
        <v>64.312375610505185</v>
      </c>
      <c r="GC107" s="74">
        <v>105.59471264029979</v>
      </c>
      <c r="GD107" s="74">
        <v>23.777012248088433</v>
      </c>
      <c r="GE107" s="74">
        <v>0</v>
      </c>
      <c r="GF107" s="74">
        <v>17.517416920274247</v>
      </c>
      <c r="GG107" s="74">
        <v>41.673368717669227</v>
      </c>
      <c r="GH107" s="74">
        <v>35.712524162359195</v>
      </c>
      <c r="GI107" s="74">
        <v>0</v>
      </c>
      <c r="GJ107" s="72">
        <v>0</v>
      </c>
      <c r="GK107" s="72">
        <v>0</v>
      </c>
      <c r="GL107" s="72">
        <v>0</v>
      </c>
      <c r="GM107" s="72">
        <v>0</v>
      </c>
      <c r="GN107" s="72">
        <v>0</v>
      </c>
      <c r="GO107" s="72">
        <v>0</v>
      </c>
      <c r="GP107" s="72">
        <v>323.36913741115876</v>
      </c>
      <c r="GQ107" s="72">
        <v>2756.2288495899825</v>
      </c>
      <c r="GR107" s="72">
        <f t="shared" si="1"/>
        <v>33570.152935706385</v>
      </c>
      <c r="GS107" s="72">
        <f>SUM(CZ$5:CZ$202)</f>
        <v>33570.152935706385</v>
      </c>
      <c r="GT107" s="73">
        <v>0</v>
      </c>
    </row>
    <row r="108" spans="1:202" outlineLevel="1" x14ac:dyDescent="0.2">
      <c r="A108" s="66" t="s">
        <v>878</v>
      </c>
      <c r="B108" s="72">
        <v>2880.7434192366009</v>
      </c>
      <c r="C108" s="72">
        <v>0</v>
      </c>
      <c r="D108" s="72">
        <v>0</v>
      </c>
      <c r="E108" s="72">
        <v>0</v>
      </c>
      <c r="F108" s="72">
        <v>0</v>
      </c>
      <c r="G108" s="72">
        <v>0</v>
      </c>
      <c r="H108" s="72">
        <v>0</v>
      </c>
      <c r="I108" s="72">
        <v>624.01382290576589</v>
      </c>
      <c r="J108" s="72">
        <v>20.325845256049814</v>
      </c>
      <c r="K108" s="72">
        <v>0</v>
      </c>
      <c r="L108" s="72">
        <v>0</v>
      </c>
      <c r="M108" s="72">
        <v>0</v>
      </c>
      <c r="N108" s="72">
        <v>0</v>
      </c>
      <c r="O108" s="72">
        <v>0</v>
      </c>
      <c r="P108" s="72">
        <v>0</v>
      </c>
      <c r="Q108" s="72">
        <v>0</v>
      </c>
      <c r="R108" s="72">
        <v>0</v>
      </c>
      <c r="S108" s="72">
        <v>7.6009638518590492</v>
      </c>
      <c r="T108" s="72">
        <v>6774.7732913772998</v>
      </c>
      <c r="U108" s="72">
        <v>0</v>
      </c>
      <c r="V108" s="72">
        <v>0</v>
      </c>
      <c r="W108" s="72">
        <v>0</v>
      </c>
      <c r="X108" s="72">
        <v>0</v>
      </c>
      <c r="Y108" s="72">
        <v>0</v>
      </c>
      <c r="Z108" s="72">
        <v>0</v>
      </c>
      <c r="AA108" s="72">
        <v>0</v>
      </c>
      <c r="AB108" s="72">
        <v>0</v>
      </c>
      <c r="AC108" s="72">
        <v>0</v>
      </c>
      <c r="AD108" s="72">
        <v>16.359469716669182</v>
      </c>
      <c r="AE108" s="72">
        <v>0</v>
      </c>
      <c r="AF108" s="72">
        <v>0</v>
      </c>
      <c r="AG108" s="72">
        <v>0</v>
      </c>
      <c r="AH108" s="72">
        <v>0</v>
      </c>
      <c r="AI108" s="72">
        <v>154.16641349042666</v>
      </c>
      <c r="AJ108" s="72">
        <v>192.73531324590695</v>
      </c>
      <c r="AK108" s="72">
        <v>0</v>
      </c>
      <c r="AL108" s="72">
        <v>0</v>
      </c>
      <c r="AM108" s="72">
        <v>0</v>
      </c>
      <c r="AN108" s="72">
        <v>0</v>
      </c>
      <c r="AO108" s="72">
        <v>0</v>
      </c>
      <c r="AP108" s="72">
        <v>0</v>
      </c>
      <c r="AQ108" s="72">
        <v>0</v>
      </c>
      <c r="AR108" s="72">
        <v>0</v>
      </c>
      <c r="AS108" s="72">
        <v>0</v>
      </c>
      <c r="AT108" s="72">
        <v>0</v>
      </c>
      <c r="AU108" s="72">
        <v>0</v>
      </c>
      <c r="AV108" s="72">
        <v>0</v>
      </c>
      <c r="AW108" s="72">
        <v>0</v>
      </c>
      <c r="AX108" s="72">
        <v>0</v>
      </c>
      <c r="AY108" s="72">
        <v>0</v>
      </c>
      <c r="AZ108" s="72">
        <v>0</v>
      </c>
      <c r="BA108" s="72">
        <v>0</v>
      </c>
      <c r="BB108" s="72">
        <v>0</v>
      </c>
      <c r="BC108" s="72">
        <v>3205.1741238183345</v>
      </c>
      <c r="BD108" s="72">
        <v>14.703397479386201</v>
      </c>
      <c r="BE108" s="72">
        <v>31408.616288269899</v>
      </c>
      <c r="BF108" s="72">
        <v>25.85736023413309</v>
      </c>
      <c r="BG108" s="72">
        <v>0</v>
      </c>
      <c r="BH108" s="72">
        <v>0.47288514973965923</v>
      </c>
      <c r="BI108" s="72">
        <v>0</v>
      </c>
      <c r="BJ108" s="72">
        <v>285.60557404076513</v>
      </c>
      <c r="BK108" s="72">
        <v>0</v>
      </c>
      <c r="BL108" s="72">
        <v>0</v>
      </c>
      <c r="BM108" s="72">
        <v>0</v>
      </c>
      <c r="BN108" s="72">
        <v>0</v>
      </c>
      <c r="BO108" s="72">
        <v>0</v>
      </c>
      <c r="BP108" s="72">
        <v>0</v>
      </c>
      <c r="BQ108" s="72">
        <v>0</v>
      </c>
      <c r="BR108" s="72">
        <v>0</v>
      </c>
      <c r="BS108" s="72">
        <v>0</v>
      </c>
      <c r="BT108" s="72">
        <v>0</v>
      </c>
      <c r="BU108" s="72">
        <v>0</v>
      </c>
      <c r="BV108" s="72">
        <v>0</v>
      </c>
      <c r="BW108" s="72">
        <v>0</v>
      </c>
      <c r="BX108" s="72">
        <v>0</v>
      </c>
      <c r="BY108" s="72">
        <v>0</v>
      </c>
      <c r="BZ108" s="72">
        <v>0</v>
      </c>
      <c r="CA108" s="72">
        <v>0</v>
      </c>
      <c r="CB108" s="72">
        <v>0</v>
      </c>
      <c r="CC108" s="72">
        <v>0</v>
      </c>
      <c r="CD108" s="72">
        <v>0</v>
      </c>
      <c r="CE108" s="72">
        <v>0</v>
      </c>
      <c r="CF108" s="72">
        <v>0</v>
      </c>
      <c r="CG108" s="72">
        <v>0</v>
      </c>
      <c r="CH108" s="72">
        <v>0</v>
      </c>
      <c r="CI108" s="72">
        <v>0</v>
      </c>
      <c r="CJ108" s="72">
        <v>0</v>
      </c>
      <c r="CK108" s="72">
        <v>0</v>
      </c>
      <c r="CL108" s="72">
        <v>0</v>
      </c>
      <c r="CM108" s="72">
        <v>0</v>
      </c>
      <c r="CN108" s="72">
        <v>0</v>
      </c>
      <c r="CO108" s="72">
        <v>0</v>
      </c>
      <c r="CP108" s="72">
        <v>0</v>
      </c>
      <c r="CQ108" s="72">
        <v>0</v>
      </c>
      <c r="CR108" s="72">
        <v>0</v>
      </c>
      <c r="CS108" s="72">
        <v>0</v>
      </c>
      <c r="CT108" s="72">
        <v>0</v>
      </c>
      <c r="CU108" s="72">
        <v>0</v>
      </c>
      <c r="CV108" s="72">
        <v>0</v>
      </c>
      <c r="CW108" s="72">
        <v>0</v>
      </c>
      <c r="CX108" s="72">
        <v>0</v>
      </c>
      <c r="CY108" s="72">
        <v>0</v>
      </c>
      <c r="CZ108" s="72">
        <v>0</v>
      </c>
      <c r="DA108" s="72">
        <v>0</v>
      </c>
      <c r="DB108" s="72">
        <v>0</v>
      </c>
      <c r="DC108" s="72">
        <v>0</v>
      </c>
      <c r="DD108" s="72">
        <v>0</v>
      </c>
      <c r="DE108" s="72">
        <v>0</v>
      </c>
      <c r="DF108" s="72">
        <v>0</v>
      </c>
      <c r="DG108" s="72">
        <v>0</v>
      </c>
      <c r="DH108" s="72">
        <v>0</v>
      </c>
      <c r="DI108" s="72">
        <v>0</v>
      </c>
      <c r="DJ108" s="72">
        <v>0</v>
      </c>
      <c r="DK108" s="72">
        <v>0</v>
      </c>
      <c r="DL108" s="72">
        <v>0</v>
      </c>
      <c r="DM108" s="72">
        <v>0</v>
      </c>
      <c r="DN108" s="72">
        <v>0</v>
      </c>
      <c r="DO108" s="72">
        <v>0</v>
      </c>
      <c r="DP108" s="72">
        <v>0</v>
      </c>
      <c r="DQ108" s="72">
        <v>0</v>
      </c>
      <c r="DR108" s="72">
        <v>0</v>
      </c>
      <c r="DS108" s="72">
        <v>0</v>
      </c>
      <c r="DT108" s="72">
        <v>0</v>
      </c>
      <c r="DU108" s="72">
        <v>0</v>
      </c>
      <c r="DV108" s="72">
        <v>0</v>
      </c>
      <c r="DW108" s="72">
        <v>0</v>
      </c>
      <c r="DX108" s="72">
        <v>0</v>
      </c>
      <c r="DY108" s="72">
        <v>0</v>
      </c>
      <c r="DZ108" s="72">
        <v>0</v>
      </c>
      <c r="EA108" s="72">
        <v>0</v>
      </c>
      <c r="EB108" s="72">
        <v>0</v>
      </c>
      <c r="EC108" s="72">
        <v>0</v>
      </c>
      <c r="ED108" s="72">
        <v>0</v>
      </c>
      <c r="EE108" s="72">
        <v>0</v>
      </c>
      <c r="EF108" s="72">
        <v>0</v>
      </c>
      <c r="EG108" s="72">
        <v>0</v>
      </c>
      <c r="EH108" s="72">
        <v>0</v>
      </c>
      <c r="EI108" s="72">
        <v>0</v>
      </c>
      <c r="EJ108" s="72">
        <v>0</v>
      </c>
      <c r="EK108" s="72">
        <v>0</v>
      </c>
      <c r="EL108" s="72">
        <v>0</v>
      </c>
      <c r="EM108" s="72">
        <v>0</v>
      </c>
      <c r="EN108" s="72">
        <v>0</v>
      </c>
      <c r="EO108" s="72">
        <v>0</v>
      </c>
      <c r="EP108" s="72">
        <v>0</v>
      </c>
      <c r="EQ108" s="72">
        <v>0</v>
      </c>
      <c r="ER108" s="72">
        <v>0</v>
      </c>
      <c r="ES108" s="72">
        <v>0</v>
      </c>
      <c r="ET108" s="72">
        <v>0</v>
      </c>
      <c r="EU108" s="72">
        <v>0</v>
      </c>
      <c r="EV108" s="72">
        <v>0</v>
      </c>
      <c r="EW108" s="72">
        <v>0</v>
      </c>
      <c r="EX108" s="72">
        <v>0</v>
      </c>
      <c r="EY108" s="72">
        <v>0</v>
      </c>
      <c r="EZ108" s="72">
        <v>0</v>
      </c>
      <c r="FA108" s="72">
        <v>0</v>
      </c>
      <c r="FB108" s="72">
        <v>0</v>
      </c>
      <c r="FC108" s="72">
        <v>0</v>
      </c>
      <c r="FD108" s="72">
        <v>0</v>
      </c>
      <c r="FE108" s="72">
        <v>0</v>
      </c>
      <c r="FF108" s="72">
        <v>0</v>
      </c>
      <c r="FG108" s="72">
        <v>0</v>
      </c>
      <c r="FH108" s="72">
        <v>0</v>
      </c>
      <c r="FI108" s="72">
        <v>0</v>
      </c>
      <c r="FJ108" s="72">
        <v>0</v>
      </c>
      <c r="FK108" s="72">
        <v>0</v>
      </c>
      <c r="FL108" s="72">
        <v>0</v>
      </c>
      <c r="FM108" s="72">
        <v>0</v>
      </c>
      <c r="FN108" s="72">
        <v>0</v>
      </c>
      <c r="FO108" s="72">
        <v>0</v>
      </c>
      <c r="FP108" s="72">
        <v>0</v>
      </c>
      <c r="FQ108" s="72">
        <v>0</v>
      </c>
      <c r="FR108" s="72">
        <v>0</v>
      </c>
      <c r="FS108" s="72">
        <v>0</v>
      </c>
      <c r="FT108" s="72">
        <v>0</v>
      </c>
      <c r="FU108" s="72">
        <v>0</v>
      </c>
      <c r="FV108" s="74">
        <v>1532.3057869498348</v>
      </c>
      <c r="FW108" s="74">
        <v>2162.6860115212585</v>
      </c>
      <c r="FX108" s="74">
        <v>2963.9489464321</v>
      </c>
      <c r="FY108" s="74">
        <v>2854.5028389038098</v>
      </c>
      <c r="FZ108" s="74">
        <v>3664.5212218669758</v>
      </c>
      <c r="GA108" s="74">
        <v>4417.9053405680361</v>
      </c>
      <c r="GB108" s="74">
        <v>4700.8701513658898</v>
      </c>
      <c r="GC108" s="74">
        <v>9941.846936774853</v>
      </c>
      <c r="GD108" s="74">
        <v>13493.027275146795</v>
      </c>
      <c r="GE108" s="74">
        <v>4460.1558497980413</v>
      </c>
      <c r="GF108" s="74">
        <v>3786.5308528046821</v>
      </c>
      <c r="GG108" s="74">
        <v>5976.9361778346502</v>
      </c>
      <c r="GH108" s="74">
        <v>4978.2019315784573</v>
      </c>
      <c r="GI108" s="74">
        <v>6498.9116493753463</v>
      </c>
      <c r="GJ108" s="72">
        <v>0</v>
      </c>
      <c r="GK108" s="72">
        <v>0</v>
      </c>
      <c r="GL108" s="72">
        <v>0</v>
      </c>
      <c r="GM108" s="72">
        <v>0</v>
      </c>
      <c r="GN108" s="72">
        <v>0</v>
      </c>
      <c r="GO108" s="72">
        <v>0</v>
      </c>
      <c r="GP108" s="72">
        <v>-670.38537383577091</v>
      </c>
      <c r="GQ108" s="72">
        <v>7126.1080643495579</v>
      </c>
      <c r="GR108" s="72">
        <f t="shared" si="1"/>
        <v>123499.22182950737</v>
      </c>
      <c r="GS108" s="72">
        <f>SUM(DA$5:DA$202)</f>
        <v>123499.22182950735</v>
      </c>
      <c r="GT108" s="73">
        <v>0</v>
      </c>
    </row>
    <row r="109" spans="1:202" outlineLevel="1" x14ac:dyDescent="0.2">
      <c r="A109" s="66" t="s">
        <v>882</v>
      </c>
      <c r="B109" s="72">
        <v>1927.9941161903748</v>
      </c>
      <c r="C109" s="72">
        <v>0</v>
      </c>
      <c r="D109" s="72">
        <v>0</v>
      </c>
      <c r="E109" s="72">
        <v>0</v>
      </c>
      <c r="F109" s="72">
        <v>0</v>
      </c>
      <c r="G109" s="72">
        <v>0</v>
      </c>
      <c r="H109" s="72">
        <v>0</v>
      </c>
      <c r="I109" s="72">
        <v>559.45452583175711</v>
      </c>
      <c r="J109" s="72">
        <v>76.842925543962522</v>
      </c>
      <c r="K109" s="72">
        <v>12.465349515582187</v>
      </c>
      <c r="L109" s="72">
        <v>1407.0534592544464</v>
      </c>
      <c r="M109" s="72">
        <v>6.3020025664368351</v>
      </c>
      <c r="N109" s="72">
        <v>1.102114552692165</v>
      </c>
      <c r="O109" s="72">
        <v>16.947770713198945</v>
      </c>
      <c r="P109" s="72">
        <v>568.74259078562443</v>
      </c>
      <c r="Q109" s="72">
        <v>95.149888961267507</v>
      </c>
      <c r="R109" s="72">
        <v>4.7628823373073637</v>
      </c>
      <c r="S109" s="72">
        <v>97.346569131672311</v>
      </c>
      <c r="T109" s="72">
        <v>4225.992184043881</v>
      </c>
      <c r="U109" s="72">
        <v>9.7279784754394854</v>
      </c>
      <c r="V109" s="72">
        <v>48.199899682843728</v>
      </c>
      <c r="W109" s="72">
        <v>1.3501900436191425</v>
      </c>
      <c r="X109" s="72">
        <v>52.5380974825366</v>
      </c>
      <c r="Y109" s="72">
        <v>30.760431320571808</v>
      </c>
      <c r="Z109" s="72">
        <v>237.12875239920589</v>
      </c>
      <c r="AA109" s="72">
        <v>223.19665756184756</v>
      </c>
      <c r="AB109" s="72">
        <v>49.852334561528437</v>
      </c>
      <c r="AC109" s="72">
        <v>41.789410049568232</v>
      </c>
      <c r="AD109" s="72">
        <v>3.4240124691542198</v>
      </c>
      <c r="AE109" s="72">
        <v>878.29508376781894</v>
      </c>
      <c r="AF109" s="72">
        <v>6.4713978644108536</v>
      </c>
      <c r="AG109" s="72">
        <v>37.630478929186914</v>
      </c>
      <c r="AH109" s="72">
        <v>64.920776601483524</v>
      </c>
      <c r="AI109" s="72">
        <v>51.846316530644238</v>
      </c>
      <c r="AJ109" s="72">
        <v>59.508136597068074</v>
      </c>
      <c r="AK109" s="72">
        <v>0</v>
      </c>
      <c r="AL109" s="72">
        <v>0</v>
      </c>
      <c r="AM109" s="72">
        <v>0</v>
      </c>
      <c r="AN109" s="72">
        <v>0</v>
      </c>
      <c r="AO109" s="72">
        <v>611.06183210993322</v>
      </c>
      <c r="AP109" s="72">
        <v>217.36744701315686</v>
      </c>
      <c r="AQ109" s="72">
        <v>5.7748345540566586</v>
      </c>
      <c r="AR109" s="72">
        <v>6.4138267361447792</v>
      </c>
      <c r="AS109" s="72">
        <v>0</v>
      </c>
      <c r="AT109" s="72">
        <v>129.48120406828357</v>
      </c>
      <c r="AU109" s="72">
        <v>0</v>
      </c>
      <c r="AV109" s="72">
        <v>0</v>
      </c>
      <c r="AW109" s="72">
        <v>0</v>
      </c>
      <c r="AX109" s="72">
        <v>0</v>
      </c>
      <c r="AY109" s="72">
        <v>0</v>
      </c>
      <c r="AZ109" s="72">
        <v>0</v>
      </c>
      <c r="BA109" s="72">
        <v>0</v>
      </c>
      <c r="BB109" s="72">
        <v>0</v>
      </c>
      <c r="BC109" s="72">
        <v>588.20533002020966</v>
      </c>
      <c r="BD109" s="72">
        <v>54.342559973039982</v>
      </c>
      <c r="BE109" s="72">
        <v>1220.8400744080041</v>
      </c>
      <c r="BF109" s="72">
        <v>1205.2580433338394</v>
      </c>
      <c r="BG109" s="72">
        <v>0</v>
      </c>
      <c r="BH109" s="72">
        <v>34.429816478252022</v>
      </c>
      <c r="BI109" s="72">
        <v>376.01826463962817</v>
      </c>
      <c r="BJ109" s="72">
        <v>6835.1323528592184</v>
      </c>
      <c r="BK109" s="72">
        <v>0</v>
      </c>
      <c r="BL109" s="72">
        <v>0</v>
      </c>
      <c r="BM109" s="72">
        <v>0</v>
      </c>
      <c r="BN109" s="72">
        <v>0</v>
      </c>
      <c r="BO109" s="72">
        <v>0</v>
      </c>
      <c r="BP109" s="72">
        <v>0</v>
      </c>
      <c r="BQ109" s="72">
        <v>0</v>
      </c>
      <c r="BR109" s="72">
        <v>0</v>
      </c>
      <c r="BS109" s="72">
        <v>0</v>
      </c>
      <c r="BT109" s="72">
        <v>0</v>
      </c>
      <c r="BU109" s="72">
        <v>0</v>
      </c>
      <c r="BV109" s="72">
        <v>0</v>
      </c>
      <c r="BW109" s="72">
        <v>0</v>
      </c>
      <c r="BX109" s="72">
        <v>0</v>
      </c>
      <c r="BY109" s="72">
        <v>0</v>
      </c>
      <c r="BZ109" s="72">
        <v>0</v>
      </c>
      <c r="CA109" s="72">
        <v>0</v>
      </c>
      <c r="CB109" s="72">
        <v>0</v>
      </c>
      <c r="CC109" s="72">
        <v>0</v>
      </c>
      <c r="CD109" s="72">
        <v>0</v>
      </c>
      <c r="CE109" s="72">
        <v>0</v>
      </c>
      <c r="CF109" s="72">
        <v>0</v>
      </c>
      <c r="CG109" s="72">
        <v>0</v>
      </c>
      <c r="CH109" s="72">
        <v>0</v>
      </c>
      <c r="CI109" s="72">
        <v>0</v>
      </c>
      <c r="CJ109" s="72">
        <v>0</v>
      </c>
      <c r="CK109" s="72">
        <v>0</v>
      </c>
      <c r="CL109" s="72">
        <v>0</v>
      </c>
      <c r="CM109" s="72">
        <v>0</v>
      </c>
      <c r="CN109" s="72">
        <v>0</v>
      </c>
      <c r="CO109" s="72">
        <v>0</v>
      </c>
      <c r="CP109" s="72">
        <v>0</v>
      </c>
      <c r="CQ109" s="72">
        <v>0</v>
      </c>
      <c r="CR109" s="72">
        <v>0</v>
      </c>
      <c r="CS109" s="72">
        <v>0</v>
      </c>
      <c r="CT109" s="72">
        <v>0</v>
      </c>
      <c r="CU109" s="72">
        <v>0</v>
      </c>
      <c r="CV109" s="72">
        <v>0</v>
      </c>
      <c r="CW109" s="72">
        <v>0</v>
      </c>
      <c r="CX109" s="72">
        <v>0</v>
      </c>
      <c r="CY109" s="72">
        <v>0</v>
      </c>
      <c r="CZ109" s="72">
        <v>0</v>
      </c>
      <c r="DA109" s="72">
        <v>0</v>
      </c>
      <c r="DB109" s="72">
        <v>0</v>
      </c>
      <c r="DC109" s="72">
        <v>0</v>
      </c>
      <c r="DD109" s="72">
        <v>0</v>
      </c>
      <c r="DE109" s="72">
        <v>0</v>
      </c>
      <c r="DF109" s="72">
        <v>0</v>
      </c>
      <c r="DG109" s="72">
        <v>0</v>
      </c>
      <c r="DH109" s="72">
        <v>0</v>
      </c>
      <c r="DI109" s="72">
        <v>0</v>
      </c>
      <c r="DJ109" s="72">
        <v>0</v>
      </c>
      <c r="DK109" s="72">
        <v>0</v>
      </c>
      <c r="DL109" s="72">
        <v>0</v>
      </c>
      <c r="DM109" s="72">
        <v>0</v>
      </c>
      <c r="DN109" s="72">
        <v>0</v>
      </c>
      <c r="DO109" s="72">
        <v>0</v>
      </c>
      <c r="DP109" s="72">
        <v>0</v>
      </c>
      <c r="DQ109" s="72">
        <v>0</v>
      </c>
      <c r="DR109" s="72">
        <v>0</v>
      </c>
      <c r="DS109" s="72">
        <v>0</v>
      </c>
      <c r="DT109" s="72">
        <v>0</v>
      </c>
      <c r="DU109" s="72">
        <v>0</v>
      </c>
      <c r="DV109" s="72">
        <v>0</v>
      </c>
      <c r="DW109" s="72">
        <v>0</v>
      </c>
      <c r="DX109" s="72">
        <v>0</v>
      </c>
      <c r="DY109" s="72">
        <v>0</v>
      </c>
      <c r="DZ109" s="72">
        <v>0</v>
      </c>
      <c r="EA109" s="72">
        <v>0</v>
      </c>
      <c r="EB109" s="72">
        <v>0</v>
      </c>
      <c r="EC109" s="72">
        <v>0</v>
      </c>
      <c r="ED109" s="72">
        <v>0</v>
      </c>
      <c r="EE109" s="72">
        <v>0</v>
      </c>
      <c r="EF109" s="72">
        <v>0</v>
      </c>
      <c r="EG109" s="72">
        <v>0</v>
      </c>
      <c r="EH109" s="72">
        <v>0</v>
      </c>
      <c r="EI109" s="72">
        <v>0</v>
      </c>
      <c r="EJ109" s="72">
        <v>0</v>
      </c>
      <c r="EK109" s="72">
        <v>0</v>
      </c>
      <c r="EL109" s="72">
        <v>0</v>
      </c>
      <c r="EM109" s="72">
        <v>0</v>
      </c>
      <c r="EN109" s="72">
        <v>0</v>
      </c>
      <c r="EO109" s="72">
        <v>0</v>
      </c>
      <c r="EP109" s="72">
        <v>0</v>
      </c>
      <c r="EQ109" s="72">
        <v>0</v>
      </c>
      <c r="ER109" s="72">
        <v>0</v>
      </c>
      <c r="ES109" s="72">
        <v>0</v>
      </c>
      <c r="ET109" s="72">
        <v>0</v>
      </c>
      <c r="EU109" s="72">
        <v>0</v>
      </c>
      <c r="EV109" s="72">
        <v>0</v>
      </c>
      <c r="EW109" s="72">
        <v>0</v>
      </c>
      <c r="EX109" s="72">
        <v>0</v>
      </c>
      <c r="EY109" s="72">
        <v>0</v>
      </c>
      <c r="EZ109" s="72">
        <v>0</v>
      </c>
      <c r="FA109" s="72">
        <v>0</v>
      </c>
      <c r="FB109" s="72">
        <v>0</v>
      </c>
      <c r="FC109" s="72">
        <v>0</v>
      </c>
      <c r="FD109" s="72">
        <v>0</v>
      </c>
      <c r="FE109" s="72">
        <v>0</v>
      </c>
      <c r="FF109" s="72">
        <v>0</v>
      </c>
      <c r="FG109" s="72">
        <v>0</v>
      </c>
      <c r="FH109" s="72">
        <v>0</v>
      </c>
      <c r="FI109" s="72">
        <v>0</v>
      </c>
      <c r="FJ109" s="72">
        <v>0</v>
      </c>
      <c r="FK109" s="72">
        <v>0</v>
      </c>
      <c r="FL109" s="72">
        <v>0</v>
      </c>
      <c r="FM109" s="72">
        <v>0</v>
      </c>
      <c r="FN109" s="72">
        <v>0</v>
      </c>
      <c r="FO109" s="72">
        <v>0</v>
      </c>
      <c r="FP109" s="72">
        <v>0</v>
      </c>
      <c r="FQ109" s="72">
        <v>0</v>
      </c>
      <c r="FR109" s="72">
        <v>0</v>
      </c>
      <c r="FS109" s="72">
        <v>0</v>
      </c>
      <c r="FT109" s="72">
        <v>0</v>
      </c>
      <c r="FU109" s="72">
        <v>0</v>
      </c>
      <c r="FV109" s="74">
        <v>2151.434271818955</v>
      </c>
      <c r="FW109" s="74">
        <v>2866.133241420875</v>
      </c>
      <c r="FX109" s="74">
        <v>3028.1167184473416</v>
      </c>
      <c r="FY109" s="74">
        <v>3383.1502748540383</v>
      </c>
      <c r="FZ109" s="74">
        <v>3538.7394313361115</v>
      </c>
      <c r="GA109" s="74">
        <v>3704.0609827580383</v>
      </c>
      <c r="GB109" s="74">
        <v>3925.0049787329062</v>
      </c>
      <c r="GC109" s="74">
        <v>4780.5519721923802</v>
      </c>
      <c r="GD109" s="74">
        <v>5909.7720798525006</v>
      </c>
      <c r="GE109" s="74">
        <v>1522.6530076139879</v>
      </c>
      <c r="GF109" s="74">
        <v>1346.1126965104681</v>
      </c>
      <c r="GG109" s="74">
        <v>1535.1039863997657</v>
      </c>
      <c r="GH109" s="74">
        <v>1816.3644720879252</v>
      </c>
      <c r="GI109" s="74">
        <v>2387.4995705955307</v>
      </c>
      <c r="GJ109" s="72">
        <v>0</v>
      </c>
      <c r="GK109" s="72">
        <v>0</v>
      </c>
      <c r="GL109" s="72">
        <v>0</v>
      </c>
      <c r="GM109" s="72">
        <v>0</v>
      </c>
      <c r="GN109" s="72">
        <v>0</v>
      </c>
      <c r="GO109" s="72">
        <v>0</v>
      </c>
      <c r="GP109" s="72">
        <v>-113.408746145686</v>
      </c>
      <c r="GQ109" s="72">
        <v>11995.452659692097</v>
      </c>
      <c r="GR109" s="72">
        <f t="shared" si="1"/>
        <v>75857.86351812612</v>
      </c>
      <c r="GS109" s="72">
        <f>SUM(DB$5:DB$202)</f>
        <v>75857.863518126149</v>
      </c>
      <c r="GT109" s="73">
        <v>0</v>
      </c>
    </row>
    <row r="110" spans="1:202" outlineLevel="1" x14ac:dyDescent="0.2">
      <c r="A110" s="66" t="s">
        <v>887</v>
      </c>
      <c r="B110" s="72">
        <v>1850.4174908457014</v>
      </c>
      <c r="C110" s="72">
        <v>654.13640262738079</v>
      </c>
      <c r="D110" s="72">
        <v>0</v>
      </c>
      <c r="E110" s="72">
        <v>0</v>
      </c>
      <c r="F110" s="72">
        <v>0</v>
      </c>
      <c r="G110" s="72">
        <v>0</v>
      </c>
      <c r="H110" s="72">
        <v>0</v>
      </c>
      <c r="I110" s="72">
        <v>1384.3514799235716</v>
      </c>
      <c r="J110" s="72">
        <v>181.68473445404425</v>
      </c>
      <c r="K110" s="72">
        <v>1569.3356319212276</v>
      </c>
      <c r="L110" s="72">
        <v>145.68084466752595</v>
      </c>
      <c r="M110" s="72">
        <v>390.48465692060125</v>
      </c>
      <c r="N110" s="72">
        <v>109.55854752345822</v>
      </c>
      <c r="O110" s="72">
        <v>114.17329420056581</v>
      </c>
      <c r="P110" s="72">
        <v>4342.8420633260466</v>
      </c>
      <c r="Q110" s="72">
        <v>225.82304156181391</v>
      </c>
      <c r="R110" s="72">
        <v>1079.6258047147235</v>
      </c>
      <c r="S110" s="72">
        <v>27317.887398984989</v>
      </c>
      <c r="T110" s="72">
        <v>8838.5790737686093</v>
      </c>
      <c r="U110" s="72">
        <v>1275.0613225414511</v>
      </c>
      <c r="V110" s="72">
        <v>688.22530737837883</v>
      </c>
      <c r="W110" s="72">
        <v>17.301564129335105</v>
      </c>
      <c r="X110" s="72">
        <v>1433.1706968110745</v>
      </c>
      <c r="Y110" s="72">
        <v>269.92781496577328</v>
      </c>
      <c r="Z110" s="72">
        <v>131.57961530629402</v>
      </c>
      <c r="AA110" s="72">
        <v>122.38626839808481</v>
      </c>
      <c r="AB110" s="72">
        <v>9.5468010363029823</v>
      </c>
      <c r="AC110" s="72">
        <v>6.2145788933611563E-2</v>
      </c>
      <c r="AD110" s="72">
        <v>4.562739329448787</v>
      </c>
      <c r="AE110" s="72">
        <v>831.98552024792878</v>
      </c>
      <c r="AF110" s="72">
        <v>0.23043345688676792</v>
      </c>
      <c r="AG110" s="72">
        <v>65.572693975808761</v>
      </c>
      <c r="AH110" s="72">
        <v>84.755967559547912</v>
      </c>
      <c r="AI110" s="72">
        <v>1.1073612301267013</v>
      </c>
      <c r="AJ110" s="72">
        <v>1.2794675289319764</v>
      </c>
      <c r="AK110" s="72">
        <v>1996.2460803639417</v>
      </c>
      <c r="AL110" s="72">
        <v>0</v>
      </c>
      <c r="AM110" s="72">
        <v>0</v>
      </c>
      <c r="AN110" s="72">
        <v>0</v>
      </c>
      <c r="AO110" s="72">
        <v>0</v>
      </c>
      <c r="AP110" s="72">
        <v>0</v>
      </c>
      <c r="AQ110" s="72">
        <v>2.7707000084561813</v>
      </c>
      <c r="AR110" s="72">
        <v>0</v>
      </c>
      <c r="AS110" s="72">
        <v>0</v>
      </c>
      <c r="AT110" s="72">
        <v>0</v>
      </c>
      <c r="AU110" s="72">
        <v>0</v>
      </c>
      <c r="AV110" s="72">
        <v>0</v>
      </c>
      <c r="AW110" s="72">
        <v>0</v>
      </c>
      <c r="AX110" s="72">
        <v>0</v>
      </c>
      <c r="AY110" s="72">
        <v>0</v>
      </c>
      <c r="AZ110" s="72">
        <v>0</v>
      </c>
      <c r="BA110" s="72">
        <v>0</v>
      </c>
      <c r="BB110" s="72">
        <v>0</v>
      </c>
      <c r="BC110" s="72">
        <v>20.270968097620848</v>
      </c>
      <c r="BD110" s="72">
        <v>0</v>
      </c>
      <c r="BE110" s="72">
        <v>525.77159259495534</v>
      </c>
      <c r="BF110" s="72">
        <v>156.0025614562646</v>
      </c>
      <c r="BG110" s="72">
        <v>0</v>
      </c>
      <c r="BH110" s="72">
        <v>0</v>
      </c>
      <c r="BI110" s="72">
        <v>96.799085084003778</v>
      </c>
      <c r="BJ110" s="72">
        <v>2169.9679669257457</v>
      </c>
      <c r="BK110" s="72">
        <v>0</v>
      </c>
      <c r="BL110" s="72">
        <v>0</v>
      </c>
      <c r="BM110" s="72">
        <v>0</v>
      </c>
      <c r="BN110" s="72">
        <v>0</v>
      </c>
      <c r="BO110" s="72">
        <v>0</v>
      </c>
      <c r="BP110" s="72">
        <v>0</v>
      </c>
      <c r="BQ110" s="72">
        <v>0</v>
      </c>
      <c r="BR110" s="72">
        <v>0</v>
      </c>
      <c r="BS110" s="72">
        <v>0</v>
      </c>
      <c r="BT110" s="72">
        <v>0</v>
      </c>
      <c r="BU110" s="72">
        <v>0</v>
      </c>
      <c r="BV110" s="72">
        <v>0</v>
      </c>
      <c r="BW110" s="72">
        <v>0</v>
      </c>
      <c r="BX110" s="72">
        <v>0</v>
      </c>
      <c r="BY110" s="72">
        <v>0</v>
      </c>
      <c r="BZ110" s="72">
        <v>0</v>
      </c>
      <c r="CA110" s="72">
        <v>0</v>
      </c>
      <c r="CB110" s="72">
        <v>0</v>
      </c>
      <c r="CC110" s="72">
        <v>0</v>
      </c>
      <c r="CD110" s="72">
        <v>0</v>
      </c>
      <c r="CE110" s="72">
        <v>0</v>
      </c>
      <c r="CF110" s="72">
        <v>0</v>
      </c>
      <c r="CG110" s="72">
        <v>0</v>
      </c>
      <c r="CH110" s="72">
        <v>0</v>
      </c>
      <c r="CI110" s="72">
        <v>0</v>
      </c>
      <c r="CJ110" s="72">
        <v>0</v>
      </c>
      <c r="CK110" s="72">
        <v>0</v>
      </c>
      <c r="CL110" s="72">
        <v>0</v>
      </c>
      <c r="CM110" s="72">
        <v>0</v>
      </c>
      <c r="CN110" s="72">
        <v>0</v>
      </c>
      <c r="CO110" s="72">
        <v>0</v>
      </c>
      <c r="CP110" s="72">
        <v>0</v>
      </c>
      <c r="CQ110" s="72">
        <v>0</v>
      </c>
      <c r="CR110" s="72">
        <v>0</v>
      </c>
      <c r="CS110" s="72">
        <v>0</v>
      </c>
      <c r="CT110" s="72">
        <v>0</v>
      </c>
      <c r="CU110" s="72">
        <v>0</v>
      </c>
      <c r="CV110" s="72">
        <v>0</v>
      </c>
      <c r="CW110" s="72">
        <v>0</v>
      </c>
      <c r="CX110" s="72">
        <v>0</v>
      </c>
      <c r="CY110" s="72">
        <v>0</v>
      </c>
      <c r="CZ110" s="72">
        <v>0</v>
      </c>
      <c r="DA110" s="72">
        <v>0</v>
      </c>
      <c r="DB110" s="72">
        <v>0</v>
      </c>
      <c r="DC110" s="72">
        <v>0</v>
      </c>
      <c r="DD110" s="72">
        <v>0</v>
      </c>
      <c r="DE110" s="72">
        <v>0</v>
      </c>
      <c r="DF110" s="72">
        <v>0</v>
      </c>
      <c r="DG110" s="72">
        <v>0</v>
      </c>
      <c r="DH110" s="72">
        <v>0</v>
      </c>
      <c r="DI110" s="72">
        <v>0</v>
      </c>
      <c r="DJ110" s="72">
        <v>0</v>
      </c>
      <c r="DK110" s="72">
        <v>0</v>
      </c>
      <c r="DL110" s="72">
        <v>0</v>
      </c>
      <c r="DM110" s="72">
        <v>0</v>
      </c>
      <c r="DN110" s="72">
        <v>0</v>
      </c>
      <c r="DO110" s="72">
        <v>0</v>
      </c>
      <c r="DP110" s="72">
        <v>0</v>
      </c>
      <c r="DQ110" s="72">
        <v>0</v>
      </c>
      <c r="DR110" s="72">
        <v>0</v>
      </c>
      <c r="DS110" s="72">
        <v>0</v>
      </c>
      <c r="DT110" s="72">
        <v>0</v>
      </c>
      <c r="DU110" s="72">
        <v>0</v>
      </c>
      <c r="DV110" s="72">
        <v>0</v>
      </c>
      <c r="DW110" s="72">
        <v>0</v>
      </c>
      <c r="DX110" s="72">
        <v>0</v>
      </c>
      <c r="DY110" s="72">
        <v>0</v>
      </c>
      <c r="DZ110" s="72">
        <v>0</v>
      </c>
      <c r="EA110" s="72">
        <v>0</v>
      </c>
      <c r="EB110" s="72">
        <v>0</v>
      </c>
      <c r="EC110" s="72">
        <v>0</v>
      </c>
      <c r="ED110" s="72">
        <v>0</v>
      </c>
      <c r="EE110" s="72">
        <v>0</v>
      </c>
      <c r="EF110" s="72">
        <v>0</v>
      </c>
      <c r="EG110" s="72">
        <v>0</v>
      </c>
      <c r="EH110" s="72">
        <v>0</v>
      </c>
      <c r="EI110" s="72">
        <v>0</v>
      </c>
      <c r="EJ110" s="72">
        <v>0</v>
      </c>
      <c r="EK110" s="72">
        <v>0</v>
      </c>
      <c r="EL110" s="72">
        <v>0</v>
      </c>
      <c r="EM110" s="72">
        <v>0</v>
      </c>
      <c r="EN110" s="72">
        <v>0</v>
      </c>
      <c r="EO110" s="72">
        <v>0</v>
      </c>
      <c r="EP110" s="72">
        <v>0</v>
      </c>
      <c r="EQ110" s="72">
        <v>0</v>
      </c>
      <c r="ER110" s="72">
        <v>0</v>
      </c>
      <c r="ES110" s="72">
        <v>0</v>
      </c>
      <c r="ET110" s="72">
        <v>0</v>
      </c>
      <c r="EU110" s="72">
        <v>0</v>
      </c>
      <c r="EV110" s="72">
        <v>0</v>
      </c>
      <c r="EW110" s="72">
        <v>0</v>
      </c>
      <c r="EX110" s="72">
        <v>0</v>
      </c>
      <c r="EY110" s="72">
        <v>0</v>
      </c>
      <c r="EZ110" s="72">
        <v>0</v>
      </c>
      <c r="FA110" s="72">
        <v>0</v>
      </c>
      <c r="FB110" s="72">
        <v>0</v>
      </c>
      <c r="FC110" s="72">
        <v>0</v>
      </c>
      <c r="FD110" s="72">
        <v>0</v>
      </c>
      <c r="FE110" s="72">
        <v>0</v>
      </c>
      <c r="FF110" s="72">
        <v>0</v>
      </c>
      <c r="FG110" s="72">
        <v>0</v>
      </c>
      <c r="FH110" s="72">
        <v>0</v>
      </c>
      <c r="FI110" s="72">
        <v>0</v>
      </c>
      <c r="FJ110" s="72">
        <v>0</v>
      </c>
      <c r="FK110" s="72">
        <v>0</v>
      </c>
      <c r="FL110" s="72">
        <v>0</v>
      </c>
      <c r="FM110" s="72">
        <v>0</v>
      </c>
      <c r="FN110" s="72">
        <v>0</v>
      </c>
      <c r="FO110" s="72">
        <v>0</v>
      </c>
      <c r="FP110" s="72">
        <v>0</v>
      </c>
      <c r="FQ110" s="72">
        <v>0</v>
      </c>
      <c r="FR110" s="72">
        <v>0</v>
      </c>
      <c r="FS110" s="72">
        <v>0</v>
      </c>
      <c r="FT110" s="72">
        <v>0</v>
      </c>
      <c r="FU110" s="72">
        <v>0</v>
      </c>
      <c r="FV110" s="74">
        <v>4.7183231866293071E-2</v>
      </c>
      <c r="FW110" s="74">
        <v>0.48680726379741573</v>
      </c>
      <c r="FX110" s="74">
        <v>0.80568592553287721</v>
      </c>
      <c r="FY110" s="74">
        <v>1.3219862325989999</v>
      </c>
      <c r="FZ110" s="74">
        <v>0.10596779191057767</v>
      </c>
      <c r="GA110" s="74">
        <v>0.30004014103811522</v>
      </c>
      <c r="GB110" s="74">
        <v>0.38073127113940214</v>
      </c>
      <c r="GC110" s="74">
        <v>0.62512399499318438</v>
      </c>
      <c r="GD110" s="74">
        <v>0.14076065471344718</v>
      </c>
      <c r="GE110" s="74">
        <v>0</v>
      </c>
      <c r="GF110" s="74">
        <v>0.10370365497811682</v>
      </c>
      <c r="GG110" s="74">
        <v>0.24670764365214165</v>
      </c>
      <c r="GH110" s="74">
        <v>0.21141925781560819</v>
      </c>
      <c r="GI110" s="74">
        <v>0</v>
      </c>
      <c r="GJ110" s="72">
        <v>0</v>
      </c>
      <c r="GK110" s="72">
        <v>0</v>
      </c>
      <c r="GL110" s="72">
        <v>0</v>
      </c>
      <c r="GM110" s="72">
        <v>0</v>
      </c>
      <c r="GN110" s="72">
        <v>0</v>
      </c>
      <c r="GO110" s="72">
        <v>0</v>
      </c>
      <c r="GP110" s="72">
        <v>-874.161357691538</v>
      </c>
      <c r="GQ110" s="72">
        <v>14276.112720541536</v>
      </c>
      <c r="GR110" s="72">
        <f t="shared" si="1"/>
        <v>71515.892619569582</v>
      </c>
      <c r="GS110" s="72">
        <f>SUM(DC$5:DC$202)</f>
        <v>71515.892619569582</v>
      </c>
      <c r="GT110" s="73">
        <v>0</v>
      </c>
    </row>
    <row r="111" spans="1:202" outlineLevel="1" x14ac:dyDescent="0.2">
      <c r="A111" s="66" t="s">
        <v>894</v>
      </c>
      <c r="B111" s="72">
        <v>2430.2699395605005</v>
      </c>
      <c r="C111" s="72">
        <v>9.1349605852469153</v>
      </c>
      <c r="D111" s="72">
        <v>0.79848149567727333</v>
      </c>
      <c r="E111" s="72">
        <v>533.62789939553727</v>
      </c>
      <c r="F111" s="72">
        <v>469.63668263473744</v>
      </c>
      <c r="G111" s="72">
        <v>1900.5050568142769</v>
      </c>
      <c r="H111" s="72">
        <v>238.95908637363635</v>
      </c>
      <c r="I111" s="72">
        <v>50.932534407167893</v>
      </c>
      <c r="J111" s="72">
        <v>20.008493285613589</v>
      </c>
      <c r="K111" s="72">
        <v>123.50544219312469</v>
      </c>
      <c r="L111" s="72">
        <v>12.516917845789418</v>
      </c>
      <c r="M111" s="72">
        <v>1.335493915389427</v>
      </c>
      <c r="N111" s="72">
        <v>56.2221966037242</v>
      </c>
      <c r="O111" s="72">
        <v>20.147001906665217</v>
      </c>
      <c r="P111" s="72">
        <v>9.4354722448313417</v>
      </c>
      <c r="Q111" s="72">
        <v>8.9423351087349694</v>
      </c>
      <c r="R111" s="72">
        <v>3.9327744715960109</v>
      </c>
      <c r="S111" s="72">
        <v>17.850599439562938</v>
      </c>
      <c r="T111" s="72">
        <v>37.989632497870545</v>
      </c>
      <c r="U111" s="72">
        <v>1923.1528984151064</v>
      </c>
      <c r="V111" s="72">
        <v>23.784376031547314</v>
      </c>
      <c r="W111" s="72">
        <v>75.111977656058684</v>
      </c>
      <c r="X111" s="72">
        <v>76.676496685242469</v>
      </c>
      <c r="Y111" s="72">
        <v>4.3783106718659583</v>
      </c>
      <c r="Z111" s="72">
        <v>257.97420940412758</v>
      </c>
      <c r="AA111" s="72">
        <v>350.76693190545501</v>
      </c>
      <c r="AB111" s="72">
        <v>36.565923161714949</v>
      </c>
      <c r="AC111" s="72">
        <v>4.1577841842743233</v>
      </c>
      <c r="AD111" s="72">
        <v>48.960440718752892</v>
      </c>
      <c r="AE111" s="72">
        <v>1400.4935465150591</v>
      </c>
      <c r="AF111" s="72">
        <v>114.89785224269379</v>
      </c>
      <c r="AG111" s="72">
        <v>26.346042986178837</v>
      </c>
      <c r="AH111" s="72">
        <v>605.46274259930431</v>
      </c>
      <c r="AI111" s="72">
        <v>133.28630033405844</v>
      </c>
      <c r="AJ111" s="72">
        <v>127.30553740985613</v>
      </c>
      <c r="AK111" s="72">
        <v>2562.6409801119353</v>
      </c>
      <c r="AL111" s="72">
        <v>354.36987808711638</v>
      </c>
      <c r="AM111" s="72">
        <v>157.42638466283347</v>
      </c>
      <c r="AN111" s="72">
        <v>125.24667366166619</v>
      </c>
      <c r="AO111" s="72">
        <v>27.189875582498811</v>
      </c>
      <c r="AP111" s="72">
        <v>3405.1102337373554</v>
      </c>
      <c r="AQ111" s="72">
        <v>27.386627109403342</v>
      </c>
      <c r="AR111" s="72">
        <v>33.863870874613909</v>
      </c>
      <c r="AS111" s="72">
        <v>43.902979864195217</v>
      </c>
      <c r="AT111" s="72">
        <v>341.83162005444399</v>
      </c>
      <c r="AU111" s="72">
        <v>0</v>
      </c>
      <c r="AV111" s="72">
        <v>0</v>
      </c>
      <c r="AW111" s="72">
        <v>192.40264245931871</v>
      </c>
      <c r="AX111" s="72">
        <v>5.8848258136423874</v>
      </c>
      <c r="AY111" s="72">
        <v>24.334279688021958</v>
      </c>
      <c r="AZ111" s="72">
        <v>8.2561687958726733</v>
      </c>
      <c r="BA111" s="72">
        <v>1.5460700800658964</v>
      </c>
      <c r="BB111" s="72">
        <v>90.851909505002226</v>
      </c>
      <c r="BC111" s="72">
        <v>587.52389242542768</v>
      </c>
      <c r="BD111" s="72">
        <v>0.11305834853045699</v>
      </c>
      <c r="BE111" s="72">
        <v>498.12808647411811</v>
      </c>
      <c r="BF111" s="72">
        <v>23.295201517475387</v>
      </c>
      <c r="BG111" s="72">
        <v>2.4106053409363577</v>
      </c>
      <c r="BH111" s="72">
        <v>10.954195081289642</v>
      </c>
      <c r="BI111" s="72">
        <v>7.605139495974818</v>
      </c>
      <c r="BJ111" s="72">
        <v>4499.3585640530728</v>
      </c>
      <c r="BK111" s="72">
        <v>0</v>
      </c>
      <c r="BL111" s="72">
        <v>0</v>
      </c>
      <c r="BM111" s="72">
        <v>0</v>
      </c>
      <c r="BN111" s="72">
        <v>0</v>
      </c>
      <c r="BO111" s="72">
        <v>0</v>
      </c>
      <c r="BP111" s="72">
        <v>0</v>
      </c>
      <c r="BQ111" s="72">
        <v>0</v>
      </c>
      <c r="BR111" s="72">
        <v>0</v>
      </c>
      <c r="BS111" s="72">
        <v>0</v>
      </c>
      <c r="BT111" s="72">
        <v>0</v>
      </c>
      <c r="BU111" s="72">
        <v>0</v>
      </c>
      <c r="BV111" s="72">
        <v>0</v>
      </c>
      <c r="BW111" s="72">
        <v>0</v>
      </c>
      <c r="BX111" s="72">
        <v>0</v>
      </c>
      <c r="BY111" s="72">
        <v>0</v>
      </c>
      <c r="BZ111" s="72">
        <v>0</v>
      </c>
      <c r="CA111" s="72">
        <v>0</v>
      </c>
      <c r="CB111" s="72">
        <v>0</v>
      </c>
      <c r="CC111" s="72">
        <v>0</v>
      </c>
      <c r="CD111" s="72">
        <v>0</v>
      </c>
      <c r="CE111" s="72">
        <v>0</v>
      </c>
      <c r="CF111" s="72">
        <v>0</v>
      </c>
      <c r="CG111" s="72">
        <v>0</v>
      </c>
      <c r="CH111" s="72">
        <v>0</v>
      </c>
      <c r="CI111" s="72">
        <v>0</v>
      </c>
      <c r="CJ111" s="72">
        <v>0</v>
      </c>
      <c r="CK111" s="72">
        <v>0</v>
      </c>
      <c r="CL111" s="72">
        <v>0</v>
      </c>
      <c r="CM111" s="72">
        <v>0</v>
      </c>
      <c r="CN111" s="72">
        <v>0</v>
      </c>
      <c r="CO111" s="72">
        <v>0</v>
      </c>
      <c r="CP111" s="72">
        <v>0</v>
      </c>
      <c r="CQ111" s="72">
        <v>0</v>
      </c>
      <c r="CR111" s="72">
        <v>0</v>
      </c>
      <c r="CS111" s="72">
        <v>0</v>
      </c>
      <c r="CT111" s="72">
        <v>0</v>
      </c>
      <c r="CU111" s="72">
        <v>0</v>
      </c>
      <c r="CV111" s="72">
        <v>0</v>
      </c>
      <c r="CW111" s="72">
        <v>0</v>
      </c>
      <c r="CX111" s="72">
        <v>0</v>
      </c>
      <c r="CY111" s="72">
        <v>0</v>
      </c>
      <c r="CZ111" s="72">
        <v>0</v>
      </c>
      <c r="DA111" s="72">
        <v>0</v>
      </c>
      <c r="DB111" s="72">
        <v>0</v>
      </c>
      <c r="DC111" s="72">
        <v>0</v>
      </c>
      <c r="DD111" s="72">
        <v>0</v>
      </c>
      <c r="DE111" s="72">
        <v>0</v>
      </c>
      <c r="DF111" s="72">
        <v>0</v>
      </c>
      <c r="DG111" s="72">
        <v>0</v>
      </c>
      <c r="DH111" s="72">
        <v>0</v>
      </c>
      <c r="DI111" s="72">
        <v>0</v>
      </c>
      <c r="DJ111" s="72">
        <v>0</v>
      </c>
      <c r="DK111" s="72">
        <v>0</v>
      </c>
      <c r="DL111" s="72">
        <v>0</v>
      </c>
      <c r="DM111" s="72">
        <v>0</v>
      </c>
      <c r="DN111" s="72">
        <v>0</v>
      </c>
      <c r="DO111" s="72">
        <v>0</v>
      </c>
      <c r="DP111" s="72">
        <v>0</v>
      </c>
      <c r="DQ111" s="72">
        <v>0</v>
      </c>
      <c r="DR111" s="72">
        <v>0</v>
      </c>
      <c r="DS111" s="72">
        <v>0</v>
      </c>
      <c r="DT111" s="72">
        <v>0</v>
      </c>
      <c r="DU111" s="72">
        <v>0</v>
      </c>
      <c r="DV111" s="72">
        <v>0</v>
      </c>
      <c r="DW111" s="72">
        <v>0</v>
      </c>
      <c r="DX111" s="72">
        <v>0</v>
      </c>
      <c r="DY111" s="72">
        <v>0</v>
      </c>
      <c r="DZ111" s="72">
        <v>0</v>
      </c>
      <c r="EA111" s="72">
        <v>0</v>
      </c>
      <c r="EB111" s="72">
        <v>0</v>
      </c>
      <c r="EC111" s="72">
        <v>0</v>
      </c>
      <c r="ED111" s="72">
        <v>0</v>
      </c>
      <c r="EE111" s="72">
        <v>0</v>
      </c>
      <c r="EF111" s="72">
        <v>0</v>
      </c>
      <c r="EG111" s="72">
        <v>0</v>
      </c>
      <c r="EH111" s="72">
        <v>0</v>
      </c>
      <c r="EI111" s="72">
        <v>0</v>
      </c>
      <c r="EJ111" s="72">
        <v>0</v>
      </c>
      <c r="EK111" s="72">
        <v>0</v>
      </c>
      <c r="EL111" s="72">
        <v>0</v>
      </c>
      <c r="EM111" s="72">
        <v>0</v>
      </c>
      <c r="EN111" s="72">
        <v>0</v>
      </c>
      <c r="EO111" s="72">
        <v>0</v>
      </c>
      <c r="EP111" s="72">
        <v>0</v>
      </c>
      <c r="EQ111" s="72">
        <v>0</v>
      </c>
      <c r="ER111" s="72">
        <v>0</v>
      </c>
      <c r="ES111" s="72">
        <v>0</v>
      </c>
      <c r="ET111" s="72">
        <v>0</v>
      </c>
      <c r="EU111" s="72">
        <v>0</v>
      </c>
      <c r="EV111" s="72">
        <v>0</v>
      </c>
      <c r="EW111" s="72">
        <v>0</v>
      </c>
      <c r="EX111" s="72">
        <v>0</v>
      </c>
      <c r="EY111" s="72">
        <v>0</v>
      </c>
      <c r="EZ111" s="72">
        <v>0</v>
      </c>
      <c r="FA111" s="72">
        <v>0</v>
      </c>
      <c r="FB111" s="72">
        <v>0</v>
      </c>
      <c r="FC111" s="72">
        <v>0</v>
      </c>
      <c r="FD111" s="72">
        <v>0</v>
      </c>
      <c r="FE111" s="72">
        <v>0</v>
      </c>
      <c r="FF111" s="72">
        <v>0</v>
      </c>
      <c r="FG111" s="72">
        <v>0</v>
      </c>
      <c r="FH111" s="72">
        <v>0</v>
      </c>
      <c r="FI111" s="72">
        <v>0</v>
      </c>
      <c r="FJ111" s="72">
        <v>0</v>
      </c>
      <c r="FK111" s="72">
        <v>0</v>
      </c>
      <c r="FL111" s="72">
        <v>0</v>
      </c>
      <c r="FM111" s="72">
        <v>0</v>
      </c>
      <c r="FN111" s="72">
        <v>0</v>
      </c>
      <c r="FO111" s="72">
        <v>0</v>
      </c>
      <c r="FP111" s="72">
        <v>0</v>
      </c>
      <c r="FQ111" s="72">
        <v>0</v>
      </c>
      <c r="FR111" s="72">
        <v>0</v>
      </c>
      <c r="FS111" s="72">
        <v>0</v>
      </c>
      <c r="FT111" s="72">
        <v>0</v>
      </c>
      <c r="FU111" s="72">
        <v>0</v>
      </c>
      <c r="FV111" s="74">
        <v>17.345123799860449</v>
      </c>
      <c r="FW111" s="74">
        <v>68.396610181959176</v>
      </c>
      <c r="FX111" s="74">
        <v>299.51956710006078</v>
      </c>
      <c r="FY111" s="74">
        <v>495.61382968871089</v>
      </c>
      <c r="FZ111" s="74">
        <v>567.2608317827486</v>
      </c>
      <c r="GA111" s="74">
        <v>910.31545496726426</v>
      </c>
      <c r="GB111" s="74">
        <v>1768.8799900016363</v>
      </c>
      <c r="GC111" s="74">
        <v>3322.0358219529162</v>
      </c>
      <c r="GD111" s="74">
        <v>6255.133062249768</v>
      </c>
      <c r="GE111" s="74">
        <v>1281.4666624348686</v>
      </c>
      <c r="GF111" s="74">
        <v>1599.8415042665879</v>
      </c>
      <c r="GG111" s="74">
        <v>2341.990769414791</v>
      </c>
      <c r="GH111" s="74">
        <v>5085.8071995540477</v>
      </c>
      <c r="GI111" s="74">
        <v>3986.8622915137253</v>
      </c>
      <c r="GJ111" s="72">
        <v>0</v>
      </c>
      <c r="GK111" s="72">
        <v>0</v>
      </c>
      <c r="GL111" s="72">
        <v>0</v>
      </c>
      <c r="GM111" s="72">
        <v>0</v>
      </c>
      <c r="GN111" s="72">
        <v>0</v>
      </c>
      <c r="GO111" s="72">
        <v>0</v>
      </c>
      <c r="GP111" s="72">
        <v>375.62154620468402</v>
      </c>
      <c r="GQ111" s="72">
        <v>6442.8112409996547</v>
      </c>
      <c r="GR111" s="72">
        <f t="shared" si="1"/>
        <v>59005.607640639064</v>
      </c>
      <c r="GS111" s="72">
        <f>SUM(DD$5:DD$202)</f>
        <v>59005.607640639071</v>
      </c>
      <c r="GT111" s="73">
        <v>0</v>
      </c>
    </row>
    <row r="112" spans="1:202" outlineLevel="1" x14ac:dyDescent="0.2">
      <c r="A112" s="66" t="s">
        <v>909</v>
      </c>
      <c r="B112" s="72">
        <v>5481.5261359823153</v>
      </c>
      <c r="C112" s="72">
        <v>167.66036710638406</v>
      </c>
      <c r="D112" s="72">
        <v>31.233820490945803</v>
      </c>
      <c r="E112" s="72">
        <v>6.7757920025807454</v>
      </c>
      <c r="F112" s="72">
        <v>6.6167471158652038</v>
      </c>
      <c r="G112" s="72">
        <v>55.099769892431567</v>
      </c>
      <c r="H112" s="72">
        <v>0</v>
      </c>
      <c r="I112" s="72">
        <v>8861.5114235424116</v>
      </c>
      <c r="J112" s="72">
        <v>2427.3552034035811</v>
      </c>
      <c r="K112" s="72">
        <v>411.55989412116753</v>
      </c>
      <c r="L112" s="72">
        <v>148.10115430660971</v>
      </c>
      <c r="M112" s="72">
        <v>16.664602765179673</v>
      </c>
      <c r="N112" s="72">
        <v>52.767130226087261</v>
      </c>
      <c r="O112" s="72">
        <v>650.5809299143142</v>
      </c>
      <c r="P112" s="72">
        <v>487.76909916783711</v>
      </c>
      <c r="Q112" s="72">
        <v>390.46394406444915</v>
      </c>
      <c r="R112" s="72">
        <v>228.90592793987562</v>
      </c>
      <c r="S112" s="72">
        <v>397.24385156257489</v>
      </c>
      <c r="T112" s="72">
        <v>3059.7712583167568</v>
      </c>
      <c r="U112" s="72">
        <v>34.458170179042412</v>
      </c>
      <c r="V112" s="72">
        <v>1974.4503719073491</v>
      </c>
      <c r="W112" s="72">
        <v>143.97940246167209</v>
      </c>
      <c r="X112" s="72">
        <v>1323.7459314100659</v>
      </c>
      <c r="Y112" s="72">
        <v>173.52817401065337</v>
      </c>
      <c r="Z112" s="72">
        <v>831.76794394225749</v>
      </c>
      <c r="AA112" s="72">
        <v>1414.3473675286232</v>
      </c>
      <c r="AB112" s="72">
        <v>1031.5824988464833</v>
      </c>
      <c r="AC112" s="72">
        <v>995.80941420196268</v>
      </c>
      <c r="AD112" s="72">
        <v>577.23217128776207</v>
      </c>
      <c r="AE112" s="72">
        <v>2372.0992194221899</v>
      </c>
      <c r="AF112" s="72">
        <v>16.543098917963594</v>
      </c>
      <c r="AG112" s="72">
        <v>297.54216081291332</v>
      </c>
      <c r="AH112" s="72">
        <v>823.72706128096854</v>
      </c>
      <c r="AI112" s="72">
        <v>1.3458347550576506</v>
      </c>
      <c r="AJ112" s="72">
        <v>131.05474459495048</v>
      </c>
      <c r="AK112" s="72">
        <v>10901.082995367949</v>
      </c>
      <c r="AL112" s="72">
        <v>217.16320000206267</v>
      </c>
      <c r="AM112" s="72">
        <v>488.94028398944113</v>
      </c>
      <c r="AN112" s="72">
        <v>44.467047834207889</v>
      </c>
      <c r="AO112" s="72">
        <v>87.650235537375465</v>
      </c>
      <c r="AP112" s="72">
        <v>91.029236364560902</v>
      </c>
      <c r="AQ112" s="72">
        <v>1.3204585061513305</v>
      </c>
      <c r="AR112" s="72">
        <v>183.91520811142877</v>
      </c>
      <c r="AS112" s="72">
        <v>239.75054193078614</v>
      </c>
      <c r="AT112" s="72">
        <v>323.16416147020203</v>
      </c>
      <c r="AU112" s="72">
        <v>0</v>
      </c>
      <c r="AV112" s="72">
        <v>0</v>
      </c>
      <c r="AW112" s="72">
        <v>0</v>
      </c>
      <c r="AX112" s="72">
        <v>1.8837415392235095</v>
      </c>
      <c r="AY112" s="72">
        <v>0.87748727223691958</v>
      </c>
      <c r="AZ112" s="72">
        <v>28.007016138665151</v>
      </c>
      <c r="BA112" s="72">
        <v>0.47531196433097289</v>
      </c>
      <c r="BB112" s="72">
        <v>28.082347659230948</v>
      </c>
      <c r="BC112" s="72">
        <v>35.194721070707594</v>
      </c>
      <c r="BD112" s="72">
        <v>10.402078070838998</v>
      </c>
      <c r="BE112" s="72">
        <v>183.0420496793968</v>
      </c>
      <c r="BF112" s="72">
        <v>3661.927233965107</v>
      </c>
      <c r="BG112" s="72">
        <v>0.16140525932008068</v>
      </c>
      <c r="BH112" s="72">
        <v>1.4941141298055558</v>
      </c>
      <c r="BI112" s="72">
        <v>1.4755449600848749</v>
      </c>
      <c r="BJ112" s="72">
        <v>11914.074687072673</v>
      </c>
      <c r="BK112" s="72">
        <v>0</v>
      </c>
      <c r="BL112" s="72">
        <v>0</v>
      </c>
      <c r="BM112" s="72">
        <v>0</v>
      </c>
      <c r="BN112" s="72">
        <v>0</v>
      </c>
      <c r="BO112" s="72">
        <v>0</v>
      </c>
      <c r="BP112" s="72">
        <v>0</v>
      </c>
      <c r="BQ112" s="72">
        <v>0</v>
      </c>
      <c r="BR112" s="72">
        <v>0</v>
      </c>
      <c r="BS112" s="72">
        <v>0</v>
      </c>
      <c r="BT112" s="72">
        <v>0</v>
      </c>
      <c r="BU112" s="72">
        <v>0</v>
      </c>
      <c r="BV112" s="72">
        <v>0</v>
      </c>
      <c r="BW112" s="72">
        <v>0</v>
      </c>
      <c r="BX112" s="72">
        <v>0</v>
      </c>
      <c r="BY112" s="72">
        <v>0</v>
      </c>
      <c r="BZ112" s="72">
        <v>0</v>
      </c>
      <c r="CA112" s="72">
        <v>0</v>
      </c>
      <c r="CB112" s="72">
        <v>0</v>
      </c>
      <c r="CC112" s="72">
        <v>0</v>
      </c>
      <c r="CD112" s="72">
        <v>0</v>
      </c>
      <c r="CE112" s="72">
        <v>0</v>
      </c>
      <c r="CF112" s="72">
        <v>0</v>
      </c>
      <c r="CG112" s="72">
        <v>0</v>
      </c>
      <c r="CH112" s="72">
        <v>0</v>
      </c>
      <c r="CI112" s="72">
        <v>0</v>
      </c>
      <c r="CJ112" s="72">
        <v>0</v>
      </c>
      <c r="CK112" s="72">
        <v>0</v>
      </c>
      <c r="CL112" s="72">
        <v>0</v>
      </c>
      <c r="CM112" s="72">
        <v>0</v>
      </c>
      <c r="CN112" s="72">
        <v>0</v>
      </c>
      <c r="CO112" s="72">
        <v>0</v>
      </c>
      <c r="CP112" s="72">
        <v>0</v>
      </c>
      <c r="CQ112" s="72">
        <v>0</v>
      </c>
      <c r="CR112" s="72">
        <v>0</v>
      </c>
      <c r="CS112" s="72">
        <v>0</v>
      </c>
      <c r="CT112" s="72">
        <v>0</v>
      </c>
      <c r="CU112" s="72">
        <v>0</v>
      </c>
      <c r="CV112" s="72">
        <v>0</v>
      </c>
      <c r="CW112" s="72">
        <v>0</v>
      </c>
      <c r="CX112" s="72">
        <v>0</v>
      </c>
      <c r="CY112" s="72">
        <v>0</v>
      </c>
      <c r="CZ112" s="72">
        <v>0</v>
      </c>
      <c r="DA112" s="72">
        <v>0</v>
      </c>
      <c r="DB112" s="72">
        <v>0</v>
      </c>
      <c r="DC112" s="72">
        <v>0</v>
      </c>
      <c r="DD112" s="72">
        <v>0</v>
      </c>
      <c r="DE112" s="72">
        <v>0</v>
      </c>
      <c r="DF112" s="72">
        <v>0</v>
      </c>
      <c r="DG112" s="72">
        <v>0</v>
      </c>
      <c r="DH112" s="72">
        <v>0</v>
      </c>
      <c r="DI112" s="72">
        <v>0</v>
      </c>
      <c r="DJ112" s="72">
        <v>0</v>
      </c>
      <c r="DK112" s="72">
        <v>0</v>
      </c>
      <c r="DL112" s="72">
        <v>0</v>
      </c>
      <c r="DM112" s="72">
        <v>0</v>
      </c>
      <c r="DN112" s="72">
        <v>0</v>
      </c>
      <c r="DO112" s="72">
        <v>0</v>
      </c>
      <c r="DP112" s="72">
        <v>0</v>
      </c>
      <c r="DQ112" s="72">
        <v>0</v>
      </c>
      <c r="DR112" s="72">
        <v>0</v>
      </c>
      <c r="DS112" s="72">
        <v>0</v>
      </c>
      <c r="DT112" s="72">
        <v>0</v>
      </c>
      <c r="DU112" s="72">
        <v>0</v>
      </c>
      <c r="DV112" s="72">
        <v>0</v>
      </c>
      <c r="DW112" s="72">
        <v>0</v>
      </c>
      <c r="DX112" s="72">
        <v>0</v>
      </c>
      <c r="DY112" s="72">
        <v>0</v>
      </c>
      <c r="DZ112" s="72">
        <v>0</v>
      </c>
      <c r="EA112" s="72">
        <v>0</v>
      </c>
      <c r="EB112" s="72">
        <v>0</v>
      </c>
      <c r="EC112" s="72">
        <v>0</v>
      </c>
      <c r="ED112" s="72">
        <v>0</v>
      </c>
      <c r="EE112" s="72">
        <v>0</v>
      </c>
      <c r="EF112" s="72">
        <v>0</v>
      </c>
      <c r="EG112" s="72">
        <v>0</v>
      </c>
      <c r="EH112" s="72">
        <v>0</v>
      </c>
      <c r="EI112" s="72">
        <v>0</v>
      </c>
      <c r="EJ112" s="72">
        <v>0</v>
      </c>
      <c r="EK112" s="72">
        <v>0</v>
      </c>
      <c r="EL112" s="72">
        <v>0</v>
      </c>
      <c r="EM112" s="72">
        <v>0</v>
      </c>
      <c r="EN112" s="72">
        <v>0</v>
      </c>
      <c r="EO112" s="72">
        <v>0</v>
      </c>
      <c r="EP112" s="72">
        <v>0</v>
      </c>
      <c r="EQ112" s="72">
        <v>0</v>
      </c>
      <c r="ER112" s="72">
        <v>0</v>
      </c>
      <c r="ES112" s="72">
        <v>0</v>
      </c>
      <c r="ET112" s="72">
        <v>0</v>
      </c>
      <c r="EU112" s="72">
        <v>0</v>
      </c>
      <c r="EV112" s="72">
        <v>0</v>
      </c>
      <c r="EW112" s="72">
        <v>0</v>
      </c>
      <c r="EX112" s="72">
        <v>0</v>
      </c>
      <c r="EY112" s="72">
        <v>0</v>
      </c>
      <c r="EZ112" s="72">
        <v>0</v>
      </c>
      <c r="FA112" s="72">
        <v>0</v>
      </c>
      <c r="FB112" s="72">
        <v>0</v>
      </c>
      <c r="FC112" s="72">
        <v>0</v>
      </c>
      <c r="FD112" s="72">
        <v>0</v>
      </c>
      <c r="FE112" s="72">
        <v>0</v>
      </c>
      <c r="FF112" s="72">
        <v>0</v>
      </c>
      <c r="FG112" s="72">
        <v>0</v>
      </c>
      <c r="FH112" s="72">
        <v>0</v>
      </c>
      <c r="FI112" s="72">
        <v>0</v>
      </c>
      <c r="FJ112" s="72">
        <v>0</v>
      </c>
      <c r="FK112" s="72">
        <v>0</v>
      </c>
      <c r="FL112" s="72">
        <v>0</v>
      </c>
      <c r="FM112" s="72">
        <v>0</v>
      </c>
      <c r="FN112" s="72">
        <v>0</v>
      </c>
      <c r="FO112" s="72">
        <v>0</v>
      </c>
      <c r="FP112" s="72">
        <v>0</v>
      </c>
      <c r="FQ112" s="72">
        <v>0</v>
      </c>
      <c r="FR112" s="72">
        <v>0</v>
      </c>
      <c r="FS112" s="72">
        <v>0</v>
      </c>
      <c r="FT112" s="72">
        <v>0</v>
      </c>
      <c r="FU112" s="72">
        <v>0</v>
      </c>
      <c r="FV112" s="74">
        <v>90.315305231324345</v>
      </c>
      <c r="FW112" s="74">
        <v>138.57383035048161</v>
      </c>
      <c r="FX112" s="74">
        <v>189.56535384126178</v>
      </c>
      <c r="FY112" s="74">
        <v>163.04733490504333</v>
      </c>
      <c r="FZ112" s="74">
        <v>211.81802766803395</v>
      </c>
      <c r="GA112" s="74">
        <v>343.11336329804232</v>
      </c>
      <c r="GB112" s="74">
        <v>348.71769575519107</v>
      </c>
      <c r="GC112" s="74">
        <v>400.74271187727931</v>
      </c>
      <c r="GD112" s="74">
        <v>1148.704562562689</v>
      </c>
      <c r="GE112" s="74">
        <v>182.70785086715946</v>
      </c>
      <c r="GF112" s="74">
        <v>296.21838318414041</v>
      </c>
      <c r="GG112" s="74">
        <v>204.95107455843464</v>
      </c>
      <c r="GH112" s="74">
        <v>392.26188680957142</v>
      </c>
      <c r="GI112" s="74">
        <v>553.16289135014256</v>
      </c>
      <c r="GJ112" s="72">
        <v>0</v>
      </c>
      <c r="GK112" s="72">
        <v>0</v>
      </c>
      <c r="GL112" s="72">
        <v>0</v>
      </c>
      <c r="GM112" s="72">
        <v>0</v>
      </c>
      <c r="GN112" s="72">
        <v>0</v>
      </c>
      <c r="GO112" s="72">
        <v>0</v>
      </c>
      <c r="GP112" s="72">
        <v>464.80876046492131</v>
      </c>
      <c r="GQ112" s="72">
        <v>8372.6546219513766</v>
      </c>
      <c r="GR112" s="72">
        <f t="shared" si="1"/>
        <v>76971.765380052151</v>
      </c>
      <c r="GS112" s="72">
        <f>SUM(DE$5:DE$202)</f>
        <v>76971.765380052137</v>
      </c>
      <c r="GT112" s="73">
        <v>0</v>
      </c>
    </row>
    <row r="113" spans="1:202" outlineLevel="1" x14ac:dyDescent="0.2">
      <c r="A113" s="66" t="s">
        <v>913</v>
      </c>
      <c r="B113" s="72">
        <v>552.22866942149335</v>
      </c>
      <c r="C113" s="72">
        <v>49.547329430162009</v>
      </c>
      <c r="D113" s="72">
        <v>47.338758553929061</v>
      </c>
      <c r="E113" s="72">
        <v>46.205955586018369</v>
      </c>
      <c r="F113" s="72">
        <v>45.30527055112735</v>
      </c>
      <c r="G113" s="72">
        <v>507.84789267882002</v>
      </c>
      <c r="H113" s="72">
        <v>70.608574368636795</v>
      </c>
      <c r="I113" s="72">
        <v>910.77918817134969</v>
      </c>
      <c r="J113" s="72">
        <v>2742.4213111628837</v>
      </c>
      <c r="K113" s="72">
        <v>10.421936295206347</v>
      </c>
      <c r="L113" s="72">
        <v>1.4684714316337231</v>
      </c>
      <c r="M113" s="72">
        <v>0.75560549709534797</v>
      </c>
      <c r="N113" s="72">
        <v>0.80289186114387789</v>
      </c>
      <c r="O113" s="72">
        <v>68.337946536291881</v>
      </c>
      <c r="P113" s="72">
        <v>22.439644386707688</v>
      </c>
      <c r="Q113" s="72">
        <v>4.61413589445859</v>
      </c>
      <c r="R113" s="72">
        <v>7.5150022290727279</v>
      </c>
      <c r="S113" s="72">
        <v>9.4206970005304953</v>
      </c>
      <c r="T113" s="72">
        <v>695.13200644953758</v>
      </c>
      <c r="U113" s="72">
        <v>0.69625112341293816</v>
      </c>
      <c r="V113" s="72">
        <v>304.03737068807908</v>
      </c>
      <c r="W113" s="72">
        <v>1115.3092461632268</v>
      </c>
      <c r="X113" s="72">
        <v>201.62693191295344</v>
      </c>
      <c r="Y113" s="72">
        <v>7.4613028712346177</v>
      </c>
      <c r="Z113" s="72">
        <v>350.48771101495447</v>
      </c>
      <c r="AA113" s="72">
        <v>62.906778514507394</v>
      </c>
      <c r="AB113" s="72">
        <v>115.36119026476256</v>
      </c>
      <c r="AC113" s="72">
        <v>1131.5476308683478</v>
      </c>
      <c r="AD113" s="72">
        <v>203.40773612242555</v>
      </c>
      <c r="AE113" s="72">
        <v>876.48310056928938</v>
      </c>
      <c r="AF113" s="72">
        <v>952.96714404290469</v>
      </c>
      <c r="AG113" s="72">
        <v>55.202126553120145</v>
      </c>
      <c r="AH113" s="72">
        <v>33.10096537808451</v>
      </c>
      <c r="AI113" s="72">
        <v>56.410680386998756</v>
      </c>
      <c r="AJ113" s="72">
        <v>65.084023125895925</v>
      </c>
      <c r="AK113" s="72">
        <v>1249.1085191637819</v>
      </c>
      <c r="AL113" s="72">
        <v>38.294096069621489</v>
      </c>
      <c r="AM113" s="72">
        <v>85.902050958014996</v>
      </c>
      <c r="AN113" s="72">
        <v>7.8619310706766159</v>
      </c>
      <c r="AO113" s="72">
        <v>140.74825806561674</v>
      </c>
      <c r="AP113" s="72">
        <v>5.3008149778381917</v>
      </c>
      <c r="AQ113" s="72">
        <v>3.3654353814182345E-2</v>
      </c>
      <c r="AR113" s="72">
        <v>0</v>
      </c>
      <c r="AS113" s="72">
        <v>9.0251601340437073</v>
      </c>
      <c r="AT113" s="72">
        <v>3.6747321022925998</v>
      </c>
      <c r="AU113" s="72">
        <v>0</v>
      </c>
      <c r="AV113" s="72">
        <v>0</v>
      </c>
      <c r="AW113" s="72">
        <v>0</v>
      </c>
      <c r="AX113" s="72">
        <v>545.02887490161595</v>
      </c>
      <c r="AY113" s="72">
        <v>0.15732483462439553</v>
      </c>
      <c r="AZ113" s="72">
        <v>5.0164350026285316</v>
      </c>
      <c r="BA113" s="72">
        <v>8.4864643802203793E-2</v>
      </c>
      <c r="BB113" s="72">
        <v>4.6766249845870203</v>
      </c>
      <c r="BC113" s="72">
        <v>749.10920337396283</v>
      </c>
      <c r="BD113" s="72">
        <v>6.7773244552878849</v>
      </c>
      <c r="BE113" s="72">
        <v>88.38255645174192</v>
      </c>
      <c r="BF113" s="72">
        <v>2.0319254639984919E-3</v>
      </c>
      <c r="BG113" s="72">
        <v>164.82438932401391</v>
      </c>
      <c r="BH113" s="72">
        <v>0.26730256213904308</v>
      </c>
      <c r="BI113" s="72">
        <v>0.26387542961418731</v>
      </c>
      <c r="BJ113" s="72">
        <v>1910.1830413376501</v>
      </c>
      <c r="BK113" s="72">
        <v>0</v>
      </c>
      <c r="BL113" s="72">
        <v>0</v>
      </c>
      <c r="BM113" s="72">
        <v>0</v>
      </c>
      <c r="BN113" s="72">
        <v>0</v>
      </c>
      <c r="BO113" s="72">
        <v>0</v>
      </c>
      <c r="BP113" s="72">
        <v>0</v>
      </c>
      <c r="BQ113" s="72">
        <v>0</v>
      </c>
      <c r="BR113" s="72">
        <v>0</v>
      </c>
      <c r="BS113" s="72">
        <v>0</v>
      </c>
      <c r="BT113" s="72">
        <v>0</v>
      </c>
      <c r="BU113" s="72">
        <v>0</v>
      </c>
      <c r="BV113" s="72">
        <v>0</v>
      </c>
      <c r="BW113" s="72">
        <v>0</v>
      </c>
      <c r="BX113" s="72">
        <v>0</v>
      </c>
      <c r="BY113" s="72">
        <v>0</v>
      </c>
      <c r="BZ113" s="72">
        <v>0</v>
      </c>
      <c r="CA113" s="72">
        <v>0</v>
      </c>
      <c r="CB113" s="72">
        <v>0</v>
      </c>
      <c r="CC113" s="72">
        <v>0</v>
      </c>
      <c r="CD113" s="72">
        <v>0</v>
      </c>
      <c r="CE113" s="72">
        <v>0</v>
      </c>
      <c r="CF113" s="72">
        <v>0</v>
      </c>
      <c r="CG113" s="72">
        <v>0</v>
      </c>
      <c r="CH113" s="72">
        <v>0</v>
      </c>
      <c r="CI113" s="72">
        <v>0</v>
      </c>
      <c r="CJ113" s="72">
        <v>0</v>
      </c>
      <c r="CK113" s="72">
        <v>0</v>
      </c>
      <c r="CL113" s="72">
        <v>0</v>
      </c>
      <c r="CM113" s="72">
        <v>0</v>
      </c>
      <c r="CN113" s="72">
        <v>0</v>
      </c>
      <c r="CO113" s="72">
        <v>0</v>
      </c>
      <c r="CP113" s="72">
        <v>0</v>
      </c>
      <c r="CQ113" s="72">
        <v>0</v>
      </c>
      <c r="CR113" s="72">
        <v>0</v>
      </c>
      <c r="CS113" s="72">
        <v>0</v>
      </c>
      <c r="CT113" s="72">
        <v>0</v>
      </c>
      <c r="CU113" s="72">
        <v>0</v>
      </c>
      <c r="CV113" s="72">
        <v>0</v>
      </c>
      <c r="CW113" s="72">
        <v>0</v>
      </c>
      <c r="CX113" s="72">
        <v>0</v>
      </c>
      <c r="CY113" s="72">
        <v>0</v>
      </c>
      <c r="CZ113" s="72">
        <v>0</v>
      </c>
      <c r="DA113" s="72">
        <v>0</v>
      </c>
      <c r="DB113" s="72">
        <v>0</v>
      </c>
      <c r="DC113" s="72">
        <v>0</v>
      </c>
      <c r="DD113" s="72">
        <v>0</v>
      </c>
      <c r="DE113" s="72">
        <v>0</v>
      </c>
      <c r="DF113" s="72">
        <v>0</v>
      </c>
      <c r="DG113" s="72">
        <v>0</v>
      </c>
      <c r="DH113" s="72">
        <v>0</v>
      </c>
      <c r="DI113" s="72">
        <v>0</v>
      </c>
      <c r="DJ113" s="72">
        <v>0</v>
      </c>
      <c r="DK113" s="72">
        <v>0</v>
      </c>
      <c r="DL113" s="72">
        <v>0</v>
      </c>
      <c r="DM113" s="72">
        <v>0</v>
      </c>
      <c r="DN113" s="72">
        <v>0</v>
      </c>
      <c r="DO113" s="72">
        <v>0</v>
      </c>
      <c r="DP113" s="72">
        <v>0</v>
      </c>
      <c r="DQ113" s="72">
        <v>0</v>
      </c>
      <c r="DR113" s="72">
        <v>0</v>
      </c>
      <c r="DS113" s="72">
        <v>0</v>
      </c>
      <c r="DT113" s="72">
        <v>0</v>
      </c>
      <c r="DU113" s="72">
        <v>0</v>
      </c>
      <c r="DV113" s="72">
        <v>0</v>
      </c>
      <c r="DW113" s="72">
        <v>0</v>
      </c>
      <c r="DX113" s="72">
        <v>0</v>
      </c>
      <c r="DY113" s="72">
        <v>0</v>
      </c>
      <c r="DZ113" s="72">
        <v>0</v>
      </c>
      <c r="EA113" s="72">
        <v>0</v>
      </c>
      <c r="EB113" s="72">
        <v>0</v>
      </c>
      <c r="EC113" s="72">
        <v>0</v>
      </c>
      <c r="ED113" s="72">
        <v>0</v>
      </c>
      <c r="EE113" s="72">
        <v>0</v>
      </c>
      <c r="EF113" s="72">
        <v>0</v>
      </c>
      <c r="EG113" s="72">
        <v>0</v>
      </c>
      <c r="EH113" s="72">
        <v>0</v>
      </c>
      <c r="EI113" s="72">
        <v>0</v>
      </c>
      <c r="EJ113" s="72">
        <v>0</v>
      </c>
      <c r="EK113" s="72">
        <v>0</v>
      </c>
      <c r="EL113" s="72">
        <v>0</v>
      </c>
      <c r="EM113" s="72">
        <v>0</v>
      </c>
      <c r="EN113" s="72">
        <v>0</v>
      </c>
      <c r="EO113" s="72">
        <v>0</v>
      </c>
      <c r="EP113" s="72">
        <v>0</v>
      </c>
      <c r="EQ113" s="72">
        <v>0</v>
      </c>
      <c r="ER113" s="72">
        <v>0</v>
      </c>
      <c r="ES113" s="72">
        <v>0</v>
      </c>
      <c r="ET113" s="72">
        <v>0</v>
      </c>
      <c r="EU113" s="72">
        <v>0</v>
      </c>
      <c r="EV113" s="72">
        <v>0</v>
      </c>
      <c r="EW113" s="72">
        <v>0</v>
      </c>
      <c r="EX113" s="72">
        <v>0</v>
      </c>
      <c r="EY113" s="72">
        <v>0</v>
      </c>
      <c r="EZ113" s="72">
        <v>0</v>
      </c>
      <c r="FA113" s="72">
        <v>0</v>
      </c>
      <c r="FB113" s="72">
        <v>0</v>
      </c>
      <c r="FC113" s="72">
        <v>0</v>
      </c>
      <c r="FD113" s="72">
        <v>0</v>
      </c>
      <c r="FE113" s="72">
        <v>0</v>
      </c>
      <c r="FF113" s="72">
        <v>0</v>
      </c>
      <c r="FG113" s="72">
        <v>0</v>
      </c>
      <c r="FH113" s="72">
        <v>0</v>
      </c>
      <c r="FI113" s="72">
        <v>0</v>
      </c>
      <c r="FJ113" s="72">
        <v>0</v>
      </c>
      <c r="FK113" s="72">
        <v>0</v>
      </c>
      <c r="FL113" s="72">
        <v>0</v>
      </c>
      <c r="FM113" s="72">
        <v>0</v>
      </c>
      <c r="FN113" s="72">
        <v>0</v>
      </c>
      <c r="FO113" s="72">
        <v>0</v>
      </c>
      <c r="FP113" s="72">
        <v>0</v>
      </c>
      <c r="FQ113" s="72">
        <v>0</v>
      </c>
      <c r="FR113" s="72">
        <v>0</v>
      </c>
      <c r="FS113" s="72">
        <v>0</v>
      </c>
      <c r="FT113" s="72">
        <v>0</v>
      </c>
      <c r="FU113" s="72">
        <v>0</v>
      </c>
      <c r="FV113" s="74">
        <v>38.092441184919622</v>
      </c>
      <c r="FW113" s="74">
        <v>43.212072756509862</v>
      </c>
      <c r="FX113" s="74">
        <v>60.425294501978108</v>
      </c>
      <c r="FY113" s="74">
        <v>57.478628797356173</v>
      </c>
      <c r="FZ113" s="74">
        <v>67.612149380864381</v>
      </c>
      <c r="GA113" s="74">
        <v>82.504664135526184</v>
      </c>
      <c r="GB113" s="74">
        <v>126.30378233846486</v>
      </c>
      <c r="GC113" s="74">
        <v>147.72818101120217</v>
      </c>
      <c r="GD113" s="74">
        <v>228.33150215865888</v>
      </c>
      <c r="GE113" s="74">
        <v>39.694375291432515</v>
      </c>
      <c r="GF113" s="74">
        <v>33.816895618781288</v>
      </c>
      <c r="GG113" s="74">
        <v>68.594652464200323</v>
      </c>
      <c r="GH113" s="74">
        <v>45.401781909904798</v>
      </c>
      <c r="GI113" s="74">
        <v>108.56129242092481</v>
      </c>
      <c r="GJ113" s="72">
        <v>0</v>
      </c>
      <c r="GK113" s="72">
        <v>0</v>
      </c>
      <c r="GL113" s="72">
        <v>0</v>
      </c>
      <c r="GM113" s="72">
        <v>0</v>
      </c>
      <c r="GN113" s="72">
        <v>0</v>
      </c>
      <c r="GO113" s="72">
        <v>0</v>
      </c>
      <c r="GP113" s="72">
        <v>3.6002543715872477</v>
      </c>
      <c r="GQ113" s="72">
        <v>2213.4039835810258</v>
      </c>
      <c r="GR113" s="72">
        <f t="shared" si="1"/>
        <v>19704.766495152464</v>
      </c>
      <c r="GS113" s="72">
        <f>SUM(DF$5:DF$202)</f>
        <v>19704.766495152471</v>
      </c>
      <c r="GT113" s="73">
        <v>0</v>
      </c>
    </row>
    <row r="114" spans="1:202" outlineLevel="1" x14ac:dyDescent="0.2">
      <c r="A114" s="66" t="s">
        <v>918</v>
      </c>
      <c r="B114" s="72">
        <v>0</v>
      </c>
      <c r="C114" s="72">
        <v>0</v>
      </c>
      <c r="D114" s="72">
        <v>0</v>
      </c>
      <c r="E114" s="72">
        <v>0</v>
      </c>
      <c r="F114" s="72">
        <v>0</v>
      </c>
      <c r="G114" s="72">
        <v>0</v>
      </c>
      <c r="H114" s="72">
        <v>0</v>
      </c>
      <c r="I114" s="72">
        <v>0</v>
      </c>
      <c r="J114" s="72">
        <v>0</v>
      </c>
      <c r="K114" s="72">
        <v>0</v>
      </c>
      <c r="L114" s="72">
        <v>0</v>
      </c>
      <c r="M114" s="72">
        <v>0</v>
      </c>
      <c r="N114" s="72">
        <v>0</v>
      </c>
      <c r="O114" s="72">
        <v>0</v>
      </c>
      <c r="P114" s="72">
        <v>0</v>
      </c>
      <c r="Q114" s="72">
        <v>0</v>
      </c>
      <c r="R114" s="72">
        <v>0</v>
      </c>
      <c r="S114" s="72">
        <v>0</v>
      </c>
      <c r="T114" s="72">
        <v>0</v>
      </c>
      <c r="U114" s="72">
        <v>0</v>
      </c>
      <c r="V114" s="72">
        <v>0</v>
      </c>
      <c r="W114" s="72">
        <v>0</v>
      </c>
      <c r="X114" s="72">
        <v>0</v>
      </c>
      <c r="Y114" s="72">
        <v>0</v>
      </c>
      <c r="Z114" s="72">
        <v>0</v>
      </c>
      <c r="AA114" s="72">
        <v>0</v>
      </c>
      <c r="AB114" s="72">
        <v>0</v>
      </c>
      <c r="AC114" s="72">
        <v>0</v>
      </c>
      <c r="AD114" s="72">
        <v>0</v>
      </c>
      <c r="AE114" s="72">
        <v>0</v>
      </c>
      <c r="AF114" s="72">
        <v>0</v>
      </c>
      <c r="AG114" s="72">
        <v>0</v>
      </c>
      <c r="AH114" s="72">
        <v>0</v>
      </c>
      <c r="AI114" s="72">
        <v>0</v>
      </c>
      <c r="AJ114" s="72">
        <v>0</v>
      </c>
      <c r="AK114" s="72">
        <v>0</v>
      </c>
      <c r="AL114" s="72">
        <v>0</v>
      </c>
      <c r="AM114" s="72">
        <v>0</v>
      </c>
      <c r="AN114" s="72">
        <v>0</v>
      </c>
      <c r="AO114" s="72">
        <v>66.706827250661973</v>
      </c>
      <c r="AP114" s="72">
        <v>0</v>
      </c>
      <c r="AQ114" s="72">
        <v>0</v>
      </c>
      <c r="AR114" s="72">
        <v>0</v>
      </c>
      <c r="AS114" s="72">
        <v>0</v>
      </c>
      <c r="AT114" s="72">
        <v>0</v>
      </c>
      <c r="AU114" s="72">
        <v>0</v>
      </c>
      <c r="AV114" s="72">
        <v>0</v>
      </c>
      <c r="AW114" s="72">
        <v>0</v>
      </c>
      <c r="AX114" s="72">
        <v>5371.9996569296127</v>
      </c>
      <c r="AY114" s="72">
        <v>0</v>
      </c>
      <c r="AZ114" s="72">
        <v>0</v>
      </c>
      <c r="BA114" s="72">
        <v>0</v>
      </c>
      <c r="BB114" s="72">
        <v>0</v>
      </c>
      <c r="BC114" s="72">
        <v>1.2612774798940749</v>
      </c>
      <c r="BD114" s="72">
        <v>0</v>
      </c>
      <c r="BE114" s="72">
        <v>8.2224168512955401E-2</v>
      </c>
      <c r="BF114" s="72">
        <v>0</v>
      </c>
      <c r="BG114" s="72">
        <v>0</v>
      </c>
      <c r="BH114" s="72">
        <v>0</v>
      </c>
      <c r="BI114" s="72">
        <v>0</v>
      </c>
      <c r="BJ114" s="72">
        <v>33.388152573856729</v>
      </c>
      <c r="BK114" s="72">
        <v>0</v>
      </c>
      <c r="BL114" s="72">
        <v>0</v>
      </c>
      <c r="BM114" s="72">
        <v>0</v>
      </c>
      <c r="BN114" s="72">
        <v>0</v>
      </c>
      <c r="BO114" s="72">
        <v>0</v>
      </c>
      <c r="BP114" s="72">
        <v>0</v>
      </c>
      <c r="BQ114" s="72">
        <v>0</v>
      </c>
      <c r="BR114" s="72">
        <v>0</v>
      </c>
      <c r="BS114" s="72">
        <v>0</v>
      </c>
      <c r="BT114" s="72">
        <v>0</v>
      </c>
      <c r="BU114" s="72">
        <v>0</v>
      </c>
      <c r="BV114" s="72">
        <v>0</v>
      </c>
      <c r="BW114" s="72">
        <v>0</v>
      </c>
      <c r="BX114" s="72">
        <v>0</v>
      </c>
      <c r="BY114" s="72">
        <v>0</v>
      </c>
      <c r="BZ114" s="72">
        <v>0</v>
      </c>
      <c r="CA114" s="72">
        <v>0</v>
      </c>
      <c r="CB114" s="72">
        <v>0</v>
      </c>
      <c r="CC114" s="72">
        <v>0</v>
      </c>
      <c r="CD114" s="72">
        <v>0</v>
      </c>
      <c r="CE114" s="72">
        <v>0</v>
      </c>
      <c r="CF114" s="72">
        <v>0</v>
      </c>
      <c r="CG114" s="72">
        <v>0</v>
      </c>
      <c r="CH114" s="72">
        <v>0</v>
      </c>
      <c r="CI114" s="72">
        <v>0</v>
      </c>
      <c r="CJ114" s="72">
        <v>0</v>
      </c>
      <c r="CK114" s="72">
        <v>0</v>
      </c>
      <c r="CL114" s="72">
        <v>0</v>
      </c>
      <c r="CM114" s="72">
        <v>0</v>
      </c>
      <c r="CN114" s="72">
        <v>0</v>
      </c>
      <c r="CO114" s="72">
        <v>0</v>
      </c>
      <c r="CP114" s="72">
        <v>0</v>
      </c>
      <c r="CQ114" s="72">
        <v>0</v>
      </c>
      <c r="CR114" s="72">
        <v>0</v>
      </c>
      <c r="CS114" s="72">
        <v>0</v>
      </c>
      <c r="CT114" s="72">
        <v>0</v>
      </c>
      <c r="CU114" s="72">
        <v>0</v>
      </c>
      <c r="CV114" s="72">
        <v>0</v>
      </c>
      <c r="CW114" s="72">
        <v>0</v>
      </c>
      <c r="CX114" s="72">
        <v>0</v>
      </c>
      <c r="CY114" s="72">
        <v>0</v>
      </c>
      <c r="CZ114" s="72">
        <v>0</v>
      </c>
      <c r="DA114" s="72">
        <v>0</v>
      </c>
      <c r="DB114" s="72">
        <v>0</v>
      </c>
      <c r="DC114" s="72">
        <v>0</v>
      </c>
      <c r="DD114" s="72">
        <v>0</v>
      </c>
      <c r="DE114" s="72">
        <v>0</v>
      </c>
      <c r="DF114" s="72">
        <v>0</v>
      </c>
      <c r="DG114" s="72">
        <v>0</v>
      </c>
      <c r="DH114" s="72">
        <v>0</v>
      </c>
      <c r="DI114" s="72">
        <v>0</v>
      </c>
      <c r="DJ114" s="72">
        <v>0</v>
      </c>
      <c r="DK114" s="72">
        <v>0</v>
      </c>
      <c r="DL114" s="72">
        <v>0</v>
      </c>
      <c r="DM114" s="72">
        <v>0</v>
      </c>
      <c r="DN114" s="72">
        <v>0</v>
      </c>
      <c r="DO114" s="72">
        <v>0</v>
      </c>
      <c r="DP114" s="72">
        <v>0</v>
      </c>
      <c r="DQ114" s="72">
        <v>0</v>
      </c>
      <c r="DR114" s="72">
        <v>0</v>
      </c>
      <c r="DS114" s="72">
        <v>0</v>
      </c>
      <c r="DT114" s="72">
        <v>0</v>
      </c>
      <c r="DU114" s="72">
        <v>0</v>
      </c>
      <c r="DV114" s="72">
        <v>0</v>
      </c>
      <c r="DW114" s="72">
        <v>0</v>
      </c>
      <c r="DX114" s="72">
        <v>0</v>
      </c>
      <c r="DY114" s="72">
        <v>0</v>
      </c>
      <c r="DZ114" s="72">
        <v>0</v>
      </c>
      <c r="EA114" s="72">
        <v>0</v>
      </c>
      <c r="EB114" s="72">
        <v>0</v>
      </c>
      <c r="EC114" s="72">
        <v>0</v>
      </c>
      <c r="ED114" s="72">
        <v>0</v>
      </c>
      <c r="EE114" s="72">
        <v>0</v>
      </c>
      <c r="EF114" s="72">
        <v>0</v>
      </c>
      <c r="EG114" s="72">
        <v>0</v>
      </c>
      <c r="EH114" s="72">
        <v>0</v>
      </c>
      <c r="EI114" s="72">
        <v>0</v>
      </c>
      <c r="EJ114" s="72">
        <v>0</v>
      </c>
      <c r="EK114" s="72">
        <v>0</v>
      </c>
      <c r="EL114" s="72">
        <v>0</v>
      </c>
      <c r="EM114" s="72">
        <v>0</v>
      </c>
      <c r="EN114" s="72">
        <v>0</v>
      </c>
      <c r="EO114" s="72">
        <v>0</v>
      </c>
      <c r="EP114" s="72">
        <v>0</v>
      </c>
      <c r="EQ114" s="72">
        <v>0</v>
      </c>
      <c r="ER114" s="72">
        <v>0</v>
      </c>
      <c r="ES114" s="72">
        <v>0</v>
      </c>
      <c r="ET114" s="72">
        <v>0</v>
      </c>
      <c r="EU114" s="72">
        <v>0</v>
      </c>
      <c r="EV114" s="72">
        <v>0</v>
      </c>
      <c r="EW114" s="72">
        <v>0</v>
      </c>
      <c r="EX114" s="72">
        <v>0</v>
      </c>
      <c r="EY114" s="72">
        <v>0</v>
      </c>
      <c r="EZ114" s="72">
        <v>0</v>
      </c>
      <c r="FA114" s="72">
        <v>0</v>
      </c>
      <c r="FB114" s="72">
        <v>0</v>
      </c>
      <c r="FC114" s="72">
        <v>0</v>
      </c>
      <c r="FD114" s="72">
        <v>0</v>
      </c>
      <c r="FE114" s="72">
        <v>0</v>
      </c>
      <c r="FF114" s="72">
        <v>0</v>
      </c>
      <c r="FG114" s="72">
        <v>0</v>
      </c>
      <c r="FH114" s="72">
        <v>0</v>
      </c>
      <c r="FI114" s="72">
        <v>0</v>
      </c>
      <c r="FJ114" s="72">
        <v>0</v>
      </c>
      <c r="FK114" s="72">
        <v>0</v>
      </c>
      <c r="FL114" s="72">
        <v>0</v>
      </c>
      <c r="FM114" s="72">
        <v>0</v>
      </c>
      <c r="FN114" s="72">
        <v>0</v>
      </c>
      <c r="FO114" s="72">
        <v>0</v>
      </c>
      <c r="FP114" s="72">
        <v>0</v>
      </c>
      <c r="FQ114" s="72">
        <v>0</v>
      </c>
      <c r="FR114" s="72">
        <v>0</v>
      </c>
      <c r="FS114" s="72">
        <v>0</v>
      </c>
      <c r="FT114" s="72">
        <v>0</v>
      </c>
      <c r="FU114" s="72">
        <v>0</v>
      </c>
      <c r="FV114" s="74">
        <v>1.7671141604912894</v>
      </c>
      <c r="FW114" s="74">
        <v>0.24241599365296121</v>
      </c>
      <c r="FX114" s="74">
        <v>0</v>
      </c>
      <c r="FY114" s="74">
        <v>4.2485580153012403</v>
      </c>
      <c r="FZ114" s="74">
        <v>0</v>
      </c>
      <c r="GA114" s="74">
        <v>49.969845389987931</v>
      </c>
      <c r="GB114" s="74">
        <v>49.264023760464333</v>
      </c>
      <c r="GC114" s="74">
        <v>44.752985863637917</v>
      </c>
      <c r="GD114" s="74">
        <v>1140.352009387899</v>
      </c>
      <c r="GE114" s="74">
        <v>165.62634181539809</v>
      </c>
      <c r="GF114" s="74">
        <v>677.60910725714689</v>
      </c>
      <c r="GG114" s="74">
        <v>244.99579634952741</v>
      </c>
      <c r="GH114" s="74">
        <v>512.53361836215629</v>
      </c>
      <c r="GI114" s="74">
        <v>2746.4724990754844</v>
      </c>
      <c r="GJ114" s="72">
        <v>0</v>
      </c>
      <c r="GK114" s="72">
        <v>0</v>
      </c>
      <c r="GL114" s="72">
        <v>0</v>
      </c>
      <c r="GM114" s="72">
        <v>0</v>
      </c>
      <c r="GN114" s="72">
        <v>0</v>
      </c>
      <c r="GO114" s="72">
        <v>0</v>
      </c>
      <c r="GP114" s="72">
        <v>129.37748513378381</v>
      </c>
      <c r="GQ114" s="72">
        <v>1903.8935658033174</v>
      </c>
      <c r="GR114" s="72">
        <f t="shared" si="1"/>
        <v>13144.543504770789</v>
      </c>
      <c r="GS114" s="72">
        <f>SUM(DG$5:DG$202)</f>
        <v>13144.543504770787</v>
      </c>
      <c r="GT114" s="73">
        <v>0</v>
      </c>
    </row>
    <row r="115" spans="1:202" outlineLevel="1" x14ac:dyDescent="0.2">
      <c r="A115" s="66" t="s">
        <v>923</v>
      </c>
      <c r="B115" s="72">
        <v>0</v>
      </c>
      <c r="C115" s="72">
        <v>0</v>
      </c>
      <c r="D115" s="72">
        <v>0</v>
      </c>
      <c r="E115" s="72">
        <v>0</v>
      </c>
      <c r="F115" s="72">
        <v>0</v>
      </c>
      <c r="G115" s="72">
        <v>0</v>
      </c>
      <c r="H115" s="72">
        <v>0</v>
      </c>
      <c r="I115" s="72">
        <v>0</v>
      </c>
      <c r="J115" s="72">
        <v>0</v>
      </c>
      <c r="K115" s="72">
        <v>0</v>
      </c>
      <c r="L115" s="72">
        <v>0</v>
      </c>
      <c r="M115" s="72">
        <v>0</v>
      </c>
      <c r="N115" s="72">
        <v>0</v>
      </c>
      <c r="O115" s="72">
        <v>0</v>
      </c>
      <c r="P115" s="72">
        <v>0</v>
      </c>
      <c r="Q115" s="72">
        <v>0</v>
      </c>
      <c r="R115" s="72">
        <v>0</v>
      </c>
      <c r="S115" s="72">
        <v>0</v>
      </c>
      <c r="T115" s="72">
        <v>0</v>
      </c>
      <c r="U115" s="72">
        <v>0</v>
      </c>
      <c r="V115" s="72">
        <v>0</v>
      </c>
      <c r="W115" s="72">
        <v>0</v>
      </c>
      <c r="X115" s="72">
        <v>0</v>
      </c>
      <c r="Y115" s="72">
        <v>0</v>
      </c>
      <c r="Z115" s="72">
        <v>0</v>
      </c>
      <c r="AA115" s="72">
        <v>214.08736969154833</v>
      </c>
      <c r="AB115" s="72">
        <v>0</v>
      </c>
      <c r="AC115" s="72">
        <v>0</v>
      </c>
      <c r="AD115" s="72">
        <v>0</v>
      </c>
      <c r="AE115" s="72">
        <v>0</v>
      </c>
      <c r="AF115" s="72">
        <v>0</v>
      </c>
      <c r="AG115" s="72">
        <v>0</v>
      </c>
      <c r="AH115" s="72">
        <v>0</v>
      </c>
      <c r="AI115" s="72">
        <v>0</v>
      </c>
      <c r="AJ115" s="72">
        <v>0</v>
      </c>
      <c r="AK115" s="72">
        <v>13009.288663528496</v>
      </c>
      <c r="AL115" s="72">
        <v>0</v>
      </c>
      <c r="AM115" s="72">
        <v>0</v>
      </c>
      <c r="AN115" s="72">
        <v>0</v>
      </c>
      <c r="AO115" s="72">
        <v>0</v>
      </c>
      <c r="AP115" s="72">
        <v>0</v>
      </c>
      <c r="AQ115" s="72">
        <v>0</v>
      </c>
      <c r="AR115" s="72">
        <v>0</v>
      </c>
      <c r="AS115" s="72">
        <v>0</v>
      </c>
      <c r="AT115" s="72">
        <v>0</v>
      </c>
      <c r="AU115" s="72">
        <v>0</v>
      </c>
      <c r="AV115" s="72">
        <v>0</v>
      </c>
      <c r="AW115" s="72">
        <v>0</v>
      </c>
      <c r="AX115" s="72">
        <v>2132.703622155449</v>
      </c>
      <c r="AY115" s="72">
        <v>0</v>
      </c>
      <c r="AZ115" s="72">
        <v>0</v>
      </c>
      <c r="BA115" s="72">
        <v>0</v>
      </c>
      <c r="BB115" s="72">
        <v>0</v>
      </c>
      <c r="BC115" s="72">
        <v>166.14914263741917</v>
      </c>
      <c r="BD115" s="72">
        <v>1.0840910979653819</v>
      </c>
      <c r="BE115" s="72">
        <v>13.973922279857447</v>
      </c>
      <c r="BF115" s="72">
        <v>0</v>
      </c>
      <c r="BG115" s="72">
        <v>0</v>
      </c>
      <c r="BH115" s="72">
        <v>0</v>
      </c>
      <c r="BI115" s="72">
        <v>0</v>
      </c>
      <c r="BJ115" s="72">
        <v>3734.6628899156658</v>
      </c>
      <c r="BK115" s="72">
        <v>0</v>
      </c>
      <c r="BL115" s="72">
        <v>0</v>
      </c>
      <c r="BM115" s="72">
        <v>0</v>
      </c>
      <c r="BN115" s="72">
        <v>0</v>
      </c>
      <c r="BO115" s="72">
        <v>0</v>
      </c>
      <c r="BP115" s="72">
        <v>0</v>
      </c>
      <c r="BQ115" s="72">
        <v>0</v>
      </c>
      <c r="BR115" s="72">
        <v>0</v>
      </c>
      <c r="BS115" s="72">
        <v>0</v>
      </c>
      <c r="BT115" s="72">
        <v>0</v>
      </c>
      <c r="BU115" s="72">
        <v>0</v>
      </c>
      <c r="BV115" s="72">
        <v>0</v>
      </c>
      <c r="BW115" s="72">
        <v>0</v>
      </c>
      <c r="BX115" s="72">
        <v>0</v>
      </c>
      <c r="BY115" s="72">
        <v>0</v>
      </c>
      <c r="BZ115" s="72">
        <v>0</v>
      </c>
      <c r="CA115" s="72">
        <v>0</v>
      </c>
      <c r="CB115" s="72">
        <v>0</v>
      </c>
      <c r="CC115" s="72">
        <v>0</v>
      </c>
      <c r="CD115" s="72">
        <v>0</v>
      </c>
      <c r="CE115" s="72">
        <v>0</v>
      </c>
      <c r="CF115" s="72">
        <v>0</v>
      </c>
      <c r="CG115" s="72">
        <v>0</v>
      </c>
      <c r="CH115" s="72">
        <v>0</v>
      </c>
      <c r="CI115" s="72">
        <v>0</v>
      </c>
      <c r="CJ115" s="72">
        <v>0</v>
      </c>
      <c r="CK115" s="72">
        <v>0</v>
      </c>
      <c r="CL115" s="72">
        <v>0</v>
      </c>
      <c r="CM115" s="72">
        <v>0</v>
      </c>
      <c r="CN115" s="72">
        <v>0</v>
      </c>
      <c r="CO115" s="72">
        <v>0</v>
      </c>
      <c r="CP115" s="72">
        <v>0</v>
      </c>
      <c r="CQ115" s="72">
        <v>0</v>
      </c>
      <c r="CR115" s="72">
        <v>0</v>
      </c>
      <c r="CS115" s="72">
        <v>0</v>
      </c>
      <c r="CT115" s="72">
        <v>0</v>
      </c>
      <c r="CU115" s="72">
        <v>0</v>
      </c>
      <c r="CV115" s="72">
        <v>0</v>
      </c>
      <c r="CW115" s="72">
        <v>0</v>
      </c>
      <c r="CX115" s="72">
        <v>0</v>
      </c>
      <c r="CY115" s="72">
        <v>0</v>
      </c>
      <c r="CZ115" s="72">
        <v>0</v>
      </c>
      <c r="DA115" s="72">
        <v>0</v>
      </c>
      <c r="DB115" s="72">
        <v>0</v>
      </c>
      <c r="DC115" s="72">
        <v>0</v>
      </c>
      <c r="DD115" s="72">
        <v>0</v>
      </c>
      <c r="DE115" s="72">
        <v>0</v>
      </c>
      <c r="DF115" s="72">
        <v>0</v>
      </c>
      <c r="DG115" s="72">
        <v>0</v>
      </c>
      <c r="DH115" s="72">
        <v>0</v>
      </c>
      <c r="DI115" s="72">
        <v>0</v>
      </c>
      <c r="DJ115" s="72">
        <v>0</v>
      </c>
      <c r="DK115" s="72">
        <v>0</v>
      </c>
      <c r="DL115" s="72">
        <v>0</v>
      </c>
      <c r="DM115" s="72">
        <v>0</v>
      </c>
      <c r="DN115" s="72">
        <v>0</v>
      </c>
      <c r="DO115" s="72">
        <v>0</v>
      </c>
      <c r="DP115" s="72">
        <v>0</v>
      </c>
      <c r="DQ115" s="72">
        <v>0</v>
      </c>
      <c r="DR115" s="72">
        <v>0</v>
      </c>
      <c r="DS115" s="72">
        <v>0</v>
      </c>
      <c r="DT115" s="72">
        <v>0</v>
      </c>
      <c r="DU115" s="72">
        <v>0</v>
      </c>
      <c r="DV115" s="72">
        <v>0</v>
      </c>
      <c r="DW115" s="72">
        <v>0</v>
      </c>
      <c r="DX115" s="72">
        <v>0</v>
      </c>
      <c r="DY115" s="72">
        <v>0</v>
      </c>
      <c r="DZ115" s="72">
        <v>0</v>
      </c>
      <c r="EA115" s="72">
        <v>0</v>
      </c>
      <c r="EB115" s="72">
        <v>0</v>
      </c>
      <c r="EC115" s="72">
        <v>0</v>
      </c>
      <c r="ED115" s="72">
        <v>0</v>
      </c>
      <c r="EE115" s="72">
        <v>0</v>
      </c>
      <c r="EF115" s="72">
        <v>0</v>
      </c>
      <c r="EG115" s="72">
        <v>0</v>
      </c>
      <c r="EH115" s="72">
        <v>0</v>
      </c>
      <c r="EI115" s="72">
        <v>0</v>
      </c>
      <c r="EJ115" s="72">
        <v>0</v>
      </c>
      <c r="EK115" s="72">
        <v>0</v>
      </c>
      <c r="EL115" s="72">
        <v>0</v>
      </c>
      <c r="EM115" s="72">
        <v>0</v>
      </c>
      <c r="EN115" s="72">
        <v>0</v>
      </c>
      <c r="EO115" s="72">
        <v>0</v>
      </c>
      <c r="EP115" s="72">
        <v>0</v>
      </c>
      <c r="EQ115" s="72">
        <v>0</v>
      </c>
      <c r="ER115" s="72">
        <v>0</v>
      </c>
      <c r="ES115" s="72">
        <v>0</v>
      </c>
      <c r="ET115" s="72">
        <v>0</v>
      </c>
      <c r="EU115" s="72">
        <v>0</v>
      </c>
      <c r="EV115" s="72">
        <v>0</v>
      </c>
      <c r="EW115" s="72">
        <v>0</v>
      </c>
      <c r="EX115" s="72">
        <v>0</v>
      </c>
      <c r="EY115" s="72">
        <v>0</v>
      </c>
      <c r="EZ115" s="72">
        <v>0</v>
      </c>
      <c r="FA115" s="72">
        <v>0</v>
      </c>
      <c r="FB115" s="72">
        <v>0</v>
      </c>
      <c r="FC115" s="72">
        <v>0</v>
      </c>
      <c r="FD115" s="72">
        <v>0</v>
      </c>
      <c r="FE115" s="72">
        <v>0</v>
      </c>
      <c r="FF115" s="72">
        <v>0</v>
      </c>
      <c r="FG115" s="72">
        <v>0</v>
      </c>
      <c r="FH115" s="72">
        <v>0</v>
      </c>
      <c r="FI115" s="72">
        <v>0</v>
      </c>
      <c r="FJ115" s="72">
        <v>0</v>
      </c>
      <c r="FK115" s="72">
        <v>0</v>
      </c>
      <c r="FL115" s="72">
        <v>0</v>
      </c>
      <c r="FM115" s="72">
        <v>0</v>
      </c>
      <c r="FN115" s="72">
        <v>0</v>
      </c>
      <c r="FO115" s="72">
        <v>0</v>
      </c>
      <c r="FP115" s="72">
        <v>0</v>
      </c>
      <c r="FQ115" s="72">
        <v>0</v>
      </c>
      <c r="FR115" s="72">
        <v>0</v>
      </c>
      <c r="FS115" s="72">
        <v>0</v>
      </c>
      <c r="FT115" s="72">
        <v>0</v>
      </c>
      <c r="FU115" s="72">
        <v>0</v>
      </c>
      <c r="FV115" s="74">
        <v>22.908964421201809</v>
      </c>
      <c r="FW115" s="74">
        <v>67.299988649228737</v>
      </c>
      <c r="FX115" s="74">
        <v>99.124656863393568</v>
      </c>
      <c r="FY115" s="74">
        <v>83.071715248936499</v>
      </c>
      <c r="FZ115" s="74">
        <v>98.130139150212031</v>
      </c>
      <c r="GA115" s="74">
        <v>74.860740861829171</v>
      </c>
      <c r="GB115" s="74">
        <v>174.28186334600767</v>
      </c>
      <c r="GC115" s="74">
        <v>302.53929288080889</v>
      </c>
      <c r="GD115" s="74">
        <v>370.31094130369252</v>
      </c>
      <c r="GE115" s="74">
        <v>17.425841585568595</v>
      </c>
      <c r="GF115" s="74">
        <v>10.124834639288723</v>
      </c>
      <c r="GG115" s="74">
        <v>60.924962279827689</v>
      </c>
      <c r="GH115" s="74">
        <v>92.727465284906415</v>
      </c>
      <c r="GI115" s="74">
        <v>23.872746912398192</v>
      </c>
      <c r="GJ115" s="72">
        <v>0</v>
      </c>
      <c r="GK115" s="72">
        <v>0</v>
      </c>
      <c r="GL115" s="72">
        <v>0</v>
      </c>
      <c r="GM115" s="72">
        <v>0</v>
      </c>
      <c r="GN115" s="72">
        <v>0</v>
      </c>
      <c r="GO115" s="72">
        <v>0</v>
      </c>
      <c r="GP115" s="72">
        <v>103.48435368133644</v>
      </c>
      <c r="GQ115" s="72">
        <v>1245.6578441298127</v>
      </c>
      <c r="GR115" s="72">
        <f t="shared" si="1"/>
        <v>22118.696052544856</v>
      </c>
      <c r="GS115" s="72">
        <f>SUM(DH$5:DH$202)</f>
        <v>22118.696052544845</v>
      </c>
      <c r="GT115" s="73">
        <v>0</v>
      </c>
    </row>
    <row r="116" spans="1:202" outlineLevel="1" x14ac:dyDescent="0.2">
      <c r="A116" s="66" t="s">
        <v>928</v>
      </c>
      <c r="B116" s="72">
        <v>0</v>
      </c>
      <c r="C116" s="72">
        <v>0</v>
      </c>
      <c r="D116" s="72">
        <v>0</v>
      </c>
      <c r="E116" s="72">
        <v>0</v>
      </c>
      <c r="F116" s="72">
        <v>0</v>
      </c>
      <c r="G116" s="72">
        <v>0</v>
      </c>
      <c r="H116" s="72">
        <v>0</v>
      </c>
      <c r="I116" s="72">
        <v>0</v>
      </c>
      <c r="J116" s="72">
        <v>0</v>
      </c>
      <c r="K116" s="72">
        <v>0</v>
      </c>
      <c r="L116" s="72">
        <v>0</v>
      </c>
      <c r="M116" s="72">
        <v>0</v>
      </c>
      <c r="N116" s="72">
        <v>0</v>
      </c>
      <c r="O116" s="72">
        <v>0</v>
      </c>
      <c r="P116" s="72">
        <v>0</v>
      </c>
      <c r="Q116" s="72">
        <v>0</v>
      </c>
      <c r="R116" s="72">
        <v>9.8036713861751803</v>
      </c>
      <c r="S116" s="72">
        <v>1.1278785341315749</v>
      </c>
      <c r="T116" s="72">
        <v>132.34821707240962</v>
      </c>
      <c r="U116" s="72">
        <v>0</v>
      </c>
      <c r="V116" s="72">
        <v>9.653620911959246</v>
      </c>
      <c r="W116" s="72">
        <v>17.711661281361941</v>
      </c>
      <c r="X116" s="72">
        <v>7792.7411650508629</v>
      </c>
      <c r="Y116" s="72">
        <v>0</v>
      </c>
      <c r="Z116" s="72">
        <v>14.807873403367131</v>
      </c>
      <c r="AA116" s="72">
        <v>0</v>
      </c>
      <c r="AB116" s="72">
        <v>0</v>
      </c>
      <c r="AC116" s="72">
        <v>0</v>
      </c>
      <c r="AD116" s="72">
        <v>0</v>
      </c>
      <c r="AE116" s="72">
        <v>0</v>
      </c>
      <c r="AF116" s="72">
        <v>0</v>
      </c>
      <c r="AG116" s="72">
        <v>0</v>
      </c>
      <c r="AH116" s="72">
        <v>0</v>
      </c>
      <c r="AI116" s="72">
        <v>0</v>
      </c>
      <c r="AJ116" s="72">
        <v>0</v>
      </c>
      <c r="AK116" s="72">
        <v>14903.407365212022</v>
      </c>
      <c r="AL116" s="72">
        <v>0</v>
      </c>
      <c r="AM116" s="72">
        <v>0</v>
      </c>
      <c r="AN116" s="72">
        <v>0</v>
      </c>
      <c r="AO116" s="72">
        <v>0</v>
      </c>
      <c r="AP116" s="72">
        <v>0</v>
      </c>
      <c r="AQ116" s="72">
        <v>0</v>
      </c>
      <c r="AR116" s="72">
        <v>0</v>
      </c>
      <c r="AS116" s="72">
        <v>0</v>
      </c>
      <c r="AT116" s="72">
        <v>0</v>
      </c>
      <c r="AU116" s="72">
        <v>0</v>
      </c>
      <c r="AV116" s="72">
        <v>0</v>
      </c>
      <c r="AW116" s="72">
        <v>0</v>
      </c>
      <c r="AX116" s="72">
        <v>1704.8807769750797</v>
      </c>
      <c r="AY116" s="72">
        <v>0</v>
      </c>
      <c r="AZ116" s="72">
        <v>0</v>
      </c>
      <c r="BA116" s="72">
        <v>0</v>
      </c>
      <c r="BB116" s="72">
        <v>0</v>
      </c>
      <c r="BC116" s="72">
        <v>138.7018524002265</v>
      </c>
      <c r="BD116" s="72">
        <v>1.2569069728590114</v>
      </c>
      <c r="BE116" s="72">
        <v>10.214150407379435</v>
      </c>
      <c r="BF116" s="72">
        <v>0</v>
      </c>
      <c r="BG116" s="72">
        <v>0</v>
      </c>
      <c r="BH116" s="72">
        <v>0</v>
      </c>
      <c r="BI116" s="72">
        <v>0</v>
      </c>
      <c r="BJ116" s="72">
        <v>1390.8182788371719</v>
      </c>
      <c r="BK116" s="72">
        <v>0</v>
      </c>
      <c r="BL116" s="72">
        <v>0</v>
      </c>
      <c r="BM116" s="72">
        <v>0</v>
      </c>
      <c r="BN116" s="72">
        <v>0</v>
      </c>
      <c r="BO116" s="72">
        <v>0</v>
      </c>
      <c r="BP116" s="72">
        <v>0</v>
      </c>
      <c r="BQ116" s="72">
        <v>0</v>
      </c>
      <c r="BR116" s="72">
        <v>0</v>
      </c>
      <c r="BS116" s="72">
        <v>0</v>
      </c>
      <c r="BT116" s="72">
        <v>0</v>
      </c>
      <c r="BU116" s="72">
        <v>0</v>
      </c>
      <c r="BV116" s="72">
        <v>0</v>
      </c>
      <c r="BW116" s="72">
        <v>0</v>
      </c>
      <c r="BX116" s="72">
        <v>0</v>
      </c>
      <c r="BY116" s="72">
        <v>0</v>
      </c>
      <c r="BZ116" s="72">
        <v>0</v>
      </c>
      <c r="CA116" s="72">
        <v>0</v>
      </c>
      <c r="CB116" s="72">
        <v>0</v>
      </c>
      <c r="CC116" s="72">
        <v>0</v>
      </c>
      <c r="CD116" s="72">
        <v>0</v>
      </c>
      <c r="CE116" s="72">
        <v>0</v>
      </c>
      <c r="CF116" s="72">
        <v>0</v>
      </c>
      <c r="CG116" s="72">
        <v>0</v>
      </c>
      <c r="CH116" s="72">
        <v>0</v>
      </c>
      <c r="CI116" s="72">
        <v>0</v>
      </c>
      <c r="CJ116" s="72">
        <v>0</v>
      </c>
      <c r="CK116" s="72">
        <v>0</v>
      </c>
      <c r="CL116" s="72">
        <v>0</v>
      </c>
      <c r="CM116" s="72">
        <v>0</v>
      </c>
      <c r="CN116" s="72">
        <v>0</v>
      </c>
      <c r="CO116" s="72">
        <v>0</v>
      </c>
      <c r="CP116" s="72">
        <v>0</v>
      </c>
      <c r="CQ116" s="72">
        <v>0</v>
      </c>
      <c r="CR116" s="72">
        <v>0</v>
      </c>
      <c r="CS116" s="72">
        <v>0</v>
      </c>
      <c r="CT116" s="72">
        <v>0</v>
      </c>
      <c r="CU116" s="72">
        <v>0</v>
      </c>
      <c r="CV116" s="72">
        <v>0</v>
      </c>
      <c r="CW116" s="72">
        <v>0</v>
      </c>
      <c r="CX116" s="72">
        <v>0</v>
      </c>
      <c r="CY116" s="72">
        <v>0</v>
      </c>
      <c r="CZ116" s="72">
        <v>0</v>
      </c>
      <c r="DA116" s="72">
        <v>0</v>
      </c>
      <c r="DB116" s="72">
        <v>0</v>
      </c>
      <c r="DC116" s="72">
        <v>0</v>
      </c>
      <c r="DD116" s="72">
        <v>0</v>
      </c>
      <c r="DE116" s="72">
        <v>0</v>
      </c>
      <c r="DF116" s="72">
        <v>0</v>
      </c>
      <c r="DG116" s="72">
        <v>0</v>
      </c>
      <c r="DH116" s="72">
        <v>0</v>
      </c>
      <c r="DI116" s="72">
        <v>0</v>
      </c>
      <c r="DJ116" s="72">
        <v>0</v>
      </c>
      <c r="DK116" s="72">
        <v>0</v>
      </c>
      <c r="DL116" s="72">
        <v>0</v>
      </c>
      <c r="DM116" s="72">
        <v>0</v>
      </c>
      <c r="DN116" s="72">
        <v>0</v>
      </c>
      <c r="DO116" s="72">
        <v>0</v>
      </c>
      <c r="DP116" s="72">
        <v>0</v>
      </c>
      <c r="DQ116" s="72">
        <v>0</v>
      </c>
      <c r="DR116" s="72">
        <v>0</v>
      </c>
      <c r="DS116" s="72">
        <v>0</v>
      </c>
      <c r="DT116" s="72">
        <v>0</v>
      </c>
      <c r="DU116" s="72">
        <v>0</v>
      </c>
      <c r="DV116" s="72">
        <v>0</v>
      </c>
      <c r="DW116" s="72">
        <v>0</v>
      </c>
      <c r="DX116" s="72">
        <v>0</v>
      </c>
      <c r="DY116" s="72">
        <v>0</v>
      </c>
      <c r="DZ116" s="72">
        <v>0</v>
      </c>
      <c r="EA116" s="72">
        <v>0</v>
      </c>
      <c r="EB116" s="72">
        <v>0</v>
      </c>
      <c r="EC116" s="72">
        <v>0</v>
      </c>
      <c r="ED116" s="72">
        <v>0</v>
      </c>
      <c r="EE116" s="72">
        <v>0</v>
      </c>
      <c r="EF116" s="72">
        <v>0</v>
      </c>
      <c r="EG116" s="72">
        <v>0</v>
      </c>
      <c r="EH116" s="72">
        <v>0</v>
      </c>
      <c r="EI116" s="72">
        <v>0</v>
      </c>
      <c r="EJ116" s="72">
        <v>0</v>
      </c>
      <c r="EK116" s="72">
        <v>0</v>
      </c>
      <c r="EL116" s="72">
        <v>0</v>
      </c>
      <c r="EM116" s="72">
        <v>0</v>
      </c>
      <c r="EN116" s="72">
        <v>0</v>
      </c>
      <c r="EO116" s="72">
        <v>0</v>
      </c>
      <c r="EP116" s="72">
        <v>0</v>
      </c>
      <c r="EQ116" s="72">
        <v>0</v>
      </c>
      <c r="ER116" s="72">
        <v>0</v>
      </c>
      <c r="ES116" s="72">
        <v>0</v>
      </c>
      <c r="ET116" s="72">
        <v>0</v>
      </c>
      <c r="EU116" s="72">
        <v>0</v>
      </c>
      <c r="EV116" s="72">
        <v>0</v>
      </c>
      <c r="EW116" s="72">
        <v>0</v>
      </c>
      <c r="EX116" s="72">
        <v>0</v>
      </c>
      <c r="EY116" s="72">
        <v>0</v>
      </c>
      <c r="EZ116" s="72">
        <v>0</v>
      </c>
      <c r="FA116" s="72">
        <v>0</v>
      </c>
      <c r="FB116" s="72">
        <v>0</v>
      </c>
      <c r="FC116" s="72">
        <v>0</v>
      </c>
      <c r="FD116" s="72">
        <v>0</v>
      </c>
      <c r="FE116" s="72">
        <v>0</v>
      </c>
      <c r="FF116" s="72">
        <v>0</v>
      </c>
      <c r="FG116" s="72">
        <v>0</v>
      </c>
      <c r="FH116" s="72">
        <v>0</v>
      </c>
      <c r="FI116" s="72">
        <v>0</v>
      </c>
      <c r="FJ116" s="72">
        <v>0</v>
      </c>
      <c r="FK116" s="72">
        <v>0</v>
      </c>
      <c r="FL116" s="72">
        <v>0</v>
      </c>
      <c r="FM116" s="72">
        <v>0</v>
      </c>
      <c r="FN116" s="72">
        <v>0</v>
      </c>
      <c r="FO116" s="72">
        <v>0</v>
      </c>
      <c r="FP116" s="72">
        <v>0</v>
      </c>
      <c r="FQ116" s="72">
        <v>0</v>
      </c>
      <c r="FR116" s="72">
        <v>0</v>
      </c>
      <c r="FS116" s="72">
        <v>0</v>
      </c>
      <c r="FT116" s="72">
        <v>0</v>
      </c>
      <c r="FU116" s="72">
        <v>0</v>
      </c>
      <c r="FV116" s="74">
        <v>9.7747960966353205</v>
      </c>
      <c r="FW116" s="74">
        <v>28.715556681525971</v>
      </c>
      <c r="FX116" s="74">
        <v>42.294504944618751</v>
      </c>
      <c r="FY116" s="74">
        <v>35.44503640699736</v>
      </c>
      <c r="FZ116" s="74">
        <v>41.870164163337307</v>
      </c>
      <c r="GA116" s="74">
        <v>31.941578157510115</v>
      </c>
      <c r="GB116" s="74">
        <v>74.362579042301221</v>
      </c>
      <c r="GC116" s="74">
        <v>129.08745435883839</v>
      </c>
      <c r="GD116" s="74">
        <v>158.00425881523955</v>
      </c>
      <c r="GE116" s="74">
        <v>7.4352574467993167</v>
      </c>
      <c r="GF116" s="74">
        <v>4.3200640714952758</v>
      </c>
      <c r="GG116" s="74">
        <v>25.995460664706563</v>
      </c>
      <c r="GH116" s="74">
        <v>39.564951477201731</v>
      </c>
      <c r="GI116" s="74">
        <v>10.186022774530594</v>
      </c>
      <c r="GJ116" s="72">
        <v>0</v>
      </c>
      <c r="GK116" s="72">
        <v>0</v>
      </c>
      <c r="GL116" s="72">
        <v>0</v>
      </c>
      <c r="GM116" s="72">
        <v>0</v>
      </c>
      <c r="GN116" s="72">
        <v>0</v>
      </c>
      <c r="GO116" s="72">
        <v>0</v>
      </c>
      <c r="GP116" s="72">
        <v>25.668011689348486</v>
      </c>
      <c r="GQ116" s="72">
        <v>1678.1954883458675</v>
      </c>
      <c r="GR116" s="72">
        <f t="shared" si="1"/>
        <v>28470.334603581963</v>
      </c>
      <c r="GS116" s="72">
        <f>SUM(DI$5:DI$202)</f>
        <v>28470.33460358196</v>
      </c>
      <c r="GT116" s="73">
        <v>0</v>
      </c>
    </row>
    <row r="117" spans="1:202" outlineLevel="1" x14ac:dyDescent="0.2">
      <c r="A117" s="66" t="s">
        <v>933</v>
      </c>
      <c r="B117" s="72">
        <v>2055.1663511529496</v>
      </c>
      <c r="C117" s="72">
        <v>0</v>
      </c>
      <c r="D117" s="72">
        <v>0</v>
      </c>
      <c r="E117" s="72">
        <v>0</v>
      </c>
      <c r="F117" s="72">
        <v>0</v>
      </c>
      <c r="G117" s="72">
        <v>0</v>
      </c>
      <c r="H117" s="72">
        <v>0</v>
      </c>
      <c r="I117" s="72">
        <v>0</v>
      </c>
      <c r="J117" s="72">
        <v>0</v>
      </c>
      <c r="K117" s="72">
        <v>0</v>
      </c>
      <c r="L117" s="72">
        <v>0</v>
      </c>
      <c r="M117" s="72">
        <v>0</v>
      </c>
      <c r="N117" s="72">
        <v>0</v>
      </c>
      <c r="O117" s="72">
        <v>0</v>
      </c>
      <c r="P117" s="72">
        <v>0</v>
      </c>
      <c r="Q117" s="72">
        <v>0</v>
      </c>
      <c r="R117" s="72">
        <v>0</v>
      </c>
      <c r="S117" s="72">
        <v>0</v>
      </c>
      <c r="T117" s="72">
        <v>0</v>
      </c>
      <c r="U117" s="72">
        <v>0</v>
      </c>
      <c r="V117" s="72">
        <v>0</v>
      </c>
      <c r="W117" s="72">
        <v>0</v>
      </c>
      <c r="X117" s="72">
        <v>0</v>
      </c>
      <c r="Y117" s="72">
        <v>0</v>
      </c>
      <c r="Z117" s="72">
        <v>0</v>
      </c>
      <c r="AA117" s="72">
        <v>0</v>
      </c>
      <c r="AB117" s="72">
        <v>0</v>
      </c>
      <c r="AC117" s="72">
        <v>0</v>
      </c>
      <c r="AD117" s="72">
        <v>0</v>
      </c>
      <c r="AE117" s="72">
        <v>0</v>
      </c>
      <c r="AF117" s="72">
        <v>0</v>
      </c>
      <c r="AG117" s="72">
        <v>0</v>
      </c>
      <c r="AH117" s="72">
        <v>0</v>
      </c>
      <c r="AI117" s="72">
        <v>0</v>
      </c>
      <c r="AJ117" s="72">
        <v>0</v>
      </c>
      <c r="AK117" s="72">
        <v>20199.518945282289</v>
      </c>
      <c r="AL117" s="72">
        <v>0</v>
      </c>
      <c r="AM117" s="72">
        <v>0</v>
      </c>
      <c r="AN117" s="72">
        <v>0</v>
      </c>
      <c r="AO117" s="72">
        <v>0</v>
      </c>
      <c r="AP117" s="72">
        <v>0</v>
      </c>
      <c r="AQ117" s="72">
        <v>0</v>
      </c>
      <c r="AR117" s="72">
        <v>0</v>
      </c>
      <c r="AS117" s="72">
        <v>0</v>
      </c>
      <c r="AT117" s="72">
        <v>0</v>
      </c>
      <c r="AU117" s="72">
        <v>0</v>
      </c>
      <c r="AV117" s="72">
        <v>0</v>
      </c>
      <c r="AW117" s="72">
        <v>0</v>
      </c>
      <c r="AX117" s="72">
        <v>493.72382901774483</v>
      </c>
      <c r="AY117" s="72">
        <v>0</v>
      </c>
      <c r="AZ117" s="72">
        <v>0</v>
      </c>
      <c r="BA117" s="72">
        <v>0</v>
      </c>
      <c r="BB117" s="72">
        <v>0</v>
      </c>
      <c r="BC117" s="72">
        <v>12.443679057336862</v>
      </c>
      <c r="BD117" s="72">
        <v>0.62443148624618627</v>
      </c>
      <c r="BE117" s="72">
        <v>1.9416280087847195</v>
      </c>
      <c r="BF117" s="72">
        <v>0</v>
      </c>
      <c r="BG117" s="72">
        <v>0</v>
      </c>
      <c r="BH117" s="72">
        <v>0</v>
      </c>
      <c r="BI117" s="72">
        <v>0</v>
      </c>
      <c r="BJ117" s="72">
        <v>1462.9273895943431</v>
      </c>
      <c r="BK117" s="72">
        <v>0</v>
      </c>
      <c r="BL117" s="72">
        <v>0</v>
      </c>
      <c r="BM117" s="72">
        <v>0</v>
      </c>
      <c r="BN117" s="72">
        <v>0</v>
      </c>
      <c r="BO117" s="72">
        <v>0</v>
      </c>
      <c r="BP117" s="72">
        <v>0</v>
      </c>
      <c r="BQ117" s="72">
        <v>0</v>
      </c>
      <c r="BR117" s="72">
        <v>0</v>
      </c>
      <c r="BS117" s="72">
        <v>0</v>
      </c>
      <c r="BT117" s="72">
        <v>0</v>
      </c>
      <c r="BU117" s="72">
        <v>0</v>
      </c>
      <c r="BV117" s="72">
        <v>0</v>
      </c>
      <c r="BW117" s="72">
        <v>0</v>
      </c>
      <c r="BX117" s="72">
        <v>0</v>
      </c>
      <c r="BY117" s="72">
        <v>0</v>
      </c>
      <c r="BZ117" s="72">
        <v>0</v>
      </c>
      <c r="CA117" s="72">
        <v>0</v>
      </c>
      <c r="CB117" s="72">
        <v>0</v>
      </c>
      <c r="CC117" s="72">
        <v>0</v>
      </c>
      <c r="CD117" s="72">
        <v>0</v>
      </c>
      <c r="CE117" s="72">
        <v>0</v>
      </c>
      <c r="CF117" s="72">
        <v>0</v>
      </c>
      <c r="CG117" s="72">
        <v>0</v>
      </c>
      <c r="CH117" s="72">
        <v>0</v>
      </c>
      <c r="CI117" s="72">
        <v>0</v>
      </c>
      <c r="CJ117" s="72">
        <v>0</v>
      </c>
      <c r="CK117" s="72">
        <v>0</v>
      </c>
      <c r="CL117" s="72">
        <v>0</v>
      </c>
      <c r="CM117" s="72">
        <v>0</v>
      </c>
      <c r="CN117" s="72">
        <v>0</v>
      </c>
      <c r="CO117" s="72">
        <v>0</v>
      </c>
      <c r="CP117" s="72">
        <v>0</v>
      </c>
      <c r="CQ117" s="72">
        <v>0</v>
      </c>
      <c r="CR117" s="72">
        <v>0</v>
      </c>
      <c r="CS117" s="72">
        <v>0</v>
      </c>
      <c r="CT117" s="72">
        <v>0</v>
      </c>
      <c r="CU117" s="72">
        <v>0</v>
      </c>
      <c r="CV117" s="72">
        <v>0</v>
      </c>
      <c r="CW117" s="72">
        <v>0</v>
      </c>
      <c r="CX117" s="72">
        <v>0</v>
      </c>
      <c r="CY117" s="72">
        <v>0</v>
      </c>
      <c r="CZ117" s="72">
        <v>0</v>
      </c>
      <c r="DA117" s="72">
        <v>0</v>
      </c>
      <c r="DB117" s="72">
        <v>0</v>
      </c>
      <c r="DC117" s="72">
        <v>0</v>
      </c>
      <c r="DD117" s="72">
        <v>0</v>
      </c>
      <c r="DE117" s="72">
        <v>0</v>
      </c>
      <c r="DF117" s="72">
        <v>0</v>
      </c>
      <c r="DG117" s="72">
        <v>0</v>
      </c>
      <c r="DH117" s="72">
        <v>0</v>
      </c>
      <c r="DI117" s="72">
        <v>0</v>
      </c>
      <c r="DJ117" s="72">
        <v>0</v>
      </c>
      <c r="DK117" s="72">
        <v>0</v>
      </c>
      <c r="DL117" s="72">
        <v>0</v>
      </c>
      <c r="DM117" s="72">
        <v>0</v>
      </c>
      <c r="DN117" s="72">
        <v>0</v>
      </c>
      <c r="DO117" s="72">
        <v>0</v>
      </c>
      <c r="DP117" s="72">
        <v>0</v>
      </c>
      <c r="DQ117" s="72">
        <v>0</v>
      </c>
      <c r="DR117" s="72">
        <v>0</v>
      </c>
      <c r="DS117" s="72">
        <v>0</v>
      </c>
      <c r="DT117" s="72">
        <v>0</v>
      </c>
      <c r="DU117" s="72">
        <v>0</v>
      </c>
      <c r="DV117" s="72">
        <v>0</v>
      </c>
      <c r="DW117" s="72">
        <v>0</v>
      </c>
      <c r="DX117" s="72">
        <v>0</v>
      </c>
      <c r="DY117" s="72">
        <v>0</v>
      </c>
      <c r="DZ117" s="72">
        <v>0</v>
      </c>
      <c r="EA117" s="72">
        <v>0</v>
      </c>
      <c r="EB117" s="72">
        <v>0</v>
      </c>
      <c r="EC117" s="72">
        <v>0</v>
      </c>
      <c r="ED117" s="72">
        <v>0</v>
      </c>
      <c r="EE117" s="72">
        <v>0</v>
      </c>
      <c r="EF117" s="72">
        <v>0</v>
      </c>
      <c r="EG117" s="72">
        <v>0</v>
      </c>
      <c r="EH117" s="72">
        <v>0</v>
      </c>
      <c r="EI117" s="72">
        <v>0</v>
      </c>
      <c r="EJ117" s="72">
        <v>0</v>
      </c>
      <c r="EK117" s="72">
        <v>0</v>
      </c>
      <c r="EL117" s="72">
        <v>0</v>
      </c>
      <c r="EM117" s="72">
        <v>0</v>
      </c>
      <c r="EN117" s="72">
        <v>0</v>
      </c>
      <c r="EO117" s="72">
        <v>0</v>
      </c>
      <c r="EP117" s="72">
        <v>0</v>
      </c>
      <c r="EQ117" s="72">
        <v>0</v>
      </c>
      <c r="ER117" s="72">
        <v>0</v>
      </c>
      <c r="ES117" s="72">
        <v>0</v>
      </c>
      <c r="ET117" s="72">
        <v>0</v>
      </c>
      <c r="EU117" s="72">
        <v>0</v>
      </c>
      <c r="EV117" s="72">
        <v>0</v>
      </c>
      <c r="EW117" s="72">
        <v>0</v>
      </c>
      <c r="EX117" s="72">
        <v>0</v>
      </c>
      <c r="EY117" s="72">
        <v>0</v>
      </c>
      <c r="EZ117" s="72">
        <v>0</v>
      </c>
      <c r="FA117" s="72">
        <v>0</v>
      </c>
      <c r="FB117" s="72">
        <v>0</v>
      </c>
      <c r="FC117" s="72">
        <v>0</v>
      </c>
      <c r="FD117" s="72">
        <v>0</v>
      </c>
      <c r="FE117" s="72">
        <v>0</v>
      </c>
      <c r="FF117" s="72">
        <v>0</v>
      </c>
      <c r="FG117" s="72">
        <v>0</v>
      </c>
      <c r="FH117" s="72">
        <v>0</v>
      </c>
      <c r="FI117" s="72">
        <v>0</v>
      </c>
      <c r="FJ117" s="72">
        <v>0</v>
      </c>
      <c r="FK117" s="72">
        <v>0</v>
      </c>
      <c r="FL117" s="72">
        <v>0</v>
      </c>
      <c r="FM117" s="72">
        <v>0</v>
      </c>
      <c r="FN117" s="72">
        <v>0</v>
      </c>
      <c r="FO117" s="72">
        <v>0</v>
      </c>
      <c r="FP117" s="72">
        <v>0</v>
      </c>
      <c r="FQ117" s="72">
        <v>0</v>
      </c>
      <c r="FR117" s="72">
        <v>0</v>
      </c>
      <c r="FS117" s="72">
        <v>0</v>
      </c>
      <c r="FT117" s="72">
        <v>0</v>
      </c>
      <c r="FU117" s="72">
        <v>0</v>
      </c>
      <c r="FV117" s="74">
        <v>0</v>
      </c>
      <c r="FW117" s="74">
        <v>0</v>
      </c>
      <c r="FX117" s="74">
        <v>0</v>
      </c>
      <c r="FY117" s="74">
        <v>0</v>
      </c>
      <c r="FZ117" s="74">
        <v>0</v>
      </c>
      <c r="GA117" s="74">
        <v>0</v>
      </c>
      <c r="GB117" s="74">
        <v>0</v>
      </c>
      <c r="GC117" s="74">
        <v>0</v>
      </c>
      <c r="GD117" s="74">
        <v>0</v>
      </c>
      <c r="GE117" s="74">
        <v>0</v>
      </c>
      <c r="GF117" s="74">
        <v>0</v>
      </c>
      <c r="GG117" s="74">
        <v>0</v>
      </c>
      <c r="GH117" s="74">
        <v>0</v>
      </c>
      <c r="GI117" s="74">
        <v>0</v>
      </c>
      <c r="GJ117" s="72">
        <v>0</v>
      </c>
      <c r="GK117" s="72">
        <v>0</v>
      </c>
      <c r="GL117" s="72">
        <v>0</v>
      </c>
      <c r="GM117" s="72">
        <v>0</v>
      </c>
      <c r="GN117" s="72">
        <v>0</v>
      </c>
      <c r="GO117" s="72">
        <v>0</v>
      </c>
      <c r="GP117" s="72">
        <v>64.550953758635245</v>
      </c>
      <c r="GQ117" s="72">
        <v>623.40713930222546</v>
      </c>
      <c r="GR117" s="72">
        <f t="shared" si="1"/>
        <v>24914.304346660556</v>
      </c>
      <c r="GS117" s="72">
        <f>SUM(DJ$5:DJ$202)</f>
        <v>24914.304346660563</v>
      </c>
      <c r="GT117" s="73">
        <v>0</v>
      </c>
    </row>
    <row r="118" spans="1:202" outlineLevel="1" x14ac:dyDescent="0.2">
      <c r="A118" s="66" t="s">
        <v>940</v>
      </c>
      <c r="B118" s="72">
        <v>0</v>
      </c>
      <c r="C118" s="72">
        <v>0</v>
      </c>
      <c r="D118" s="72">
        <v>0</v>
      </c>
      <c r="E118" s="72">
        <v>0</v>
      </c>
      <c r="F118" s="72">
        <v>0</v>
      </c>
      <c r="G118" s="72">
        <v>0</v>
      </c>
      <c r="H118" s="72">
        <v>0</v>
      </c>
      <c r="I118" s="72">
        <v>0</v>
      </c>
      <c r="J118" s="72">
        <v>0</v>
      </c>
      <c r="K118" s="72">
        <v>0</v>
      </c>
      <c r="L118" s="72">
        <v>0</v>
      </c>
      <c r="M118" s="72">
        <v>0</v>
      </c>
      <c r="N118" s="72">
        <v>0</v>
      </c>
      <c r="O118" s="72">
        <v>175.28911526820258</v>
      </c>
      <c r="P118" s="72">
        <v>0</v>
      </c>
      <c r="Q118" s="72">
        <v>0</v>
      </c>
      <c r="R118" s="72">
        <v>0</v>
      </c>
      <c r="S118" s="72">
        <v>0</v>
      </c>
      <c r="T118" s="72">
        <v>90.721620680872263</v>
      </c>
      <c r="U118" s="72">
        <v>55.076342571645341</v>
      </c>
      <c r="V118" s="72">
        <v>10.532958014590697</v>
      </c>
      <c r="W118" s="72">
        <v>0</v>
      </c>
      <c r="X118" s="72">
        <v>38.57724244046446</v>
      </c>
      <c r="Y118" s="72">
        <v>141.34896432742562</v>
      </c>
      <c r="Z118" s="72">
        <v>85.615418353472194</v>
      </c>
      <c r="AA118" s="72">
        <v>19.716725111407005</v>
      </c>
      <c r="AB118" s="72">
        <v>65.467293768252418</v>
      </c>
      <c r="AC118" s="72">
        <v>0</v>
      </c>
      <c r="AD118" s="72">
        <v>0.65443098267368538</v>
      </c>
      <c r="AE118" s="72">
        <v>212.322547771064</v>
      </c>
      <c r="AF118" s="72">
        <v>0</v>
      </c>
      <c r="AG118" s="72">
        <v>0</v>
      </c>
      <c r="AH118" s="72">
        <v>0</v>
      </c>
      <c r="AI118" s="72">
        <v>0</v>
      </c>
      <c r="AJ118" s="72">
        <v>0</v>
      </c>
      <c r="AK118" s="72">
        <v>11877.616450339829</v>
      </c>
      <c r="AL118" s="72">
        <v>0</v>
      </c>
      <c r="AM118" s="72">
        <v>0</v>
      </c>
      <c r="AN118" s="72">
        <v>0</v>
      </c>
      <c r="AO118" s="72">
        <v>0</v>
      </c>
      <c r="AP118" s="72">
        <v>0</v>
      </c>
      <c r="AQ118" s="72">
        <v>0</v>
      </c>
      <c r="AR118" s="72">
        <v>0</v>
      </c>
      <c r="AS118" s="72">
        <v>0</v>
      </c>
      <c r="AT118" s="72">
        <v>0</v>
      </c>
      <c r="AU118" s="72">
        <v>0</v>
      </c>
      <c r="AV118" s="72">
        <v>0</v>
      </c>
      <c r="AW118" s="72">
        <v>0</v>
      </c>
      <c r="AX118" s="72">
        <v>0</v>
      </c>
      <c r="AY118" s="72">
        <v>0</v>
      </c>
      <c r="AZ118" s="72">
        <v>0</v>
      </c>
      <c r="BA118" s="72">
        <v>0</v>
      </c>
      <c r="BB118" s="72">
        <v>0</v>
      </c>
      <c r="BC118" s="72">
        <v>9.6749642046935094</v>
      </c>
      <c r="BD118" s="72">
        <v>0.29361010229834861</v>
      </c>
      <c r="BE118" s="72">
        <v>0.68675759664857372</v>
      </c>
      <c r="BF118" s="72">
        <v>0</v>
      </c>
      <c r="BG118" s="72">
        <v>0</v>
      </c>
      <c r="BH118" s="72">
        <v>0</v>
      </c>
      <c r="BI118" s="72">
        <v>0</v>
      </c>
      <c r="BJ118" s="72">
        <v>2126.8112615878581</v>
      </c>
      <c r="BK118" s="72">
        <v>0</v>
      </c>
      <c r="BL118" s="72">
        <v>0</v>
      </c>
      <c r="BM118" s="72">
        <v>0</v>
      </c>
      <c r="BN118" s="72">
        <v>0</v>
      </c>
      <c r="BO118" s="72">
        <v>0</v>
      </c>
      <c r="BP118" s="72">
        <v>0</v>
      </c>
      <c r="BQ118" s="72">
        <v>0</v>
      </c>
      <c r="BR118" s="72">
        <v>0</v>
      </c>
      <c r="BS118" s="72">
        <v>0</v>
      </c>
      <c r="BT118" s="72">
        <v>0</v>
      </c>
      <c r="BU118" s="72">
        <v>0</v>
      </c>
      <c r="BV118" s="72">
        <v>0</v>
      </c>
      <c r="BW118" s="72">
        <v>0</v>
      </c>
      <c r="BX118" s="72">
        <v>0</v>
      </c>
      <c r="BY118" s="72">
        <v>0</v>
      </c>
      <c r="BZ118" s="72">
        <v>0</v>
      </c>
      <c r="CA118" s="72">
        <v>0</v>
      </c>
      <c r="CB118" s="72">
        <v>0</v>
      </c>
      <c r="CC118" s="72">
        <v>0</v>
      </c>
      <c r="CD118" s="72">
        <v>0</v>
      </c>
      <c r="CE118" s="72">
        <v>0</v>
      </c>
      <c r="CF118" s="72">
        <v>0</v>
      </c>
      <c r="CG118" s="72">
        <v>0</v>
      </c>
      <c r="CH118" s="72">
        <v>0</v>
      </c>
      <c r="CI118" s="72">
        <v>0</v>
      </c>
      <c r="CJ118" s="72">
        <v>0</v>
      </c>
      <c r="CK118" s="72">
        <v>0</v>
      </c>
      <c r="CL118" s="72">
        <v>0</v>
      </c>
      <c r="CM118" s="72">
        <v>0</v>
      </c>
      <c r="CN118" s="72">
        <v>0</v>
      </c>
      <c r="CO118" s="72">
        <v>0</v>
      </c>
      <c r="CP118" s="72">
        <v>0</v>
      </c>
      <c r="CQ118" s="72">
        <v>0</v>
      </c>
      <c r="CR118" s="72">
        <v>0</v>
      </c>
      <c r="CS118" s="72">
        <v>0</v>
      </c>
      <c r="CT118" s="72">
        <v>0</v>
      </c>
      <c r="CU118" s="72">
        <v>0</v>
      </c>
      <c r="CV118" s="72">
        <v>0</v>
      </c>
      <c r="CW118" s="72">
        <v>0</v>
      </c>
      <c r="CX118" s="72">
        <v>0</v>
      </c>
      <c r="CY118" s="72">
        <v>0</v>
      </c>
      <c r="CZ118" s="72">
        <v>0</v>
      </c>
      <c r="DA118" s="72">
        <v>0</v>
      </c>
      <c r="DB118" s="72">
        <v>0</v>
      </c>
      <c r="DC118" s="72">
        <v>0</v>
      </c>
      <c r="DD118" s="72">
        <v>0</v>
      </c>
      <c r="DE118" s="72">
        <v>0</v>
      </c>
      <c r="DF118" s="72">
        <v>0</v>
      </c>
      <c r="DG118" s="72">
        <v>0</v>
      </c>
      <c r="DH118" s="72">
        <v>0</v>
      </c>
      <c r="DI118" s="72">
        <v>0</v>
      </c>
      <c r="DJ118" s="72">
        <v>0</v>
      </c>
      <c r="DK118" s="72">
        <v>0</v>
      </c>
      <c r="DL118" s="72">
        <v>0</v>
      </c>
      <c r="DM118" s="72">
        <v>0</v>
      </c>
      <c r="DN118" s="72">
        <v>0</v>
      </c>
      <c r="DO118" s="72">
        <v>0</v>
      </c>
      <c r="DP118" s="72">
        <v>0</v>
      </c>
      <c r="DQ118" s="72">
        <v>0</v>
      </c>
      <c r="DR118" s="72">
        <v>0</v>
      </c>
      <c r="DS118" s="72">
        <v>0</v>
      </c>
      <c r="DT118" s="72">
        <v>0</v>
      </c>
      <c r="DU118" s="72">
        <v>0</v>
      </c>
      <c r="DV118" s="72">
        <v>0</v>
      </c>
      <c r="DW118" s="72">
        <v>0</v>
      </c>
      <c r="DX118" s="72">
        <v>0</v>
      </c>
      <c r="DY118" s="72">
        <v>0</v>
      </c>
      <c r="DZ118" s="72">
        <v>0</v>
      </c>
      <c r="EA118" s="72">
        <v>0</v>
      </c>
      <c r="EB118" s="72">
        <v>0</v>
      </c>
      <c r="EC118" s="72">
        <v>0</v>
      </c>
      <c r="ED118" s="72">
        <v>0</v>
      </c>
      <c r="EE118" s="72">
        <v>0</v>
      </c>
      <c r="EF118" s="72">
        <v>0</v>
      </c>
      <c r="EG118" s="72">
        <v>0</v>
      </c>
      <c r="EH118" s="72">
        <v>0</v>
      </c>
      <c r="EI118" s="72">
        <v>0</v>
      </c>
      <c r="EJ118" s="72">
        <v>0</v>
      </c>
      <c r="EK118" s="72">
        <v>0</v>
      </c>
      <c r="EL118" s="72">
        <v>0</v>
      </c>
      <c r="EM118" s="72">
        <v>0</v>
      </c>
      <c r="EN118" s="72">
        <v>0</v>
      </c>
      <c r="EO118" s="72">
        <v>0</v>
      </c>
      <c r="EP118" s="72">
        <v>0</v>
      </c>
      <c r="EQ118" s="72">
        <v>0</v>
      </c>
      <c r="ER118" s="72">
        <v>0</v>
      </c>
      <c r="ES118" s="72">
        <v>0</v>
      </c>
      <c r="ET118" s="72">
        <v>0</v>
      </c>
      <c r="EU118" s="72">
        <v>0</v>
      </c>
      <c r="EV118" s="72">
        <v>0</v>
      </c>
      <c r="EW118" s="72">
        <v>0</v>
      </c>
      <c r="EX118" s="72">
        <v>0</v>
      </c>
      <c r="EY118" s="72">
        <v>0</v>
      </c>
      <c r="EZ118" s="72">
        <v>0</v>
      </c>
      <c r="FA118" s="72">
        <v>0</v>
      </c>
      <c r="FB118" s="72">
        <v>0</v>
      </c>
      <c r="FC118" s="72">
        <v>0</v>
      </c>
      <c r="FD118" s="72">
        <v>0</v>
      </c>
      <c r="FE118" s="72">
        <v>0</v>
      </c>
      <c r="FF118" s="72">
        <v>0</v>
      </c>
      <c r="FG118" s="72">
        <v>0</v>
      </c>
      <c r="FH118" s="72">
        <v>0</v>
      </c>
      <c r="FI118" s="72">
        <v>0</v>
      </c>
      <c r="FJ118" s="72">
        <v>0</v>
      </c>
      <c r="FK118" s="72">
        <v>0</v>
      </c>
      <c r="FL118" s="72">
        <v>0</v>
      </c>
      <c r="FM118" s="72">
        <v>0</v>
      </c>
      <c r="FN118" s="72">
        <v>0</v>
      </c>
      <c r="FO118" s="72">
        <v>0</v>
      </c>
      <c r="FP118" s="72">
        <v>0</v>
      </c>
      <c r="FQ118" s="72">
        <v>0</v>
      </c>
      <c r="FR118" s="72">
        <v>0</v>
      </c>
      <c r="FS118" s="72">
        <v>0</v>
      </c>
      <c r="FT118" s="72">
        <v>0</v>
      </c>
      <c r="FU118" s="72">
        <v>0</v>
      </c>
      <c r="FV118" s="74">
        <v>0</v>
      </c>
      <c r="FW118" s="74">
        <v>0</v>
      </c>
      <c r="FX118" s="74">
        <v>0</v>
      </c>
      <c r="FY118" s="74">
        <v>0</v>
      </c>
      <c r="FZ118" s="74">
        <v>0</v>
      </c>
      <c r="GA118" s="74">
        <v>0</v>
      </c>
      <c r="GB118" s="74">
        <v>0</v>
      </c>
      <c r="GC118" s="74">
        <v>0</v>
      </c>
      <c r="GD118" s="74">
        <v>0</v>
      </c>
      <c r="GE118" s="74">
        <v>0</v>
      </c>
      <c r="GF118" s="74">
        <v>0</v>
      </c>
      <c r="GG118" s="74">
        <v>0</v>
      </c>
      <c r="GH118" s="74">
        <v>0</v>
      </c>
      <c r="GI118" s="74">
        <v>0</v>
      </c>
      <c r="GJ118" s="72">
        <v>0</v>
      </c>
      <c r="GK118" s="72">
        <v>0</v>
      </c>
      <c r="GL118" s="72">
        <v>0</v>
      </c>
      <c r="GM118" s="72">
        <v>0</v>
      </c>
      <c r="GN118" s="72">
        <v>0</v>
      </c>
      <c r="GO118" s="72">
        <v>0</v>
      </c>
      <c r="GP118" s="72">
        <v>68.695329057132852</v>
      </c>
      <c r="GQ118" s="72">
        <v>1401.8108265165354</v>
      </c>
      <c r="GR118" s="72">
        <f t="shared" si="1"/>
        <v>16380.911858695066</v>
      </c>
      <c r="GS118" s="72">
        <f>SUM(DK$5:DK$202)</f>
        <v>16380.911858695063</v>
      </c>
      <c r="GT118" s="73">
        <v>0</v>
      </c>
    </row>
    <row r="119" spans="1:202" outlineLevel="1" x14ac:dyDescent="0.2">
      <c r="A119" s="66" t="s">
        <v>945</v>
      </c>
      <c r="B119" s="72">
        <v>0</v>
      </c>
      <c r="C119" s="72">
        <v>0</v>
      </c>
      <c r="D119" s="72">
        <v>0</v>
      </c>
      <c r="E119" s="72">
        <v>0</v>
      </c>
      <c r="F119" s="72">
        <v>0</v>
      </c>
      <c r="G119" s="72">
        <v>0</v>
      </c>
      <c r="H119" s="72">
        <v>0</v>
      </c>
      <c r="I119" s="72">
        <v>0</v>
      </c>
      <c r="J119" s="72">
        <v>0</v>
      </c>
      <c r="K119" s="72">
        <v>0</v>
      </c>
      <c r="L119" s="72">
        <v>0</v>
      </c>
      <c r="M119" s="72">
        <v>0</v>
      </c>
      <c r="N119" s="72">
        <v>0</v>
      </c>
      <c r="O119" s="72">
        <v>0</v>
      </c>
      <c r="P119" s="72">
        <v>0</v>
      </c>
      <c r="Q119" s="72">
        <v>0</v>
      </c>
      <c r="R119" s="72">
        <v>0</v>
      </c>
      <c r="S119" s="72">
        <v>0</v>
      </c>
      <c r="T119" s="72">
        <v>0</v>
      </c>
      <c r="U119" s="72">
        <v>0</v>
      </c>
      <c r="V119" s="72">
        <v>0</v>
      </c>
      <c r="W119" s="72">
        <v>0</v>
      </c>
      <c r="X119" s="72">
        <v>0</v>
      </c>
      <c r="Y119" s="72">
        <v>0</v>
      </c>
      <c r="Z119" s="72">
        <v>0</v>
      </c>
      <c r="AA119" s="72">
        <v>0</v>
      </c>
      <c r="AB119" s="72">
        <v>0</v>
      </c>
      <c r="AC119" s="72">
        <v>0</v>
      </c>
      <c r="AD119" s="72">
        <v>0</v>
      </c>
      <c r="AE119" s="72">
        <v>0</v>
      </c>
      <c r="AF119" s="72">
        <v>0</v>
      </c>
      <c r="AG119" s="72">
        <v>184.14319555273929</v>
      </c>
      <c r="AH119" s="72">
        <v>0</v>
      </c>
      <c r="AI119" s="72">
        <v>25.184361627087984</v>
      </c>
      <c r="AJ119" s="72">
        <v>29.065060916724271</v>
      </c>
      <c r="AK119" s="72">
        <v>0</v>
      </c>
      <c r="AL119" s="72">
        <v>0</v>
      </c>
      <c r="AM119" s="72">
        <v>0</v>
      </c>
      <c r="AN119" s="72">
        <v>0</v>
      </c>
      <c r="AO119" s="72">
        <v>11.603133422108936</v>
      </c>
      <c r="AP119" s="72">
        <v>0</v>
      </c>
      <c r="AQ119" s="72">
        <v>0</v>
      </c>
      <c r="AR119" s="72">
        <v>0</v>
      </c>
      <c r="AS119" s="72">
        <v>0</v>
      </c>
      <c r="AT119" s="72">
        <v>0</v>
      </c>
      <c r="AU119" s="72">
        <v>3756.9711833414567</v>
      </c>
      <c r="AV119" s="72">
        <v>1725.8253894503671</v>
      </c>
      <c r="AW119" s="72">
        <v>1198.5015629206307</v>
      </c>
      <c r="AX119" s="72">
        <v>0</v>
      </c>
      <c r="AY119" s="72">
        <v>0</v>
      </c>
      <c r="AZ119" s="72">
        <v>0</v>
      </c>
      <c r="BA119" s="72">
        <v>0</v>
      </c>
      <c r="BB119" s="72">
        <v>0</v>
      </c>
      <c r="BC119" s="72">
        <v>940.41234111189328</v>
      </c>
      <c r="BD119" s="72">
        <v>6301.5232195478284</v>
      </c>
      <c r="BE119" s="72">
        <v>176.96996114810938</v>
      </c>
      <c r="BF119" s="72">
        <v>0</v>
      </c>
      <c r="BG119" s="72">
        <v>0</v>
      </c>
      <c r="BH119" s="72">
        <v>0</v>
      </c>
      <c r="BI119" s="72">
        <v>0</v>
      </c>
      <c r="BJ119" s="72">
        <v>122.24647001412997</v>
      </c>
      <c r="BK119" s="72">
        <v>0</v>
      </c>
      <c r="BL119" s="72">
        <v>0</v>
      </c>
      <c r="BM119" s="72">
        <v>0</v>
      </c>
      <c r="BN119" s="72">
        <v>0</v>
      </c>
      <c r="BO119" s="72">
        <v>0</v>
      </c>
      <c r="BP119" s="72">
        <v>0</v>
      </c>
      <c r="BQ119" s="72">
        <v>0</v>
      </c>
      <c r="BR119" s="72">
        <v>0</v>
      </c>
      <c r="BS119" s="72">
        <v>0</v>
      </c>
      <c r="BT119" s="72">
        <v>0</v>
      </c>
      <c r="BU119" s="72">
        <v>0</v>
      </c>
      <c r="BV119" s="72">
        <v>0</v>
      </c>
      <c r="BW119" s="72">
        <v>0</v>
      </c>
      <c r="BX119" s="72">
        <v>0</v>
      </c>
      <c r="BY119" s="72">
        <v>0</v>
      </c>
      <c r="BZ119" s="72">
        <v>0</v>
      </c>
      <c r="CA119" s="72">
        <v>0</v>
      </c>
      <c r="CB119" s="72">
        <v>0</v>
      </c>
      <c r="CC119" s="72">
        <v>0</v>
      </c>
      <c r="CD119" s="72">
        <v>0</v>
      </c>
      <c r="CE119" s="72">
        <v>0</v>
      </c>
      <c r="CF119" s="72">
        <v>0</v>
      </c>
      <c r="CG119" s="72">
        <v>0</v>
      </c>
      <c r="CH119" s="72">
        <v>0</v>
      </c>
      <c r="CI119" s="72">
        <v>0</v>
      </c>
      <c r="CJ119" s="72">
        <v>0</v>
      </c>
      <c r="CK119" s="72">
        <v>0</v>
      </c>
      <c r="CL119" s="72">
        <v>0</v>
      </c>
      <c r="CM119" s="72">
        <v>0</v>
      </c>
      <c r="CN119" s="72">
        <v>0</v>
      </c>
      <c r="CO119" s="72">
        <v>0</v>
      </c>
      <c r="CP119" s="72">
        <v>0</v>
      </c>
      <c r="CQ119" s="72">
        <v>0</v>
      </c>
      <c r="CR119" s="72">
        <v>0</v>
      </c>
      <c r="CS119" s="72">
        <v>0</v>
      </c>
      <c r="CT119" s="72">
        <v>0</v>
      </c>
      <c r="CU119" s="72">
        <v>0</v>
      </c>
      <c r="CV119" s="72">
        <v>0</v>
      </c>
      <c r="CW119" s="72">
        <v>0</v>
      </c>
      <c r="CX119" s="72">
        <v>0</v>
      </c>
      <c r="CY119" s="72">
        <v>0</v>
      </c>
      <c r="CZ119" s="72">
        <v>0</v>
      </c>
      <c r="DA119" s="72">
        <v>0</v>
      </c>
      <c r="DB119" s="72">
        <v>0</v>
      </c>
      <c r="DC119" s="72">
        <v>0</v>
      </c>
      <c r="DD119" s="72">
        <v>0</v>
      </c>
      <c r="DE119" s="72">
        <v>0</v>
      </c>
      <c r="DF119" s="72">
        <v>0</v>
      </c>
      <c r="DG119" s="72">
        <v>0</v>
      </c>
      <c r="DH119" s="72">
        <v>0</v>
      </c>
      <c r="DI119" s="72">
        <v>0</v>
      </c>
      <c r="DJ119" s="72">
        <v>0</v>
      </c>
      <c r="DK119" s="72">
        <v>0</v>
      </c>
      <c r="DL119" s="72">
        <v>0</v>
      </c>
      <c r="DM119" s="72">
        <v>0</v>
      </c>
      <c r="DN119" s="72">
        <v>0</v>
      </c>
      <c r="DO119" s="72">
        <v>0</v>
      </c>
      <c r="DP119" s="72">
        <v>0</v>
      </c>
      <c r="DQ119" s="72">
        <v>0</v>
      </c>
      <c r="DR119" s="72">
        <v>0</v>
      </c>
      <c r="DS119" s="72">
        <v>0</v>
      </c>
      <c r="DT119" s="72">
        <v>0</v>
      </c>
      <c r="DU119" s="72">
        <v>0</v>
      </c>
      <c r="DV119" s="72">
        <v>0</v>
      </c>
      <c r="DW119" s="72">
        <v>0</v>
      </c>
      <c r="DX119" s="72">
        <v>0</v>
      </c>
      <c r="DY119" s="72">
        <v>0</v>
      </c>
      <c r="DZ119" s="72">
        <v>0</v>
      </c>
      <c r="EA119" s="72">
        <v>0</v>
      </c>
      <c r="EB119" s="72">
        <v>0</v>
      </c>
      <c r="EC119" s="72">
        <v>0</v>
      </c>
      <c r="ED119" s="72">
        <v>0</v>
      </c>
      <c r="EE119" s="72">
        <v>0</v>
      </c>
      <c r="EF119" s="72">
        <v>0</v>
      </c>
      <c r="EG119" s="72">
        <v>0</v>
      </c>
      <c r="EH119" s="72">
        <v>0</v>
      </c>
      <c r="EI119" s="72">
        <v>0</v>
      </c>
      <c r="EJ119" s="72">
        <v>0</v>
      </c>
      <c r="EK119" s="72">
        <v>0</v>
      </c>
      <c r="EL119" s="72">
        <v>0</v>
      </c>
      <c r="EM119" s="72">
        <v>0</v>
      </c>
      <c r="EN119" s="72">
        <v>0</v>
      </c>
      <c r="EO119" s="72">
        <v>0</v>
      </c>
      <c r="EP119" s="72">
        <v>0</v>
      </c>
      <c r="EQ119" s="72">
        <v>0</v>
      </c>
      <c r="ER119" s="72">
        <v>0</v>
      </c>
      <c r="ES119" s="72">
        <v>0</v>
      </c>
      <c r="ET119" s="72">
        <v>0</v>
      </c>
      <c r="EU119" s="72">
        <v>0</v>
      </c>
      <c r="EV119" s="72">
        <v>0</v>
      </c>
      <c r="EW119" s="72">
        <v>0</v>
      </c>
      <c r="EX119" s="72">
        <v>0</v>
      </c>
      <c r="EY119" s="72">
        <v>0</v>
      </c>
      <c r="EZ119" s="72">
        <v>0</v>
      </c>
      <c r="FA119" s="72">
        <v>0</v>
      </c>
      <c r="FB119" s="72">
        <v>0</v>
      </c>
      <c r="FC119" s="72">
        <v>0</v>
      </c>
      <c r="FD119" s="72">
        <v>0</v>
      </c>
      <c r="FE119" s="72">
        <v>0</v>
      </c>
      <c r="FF119" s="72">
        <v>0</v>
      </c>
      <c r="FG119" s="72">
        <v>0</v>
      </c>
      <c r="FH119" s="72">
        <v>0</v>
      </c>
      <c r="FI119" s="72">
        <v>0</v>
      </c>
      <c r="FJ119" s="72">
        <v>0</v>
      </c>
      <c r="FK119" s="72">
        <v>0</v>
      </c>
      <c r="FL119" s="72">
        <v>0</v>
      </c>
      <c r="FM119" s="72">
        <v>0</v>
      </c>
      <c r="FN119" s="72">
        <v>0</v>
      </c>
      <c r="FO119" s="72">
        <v>0</v>
      </c>
      <c r="FP119" s="72">
        <v>0</v>
      </c>
      <c r="FQ119" s="72">
        <v>0</v>
      </c>
      <c r="FR119" s="72">
        <v>0</v>
      </c>
      <c r="FS119" s="72">
        <v>0</v>
      </c>
      <c r="FT119" s="72">
        <v>0</v>
      </c>
      <c r="FU119" s="72">
        <v>0</v>
      </c>
      <c r="FV119" s="74">
        <v>731.56808565261144</v>
      </c>
      <c r="FW119" s="74">
        <v>1485.9539927578239</v>
      </c>
      <c r="FX119" s="74">
        <v>2279.4326158989734</v>
      </c>
      <c r="FY119" s="74">
        <v>2251.1809056613979</v>
      </c>
      <c r="FZ119" s="74">
        <v>2864.599177793486</v>
      </c>
      <c r="GA119" s="74">
        <v>2592.5567676662563</v>
      </c>
      <c r="GB119" s="74">
        <v>3898.1270865418865</v>
      </c>
      <c r="GC119" s="74">
        <v>5235.2741414761831</v>
      </c>
      <c r="GD119" s="74">
        <v>6488.6655197945993</v>
      </c>
      <c r="GE119" s="74">
        <v>2035.9355388249294</v>
      </c>
      <c r="GF119" s="74">
        <v>1433.2169849915751</v>
      </c>
      <c r="GG119" s="74">
        <v>1468.0567627268579</v>
      </c>
      <c r="GH119" s="74">
        <v>2309.189150307755</v>
      </c>
      <c r="GI119" s="74">
        <v>3006.3170265183157</v>
      </c>
      <c r="GJ119" s="72">
        <v>0</v>
      </c>
      <c r="GK119" s="72">
        <v>0</v>
      </c>
      <c r="GL119" s="72">
        <v>0</v>
      </c>
      <c r="GM119" s="72">
        <v>0</v>
      </c>
      <c r="GN119" s="72">
        <v>0</v>
      </c>
      <c r="GO119" s="72">
        <v>5278.4371573644494</v>
      </c>
      <c r="GP119" s="72">
        <v>452.31169128597298</v>
      </c>
      <c r="GQ119" s="72">
        <v>4564.6995662187646</v>
      </c>
      <c r="GR119" s="72">
        <f t="shared" si="1"/>
        <v>62847.968050534917</v>
      </c>
      <c r="GS119" s="72">
        <f>SUM(DL$5:DL$202)</f>
        <v>62847.96805053491</v>
      </c>
      <c r="GT119" s="73">
        <v>0</v>
      </c>
    </row>
    <row r="120" spans="1:202" outlineLevel="1" x14ac:dyDescent="0.2">
      <c r="A120" s="66" t="s">
        <v>949</v>
      </c>
      <c r="B120" s="72">
        <v>0</v>
      </c>
      <c r="C120" s="72">
        <v>0</v>
      </c>
      <c r="D120" s="72">
        <v>0</v>
      </c>
      <c r="E120" s="72">
        <v>0</v>
      </c>
      <c r="F120" s="72">
        <v>0</v>
      </c>
      <c r="G120" s="72">
        <v>0</v>
      </c>
      <c r="H120" s="72">
        <v>0</v>
      </c>
      <c r="I120" s="72">
        <v>0</v>
      </c>
      <c r="J120" s="72">
        <v>0</v>
      </c>
      <c r="K120" s="72">
        <v>0</v>
      </c>
      <c r="L120" s="72">
        <v>0</v>
      </c>
      <c r="M120" s="72">
        <v>0</v>
      </c>
      <c r="N120" s="72">
        <v>0</v>
      </c>
      <c r="O120" s="72">
        <v>0</v>
      </c>
      <c r="P120" s="72">
        <v>0</v>
      </c>
      <c r="Q120" s="72">
        <v>0</v>
      </c>
      <c r="R120" s="72">
        <v>0</v>
      </c>
      <c r="S120" s="72">
        <v>0</v>
      </c>
      <c r="T120" s="72">
        <v>0</v>
      </c>
      <c r="U120" s="72">
        <v>0</v>
      </c>
      <c r="V120" s="72">
        <v>0</v>
      </c>
      <c r="W120" s="72">
        <v>0</v>
      </c>
      <c r="X120" s="72">
        <v>0</v>
      </c>
      <c r="Y120" s="72">
        <v>0</v>
      </c>
      <c r="Z120" s="72">
        <v>0</v>
      </c>
      <c r="AA120" s="72">
        <v>0</v>
      </c>
      <c r="AB120" s="72">
        <v>0</v>
      </c>
      <c r="AC120" s="72">
        <v>0</v>
      </c>
      <c r="AD120" s="72">
        <v>0</v>
      </c>
      <c r="AE120" s="72">
        <v>0</v>
      </c>
      <c r="AF120" s="72">
        <v>0</v>
      </c>
      <c r="AG120" s="72">
        <v>0</v>
      </c>
      <c r="AH120" s="72">
        <v>466.9583283515218</v>
      </c>
      <c r="AI120" s="72">
        <v>0</v>
      </c>
      <c r="AJ120" s="72">
        <v>0</v>
      </c>
      <c r="AK120" s="72">
        <v>0</v>
      </c>
      <c r="AL120" s="72">
        <v>0</v>
      </c>
      <c r="AM120" s="72">
        <v>0</v>
      </c>
      <c r="AN120" s="72">
        <v>0</v>
      </c>
      <c r="AO120" s="72">
        <v>0</v>
      </c>
      <c r="AP120" s="72">
        <v>0</v>
      </c>
      <c r="AQ120" s="72">
        <v>0</v>
      </c>
      <c r="AR120" s="72">
        <v>0</v>
      </c>
      <c r="AS120" s="72">
        <v>0</v>
      </c>
      <c r="AT120" s="72">
        <v>0</v>
      </c>
      <c r="AU120" s="72">
        <v>0</v>
      </c>
      <c r="AV120" s="72">
        <v>0</v>
      </c>
      <c r="AW120" s="72">
        <v>0</v>
      </c>
      <c r="AX120" s="72">
        <v>0</v>
      </c>
      <c r="AY120" s="72">
        <v>0</v>
      </c>
      <c r="AZ120" s="72">
        <v>0</v>
      </c>
      <c r="BA120" s="72">
        <v>0</v>
      </c>
      <c r="BB120" s="72">
        <v>0</v>
      </c>
      <c r="BC120" s="72">
        <v>0</v>
      </c>
      <c r="BD120" s="72">
        <v>0</v>
      </c>
      <c r="BE120" s="72">
        <v>0</v>
      </c>
      <c r="BF120" s="72">
        <v>0</v>
      </c>
      <c r="BG120" s="72">
        <v>0</v>
      </c>
      <c r="BH120" s="72">
        <v>0</v>
      </c>
      <c r="BI120" s="72">
        <v>0</v>
      </c>
      <c r="BJ120" s="72">
        <v>2527.5209980655413</v>
      </c>
      <c r="BK120" s="72">
        <v>0</v>
      </c>
      <c r="BL120" s="72">
        <v>0</v>
      </c>
      <c r="BM120" s="72">
        <v>0</v>
      </c>
      <c r="BN120" s="72">
        <v>0</v>
      </c>
      <c r="BO120" s="72">
        <v>0</v>
      </c>
      <c r="BP120" s="72">
        <v>0</v>
      </c>
      <c r="BQ120" s="72">
        <v>0</v>
      </c>
      <c r="BR120" s="72">
        <v>0</v>
      </c>
      <c r="BS120" s="72">
        <v>0</v>
      </c>
      <c r="BT120" s="72">
        <v>0</v>
      </c>
      <c r="BU120" s="72">
        <v>0</v>
      </c>
      <c r="BV120" s="72">
        <v>0</v>
      </c>
      <c r="BW120" s="72">
        <v>0</v>
      </c>
      <c r="BX120" s="72">
        <v>0</v>
      </c>
      <c r="BY120" s="72">
        <v>0</v>
      </c>
      <c r="BZ120" s="72">
        <v>0</v>
      </c>
      <c r="CA120" s="72">
        <v>0</v>
      </c>
      <c r="CB120" s="72">
        <v>0</v>
      </c>
      <c r="CC120" s="72">
        <v>0</v>
      </c>
      <c r="CD120" s="72">
        <v>0</v>
      </c>
      <c r="CE120" s="72">
        <v>0</v>
      </c>
      <c r="CF120" s="72">
        <v>0</v>
      </c>
      <c r="CG120" s="72">
        <v>0</v>
      </c>
      <c r="CH120" s="72">
        <v>0</v>
      </c>
      <c r="CI120" s="72">
        <v>0</v>
      </c>
      <c r="CJ120" s="72">
        <v>0</v>
      </c>
      <c r="CK120" s="72">
        <v>0</v>
      </c>
      <c r="CL120" s="72">
        <v>0</v>
      </c>
      <c r="CM120" s="72">
        <v>0</v>
      </c>
      <c r="CN120" s="72">
        <v>0</v>
      </c>
      <c r="CO120" s="72">
        <v>0</v>
      </c>
      <c r="CP120" s="72">
        <v>0</v>
      </c>
      <c r="CQ120" s="72">
        <v>0</v>
      </c>
      <c r="CR120" s="72">
        <v>0</v>
      </c>
      <c r="CS120" s="72">
        <v>0</v>
      </c>
      <c r="CT120" s="72">
        <v>0</v>
      </c>
      <c r="CU120" s="72">
        <v>0</v>
      </c>
      <c r="CV120" s="72">
        <v>0</v>
      </c>
      <c r="CW120" s="72">
        <v>0</v>
      </c>
      <c r="CX120" s="72">
        <v>0</v>
      </c>
      <c r="CY120" s="72">
        <v>0</v>
      </c>
      <c r="CZ120" s="72">
        <v>0</v>
      </c>
      <c r="DA120" s="72">
        <v>0</v>
      </c>
      <c r="DB120" s="72">
        <v>0</v>
      </c>
      <c r="DC120" s="72">
        <v>0</v>
      </c>
      <c r="DD120" s="72">
        <v>0</v>
      </c>
      <c r="DE120" s="72">
        <v>0</v>
      </c>
      <c r="DF120" s="72">
        <v>0</v>
      </c>
      <c r="DG120" s="72">
        <v>0</v>
      </c>
      <c r="DH120" s="72">
        <v>0</v>
      </c>
      <c r="DI120" s="72">
        <v>0</v>
      </c>
      <c r="DJ120" s="72">
        <v>0</v>
      </c>
      <c r="DK120" s="72">
        <v>0</v>
      </c>
      <c r="DL120" s="72">
        <v>0</v>
      </c>
      <c r="DM120" s="72">
        <v>0</v>
      </c>
      <c r="DN120" s="72">
        <v>0</v>
      </c>
      <c r="DO120" s="72">
        <v>0</v>
      </c>
      <c r="DP120" s="72">
        <v>0</v>
      </c>
      <c r="DQ120" s="72">
        <v>0</v>
      </c>
      <c r="DR120" s="72">
        <v>0</v>
      </c>
      <c r="DS120" s="72">
        <v>0</v>
      </c>
      <c r="DT120" s="72">
        <v>0</v>
      </c>
      <c r="DU120" s="72">
        <v>0</v>
      </c>
      <c r="DV120" s="72">
        <v>0</v>
      </c>
      <c r="DW120" s="72">
        <v>0</v>
      </c>
      <c r="DX120" s="72">
        <v>0</v>
      </c>
      <c r="DY120" s="72">
        <v>0</v>
      </c>
      <c r="DZ120" s="72">
        <v>0</v>
      </c>
      <c r="EA120" s="72">
        <v>0</v>
      </c>
      <c r="EB120" s="72">
        <v>0</v>
      </c>
      <c r="EC120" s="72">
        <v>0</v>
      </c>
      <c r="ED120" s="72">
        <v>0</v>
      </c>
      <c r="EE120" s="72">
        <v>0</v>
      </c>
      <c r="EF120" s="72">
        <v>0</v>
      </c>
      <c r="EG120" s="72">
        <v>0</v>
      </c>
      <c r="EH120" s="72">
        <v>0</v>
      </c>
      <c r="EI120" s="72">
        <v>0</v>
      </c>
      <c r="EJ120" s="72">
        <v>0</v>
      </c>
      <c r="EK120" s="72">
        <v>0</v>
      </c>
      <c r="EL120" s="72">
        <v>0</v>
      </c>
      <c r="EM120" s="72">
        <v>0</v>
      </c>
      <c r="EN120" s="72">
        <v>0</v>
      </c>
      <c r="EO120" s="72">
        <v>0</v>
      </c>
      <c r="EP120" s="72">
        <v>0</v>
      </c>
      <c r="EQ120" s="72">
        <v>0</v>
      </c>
      <c r="ER120" s="72">
        <v>0</v>
      </c>
      <c r="ES120" s="72">
        <v>0</v>
      </c>
      <c r="ET120" s="72">
        <v>0</v>
      </c>
      <c r="EU120" s="72">
        <v>0</v>
      </c>
      <c r="EV120" s="72">
        <v>0</v>
      </c>
      <c r="EW120" s="72">
        <v>0</v>
      </c>
      <c r="EX120" s="72">
        <v>0</v>
      </c>
      <c r="EY120" s="72">
        <v>0</v>
      </c>
      <c r="EZ120" s="72">
        <v>0</v>
      </c>
      <c r="FA120" s="72">
        <v>0</v>
      </c>
      <c r="FB120" s="72">
        <v>0</v>
      </c>
      <c r="FC120" s="72">
        <v>0</v>
      </c>
      <c r="FD120" s="72">
        <v>0</v>
      </c>
      <c r="FE120" s="72">
        <v>0</v>
      </c>
      <c r="FF120" s="72">
        <v>0</v>
      </c>
      <c r="FG120" s="72">
        <v>0</v>
      </c>
      <c r="FH120" s="72">
        <v>0</v>
      </c>
      <c r="FI120" s="72">
        <v>0</v>
      </c>
      <c r="FJ120" s="72">
        <v>0</v>
      </c>
      <c r="FK120" s="72">
        <v>0</v>
      </c>
      <c r="FL120" s="72">
        <v>0</v>
      </c>
      <c r="FM120" s="72">
        <v>0</v>
      </c>
      <c r="FN120" s="72">
        <v>0</v>
      </c>
      <c r="FO120" s="72">
        <v>0</v>
      </c>
      <c r="FP120" s="72">
        <v>0</v>
      </c>
      <c r="FQ120" s="72">
        <v>0</v>
      </c>
      <c r="FR120" s="72">
        <v>0</v>
      </c>
      <c r="FS120" s="72">
        <v>0</v>
      </c>
      <c r="FT120" s="72">
        <v>0</v>
      </c>
      <c r="FU120" s="72">
        <v>0</v>
      </c>
      <c r="FV120" s="74">
        <v>437.77943493278303</v>
      </c>
      <c r="FW120" s="74">
        <v>584.47222483862254</v>
      </c>
      <c r="FX120" s="74">
        <v>730.65237992456741</v>
      </c>
      <c r="FY120" s="74">
        <v>796.57319712986316</v>
      </c>
      <c r="FZ120" s="74">
        <v>1057.9476378679242</v>
      </c>
      <c r="GA120" s="74">
        <v>955.96114317514025</v>
      </c>
      <c r="GB120" s="74">
        <v>957.83132755333702</v>
      </c>
      <c r="GC120" s="74">
        <v>1476.1603398455768</v>
      </c>
      <c r="GD120" s="74">
        <v>2335.0358282952238</v>
      </c>
      <c r="GE120" s="74">
        <v>796.55867240507928</v>
      </c>
      <c r="GF120" s="74">
        <v>616.62293941596045</v>
      </c>
      <c r="GG120" s="74">
        <v>687.71834239179884</v>
      </c>
      <c r="GH120" s="74">
        <v>1171.2151910996513</v>
      </c>
      <c r="GI120" s="74">
        <v>1230.7503005644223</v>
      </c>
      <c r="GJ120" s="72">
        <v>0</v>
      </c>
      <c r="GK120" s="72">
        <v>0</v>
      </c>
      <c r="GL120" s="72">
        <v>0</v>
      </c>
      <c r="GM120" s="72">
        <v>0</v>
      </c>
      <c r="GN120" s="72">
        <v>0</v>
      </c>
      <c r="GO120" s="72">
        <v>0</v>
      </c>
      <c r="GP120" s="72">
        <v>2653.6947635559231</v>
      </c>
      <c r="GQ120" s="72">
        <v>14144.385692692622</v>
      </c>
      <c r="GR120" s="72">
        <f t="shared" si="1"/>
        <v>33627.83874210556</v>
      </c>
      <c r="GS120" s="72">
        <f>SUM(DM$5:DM$202)</f>
        <v>33627.838742105567</v>
      </c>
      <c r="GT120" s="73">
        <v>0</v>
      </c>
    </row>
    <row r="121" spans="1:202" outlineLevel="1" x14ac:dyDescent="0.2">
      <c r="A121" s="66" t="s">
        <v>956</v>
      </c>
      <c r="B121" s="72">
        <v>0</v>
      </c>
      <c r="C121" s="72">
        <v>0</v>
      </c>
      <c r="D121" s="72">
        <v>74.453483707598096</v>
      </c>
      <c r="E121" s="72">
        <v>0</v>
      </c>
      <c r="F121" s="72">
        <v>0</v>
      </c>
      <c r="G121" s="72">
        <v>0</v>
      </c>
      <c r="H121" s="72">
        <v>0</v>
      </c>
      <c r="I121" s="72">
        <v>2.6713159688026615</v>
      </c>
      <c r="J121" s="72">
        <v>0</v>
      </c>
      <c r="K121" s="72">
        <v>92.404817407069757</v>
      </c>
      <c r="L121" s="72">
        <v>804.10148459501374</v>
      </c>
      <c r="M121" s="72">
        <v>10.121359815779972</v>
      </c>
      <c r="N121" s="72">
        <v>7.8294104042433617</v>
      </c>
      <c r="O121" s="72">
        <v>0</v>
      </c>
      <c r="P121" s="72">
        <v>246.5768008074767</v>
      </c>
      <c r="Q121" s="72">
        <v>781.25808171243989</v>
      </c>
      <c r="R121" s="72">
        <v>0</v>
      </c>
      <c r="S121" s="72">
        <v>0</v>
      </c>
      <c r="T121" s="72">
        <v>3.031136820572355</v>
      </c>
      <c r="U121" s="72">
        <v>0</v>
      </c>
      <c r="V121" s="72">
        <v>7.1732419204020381</v>
      </c>
      <c r="W121" s="72">
        <v>0</v>
      </c>
      <c r="X121" s="72">
        <v>0</v>
      </c>
      <c r="Y121" s="72">
        <v>1.0590307225222535</v>
      </c>
      <c r="Z121" s="72">
        <v>0</v>
      </c>
      <c r="AA121" s="72">
        <v>0</v>
      </c>
      <c r="AB121" s="72">
        <v>5.2943207223529652E-2</v>
      </c>
      <c r="AC121" s="72">
        <v>0</v>
      </c>
      <c r="AD121" s="72">
        <v>5.5767422590333536E-2</v>
      </c>
      <c r="AE121" s="72">
        <v>0</v>
      </c>
      <c r="AF121" s="72">
        <v>0</v>
      </c>
      <c r="AG121" s="72">
        <v>5.0917851470516879</v>
      </c>
      <c r="AH121" s="72">
        <v>341.38550666190446</v>
      </c>
      <c r="AI121" s="72">
        <v>3840.2759905165608</v>
      </c>
      <c r="AJ121" s="72">
        <v>43.457220938266346</v>
      </c>
      <c r="AK121" s="72">
        <v>0</v>
      </c>
      <c r="AL121" s="72">
        <v>0</v>
      </c>
      <c r="AM121" s="72">
        <v>0</v>
      </c>
      <c r="AN121" s="72">
        <v>0</v>
      </c>
      <c r="AO121" s="72">
        <v>153.82235042383965</v>
      </c>
      <c r="AP121" s="72">
        <v>15.199752470742785</v>
      </c>
      <c r="AQ121" s="72">
        <v>9.714721844090916E-3</v>
      </c>
      <c r="AR121" s="72">
        <v>402.02645523894711</v>
      </c>
      <c r="AS121" s="72">
        <v>1641.544851266613</v>
      </c>
      <c r="AT121" s="72">
        <v>165.63223999401538</v>
      </c>
      <c r="AU121" s="72">
        <v>0</v>
      </c>
      <c r="AV121" s="72">
        <v>0</v>
      </c>
      <c r="AW121" s="72">
        <v>0</v>
      </c>
      <c r="AX121" s="72">
        <v>0</v>
      </c>
      <c r="AY121" s="72">
        <v>0</v>
      </c>
      <c r="AZ121" s="72">
        <v>0</v>
      </c>
      <c r="BA121" s="72">
        <v>0</v>
      </c>
      <c r="BB121" s="72">
        <v>0</v>
      </c>
      <c r="BC121" s="72">
        <v>194.7311477324514</v>
      </c>
      <c r="BD121" s="72">
        <v>378.59552792928213</v>
      </c>
      <c r="BE121" s="72">
        <v>604.89929815291055</v>
      </c>
      <c r="BF121" s="72">
        <v>189.25478107246533</v>
      </c>
      <c r="BG121" s="72">
        <v>148.8202125540177</v>
      </c>
      <c r="BH121" s="72">
        <v>7257.0635227565999</v>
      </c>
      <c r="BI121" s="72">
        <v>1196.7391321052976</v>
      </c>
      <c r="BJ121" s="72">
        <v>8050.032166329881</v>
      </c>
      <c r="BK121" s="72">
        <v>0</v>
      </c>
      <c r="BL121" s="72">
        <v>0</v>
      </c>
      <c r="BM121" s="72">
        <v>0</v>
      </c>
      <c r="BN121" s="72">
        <v>0</v>
      </c>
      <c r="BO121" s="72">
        <v>0</v>
      </c>
      <c r="BP121" s="72">
        <v>0</v>
      </c>
      <c r="BQ121" s="72">
        <v>0</v>
      </c>
      <c r="BR121" s="72">
        <v>0</v>
      </c>
      <c r="BS121" s="72">
        <v>0</v>
      </c>
      <c r="BT121" s="72">
        <v>0</v>
      </c>
      <c r="BU121" s="72">
        <v>0</v>
      </c>
      <c r="BV121" s="72">
        <v>0</v>
      </c>
      <c r="BW121" s="72">
        <v>0</v>
      </c>
      <c r="BX121" s="72">
        <v>0</v>
      </c>
      <c r="BY121" s="72">
        <v>0</v>
      </c>
      <c r="BZ121" s="72">
        <v>0</v>
      </c>
      <c r="CA121" s="72">
        <v>0</v>
      </c>
      <c r="CB121" s="72">
        <v>0</v>
      </c>
      <c r="CC121" s="72">
        <v>0</v>
      </c>
      <c r="CD121" s="72">
        <v>0</v>
      </c>
      <c r="CE121" s="72">
        <v>0</v>
      </c>
      <c r="CF121" s="72">
        <v>0</v>
      </c>
      <c r="CG121" s="72">
        <v>0</v>
      </c>
      <c r="CH121" s="72">
        <v>0</v>
      </c>
      <c r="CI121" s="72">
        <v>0</v>
      </c>
      <c r="CJ121" s="72">
        <v>0</v>
      </c>
      <c r="CK121" s="72">
        <v>0</v>
      </c>
      <c r="CL121" s="72">
        <v>0</v>
      </c>
      <c r="CM121" s="72">
        <v>0</v>
      </c>
      <c r="CN121" s="72">
        <v>0</v>
      </c>
      <c r="CO121" s="72">
        <v>0</v>
      </c>
      <c r="CP121" s="72">
        <v>0</v>
      </c>
      <c r="CQ121" s="72">
        <v>0</v>
      </c>
      <c r="CR121" s="72">
        <v>0</v>
      </c>
      <c r="CS121" s="72">
        <v>0</v>
      </c>
      <c r="CT121" s="72">
        <v>0</v>
      </c>
      <c r="CU121" s="72">
        <v>0</v>
      </c>
      <c r="CV121" s="72">
        <v>0</v>
      </c>
      <c r="CW121" s="72">
        <v>0</v>
      </c>
      <c r="CX121" s="72">
        <v>0</v>
      </c>
      <c r="CY121" s="72">
        <v>0</v>
      </c>
      <c r="CZ121" s="72">
        <v>0</v>
      </c>
      <c r="DA121" s="72">
        <v>0</v>
      </c>
      <c r="DB121" s="72">
        <v>0</v>
      </c>
      <c r="DC121" s="72">
        <v>0</v>
      </c>
      <c r="DD121" s="72">
        <v>0</v>
      </c>
      <c r="DE121" s="72">
        <v>0</v>
      </c>
      <c r="DF121" s="72">
        <v>0</v>
      </c>
      <c r="DG121" s="72">
        <v>0</v>
      </c>
      <c r="DH121" s="72">
        <v>0</v>
      </c>
      <c r="DI121" s="72">
        <v>0</v>
      </c>
      <c r="DJ121" s="72">
        <v>0</v>
      </c>
      <c r="DK121" s="72">
        <v>0</v>
      </c>
      <c r="DL121" s="72">
        <v>0</v>
      </c>
      <c r="DM121" s="72">
        <v>0</v>
      </c>
      <c r="DN121" s="72">
        <v>0</v>
      </c>
      <c r="DO121" s="72">
        <v>0</v>
      </c>
      <c r="DP121" s="72">
        <v>0</v>
      </c>
      <c r="DQ121" s="72">
        <v>0</v>
      </c>
      <c r="DR121" s="72">
        <v>0</v>
      </c>
      <c r="DS121" s="72">
        <v>0</v>
      </c>
      <c r="DT121" s="72">
        <v>0</v>
      </c>
      <c r="DU121" s="72">
        <v>0</v>
      </c>
      <c r="DV121" s="72">
        <v>0</v>
      </c>
      <c r="DW121" s="72">
        <v>0</v>
      </c>
      <c r="DX121" s="72">
        <v>0</v>
      </c>
      <c r="DY121" s="72">
        <v>0</v>
      </c>
      <c r="DZ121" s="72">
        <v>0</v>
      </c>
      <c r="EA121" s="72">
        <v>0</v>
      </c>
      <c r="EB121" s="72">
        <v>0</v>
      </c>
      <c r="EC121" s="72">
        <v>0</v>
      </c>
      <c r="ED121" s="72">
        <v>0</v>
      </c>
      <c r="EE121" s="72">
        <v>0</v>
      </c>
      <c r="EF121" s="72">
        <v>0</v>
      </c>
      <c r="EG121" s="72">
        <v>0</v>
      </c>
      <c r="EH121" s="72">
        <v>0</v>
      </c>
      <c r="EI121" s="72">
        <v>0</v>
      </c>
      <c r="EJ121" s="72">
        <v>0</v>
      </c>
      <c r="EK121" s="72">
        <v>0</v>
      </c>
      <c r="EL121" s="72">
        <v>0</v>
      </c>
      <c r="EM121" s="72">
        <v>0</v>
      </c>
      <c r="EN121" s="72">
        <v>0</v>
      </c>
      <c r="EO121" s="72">
        <v>0</v>
      </c>
      <c r="EP121" s="72">
        <v>0</v>
      </c>
      <c r="EQ121" s="72">
        <v>0</v>
      </c>
      <c r="ER121" s="72">
        <v>0</v>
      </c>
      <c r="ES121" s="72">
        <v>0</v>
      </c>
      <c r="ET121" s="72">
        <v>0</v>
      </c>
      <c r="EU121" s="72">
        <v>0</v>
      </c>
      <c r="EV121" s="72">
        <v>0</v>
      </c>
      <c r="EW121" s="72">
        <v>0</v>
      </c>
      <c r="EX121" s="72">
        <v>0</v>
      </c>
      <c r="EY121" s="72">
        <v>0</v>
      </c>
      <c r="EZ121" s="72">
        <v>0</v>
      </c>
      <c r="FA121" s="72">
        <v>0</v>
      </c>
      <c r="FB121" s="72">
        <v>0</v>
      </c>
      <c r="FC121" s="72">
        <v>0</v>
      </c>
      <c r="FD121" s="72">
        <v>0</v>
      </c>
      <c r="FE121" s="72">
        <v>0</v>
      </c>
      <c r="FF121" s="72">
        <v>0</v>
      </c>
      <c r="FG121" s="72">
        <v>0</v>
      </c>
      <c r="FH121" s="72">
        <v>0</v>
      </c>
      <c r="FI121" s="72">
        <v>0</v>
      </c>
      <c r="FJ121" s="72">
        <v>0</v>
      </c>
      <c r="FK121" s="72">
        <v>0</v>
      </c>
      <c r="FL121" s="72">
        <v>0</v>
      </c>
      <c r="FM121" s="72">
        <v>0</v>
      </c>
      <c r="FN121" s="72">
        <v>0</v>
      </c>
      <c r="FO121" s="72">
        <v>0</v>
      </c>
      <c r="FP121" s="72">
        <v>0</v>
      </c>
      <c r="FQ121" s="72">
        <v>0</v>
      </c>
      <c r="FR121" s="72">
        <v>0</v>
      </c>
      <c r="FS121" s="72">
        <v>0</v>
      </c>
      <c r="FT121" s="72">
        <v>0</v>
      </c>
      <c r="FU121" s="72">
        <v>0</v>
      </c>
      <c r="FV121" s="74">
        <v>924.28037631841107</v>
      </c>
      <c r="FW121" s="74">
        <v>1233.991742906896</v>
      </c>
      <c r="FX121" s="74">
        <v>1542.6207875166913</v>
      </c>
      <c r="FY121" s="74">
        <v>1681.7989052441333</v>
      </c>
      <c r="FZ121" s="74">
        <v>2233.6367650615598</v>
      </c>
      <c r="GA121" s="74">
        <v>2018.3134579982316</v>
      </c>
      <c r="GB121" s="74">
        <v>2022.2619639876234</v>
      </c>
      <c r="GC121" s="74">
        <v>3116.6060475825511</v>
      </c>
      <c r="GD121" s="74">
        <v>4929.9433044977504</v>
      </c>
      <c r="GE121" s="74">
        <v>1681.7682393036666</v>
      </c>
      <c r="GF121" s="74">
        <v>1301.8713009610801</v>
      </c>
      <c r="GG121" s="74">
        <v>1451.9744820917936</v>
      </c>
      <c r="GH121" s="74">
        <v>2472.7776848303492</v>
      </c>
      <c r="GI121" s="74">
        <v>2598.4737065923237</v>
      </c>
      <c r="GJ121" s="72">
        <v>0</v>
      </c>
      <c r="GK121" s="72">
        <v>0</v>
      </c>
      <c r="GL121" s="72">
        <v>0</v>
      </c>
      <c r="GM121" s="72">
        <v>0</v>
      </c>
      <c r="GN121" s="72">
        <v>0</v>
      </c>
      <c r="GO121" s="72">
        <v>0</v>
      </c>
      <c r="GP121" s="72">
        <v>294.8802996031182</v>
      </c>
      <c r="GQ121" s="72">
        <v>4599.9220250857197</v>
      </c>
      <c r="GR121" s="72">
        <f t="shared" si="1"/>
        <v>60764.49162010631</v>
      </c>
      <c r="GS121" s="72">
        <f>SUM(DN$5:DN$202)</f>
        <v>60764.491620106324</v>
      </c>
      <c r="GT121" s="73">
        <v>0</v>
      </c>
    </row>
    <row r="122" spans="1:202" outlineLevel="1" x14ac:dyDescent="0.2">
      <c r="A122" s="66" t="s">
        <v>963</v>
      </c>
      <c r="B122" s="72">
        <v>0</v>
      </c>
      <c r="C122" s="72">
        <v>0</v>
      </c>
      <c r="D122" s="72">
        <v>0</v>
      </c>
      <c r="E122" s="72">
        <v>0</v>
      </c>
      <c r="F122" s="72">
        <v>0</v>
      </c>
      <c r="G122" s="72">
        <v>0</v>
      </c>
      <c r="H122" s="72">
        <v>0</v>
      </c>
      <c r="I122" s="72">
        <v>44.876298529574647</v>
      </c>
      <c r="J122" s="72">
        <v>0.99415809052461457</v>
      </c>
      <c r="K122" s="72">
        <v>69.899755685443779</v>
      </c>
      <c r="L122" s="72">
        <v>0</v>
      </c>
      <c r="M122" s="72">
        <v>0</v>
      </c>
      <c r="N122" s="72">
        <v>0</v>
      </c>
      <c r="O122" s="72">
        <v>0</v>
      </c>
      <c r="P122" s="72">
        <v>246.73404595057423</v>
      </c>
      <c r="Q122" s="72">
        <v>33.479868430393047</v>
      </c>
      <c r="R122" s="72">
        <v>0</v>
      </c>
      <c r="S122" s="72">
        <v>56.870826192177617</v>
      </c>
      <c r="T122" s="72">
        <v>4.8462547365176372</v>
      </c>
      <c r="U122" s="72">
        <v>2.3154704793994298</v>
      </c>
      <c r="V122" s="72">
        <v>4.6510301639292271</v>
      </c>
      <c r="W122" s="72">
        <v>0</v>
      </c>
      <c r="X122" s="72">
        <v>13.250287093242832</v>
      </c>
      <c r="Y122" s="72">
        <v>9266.5779494227827</v>
      </c>
      <c r="Z122" s="72">
        <v>439.04615721077914</v>
      </c>
      <c r="AA122" s="72">
        <v>132.75003096481049</v>
      </c>
      <c r="AB122" s="72">
        <v>0</v>
      </c>
      <c r="AC122" s="72">
        <v>0</v>
      </c>
      <c r="AD122" s="72">
        <v>0</v>
      </c>
      <c r="AE122" s="72">
        <v>32.548708537194429</v>
      </c>
      <c r="AF122" s="72">
        <v>0</v>
      </c>
      <c r="AG122" s="72">
        <v>0.46959554652030078</v>
      </c>
      <c r="AH122" s="72">
        <v>16863.48077324636</v>
      </c>
      <c r="AI122" s="72">
        <v>0</v>
      </c>
      <c r="AJ122" s="72">
        <v>0</v>
      </c>
      <c r="AK122" s="72">
        <v>0</v>
      </c>
      <c r="AL122" s="72">
        <v>0</v>
      </c>
      <c r="AM122" s="72">
        <v>0</v>
      </c>
      <c r="AN122" s="72">
        <v>0</v>
      </c>
      <c r="AO122" s="72">
        <v>0</v>
      </c>
      <c r="AP122" s="72">
        <v>0</v>
      </c>
      <c r="AQ122" s="72">
        <v>0</v>
      </c>
      <c r="AR122" s="72">
        <v>0</v>
      </c>
      <c r="AS122" s="72">
        <v>0</v>
      </c>
      <c r="AT122" s="72">
        <v>0</v>
      </c>
      <c r="AU122" s="72">
        <v>0</v>
      </c>
      <c r="AV122" s="72">
        <v>0</v>
      </c>
      <c r="AW122" s="72">
        <v>0</v>
      </c>
      <c r="AX122" s="72">
        <v>0</v>
      </c>
      <c r="AY122" s="72">
        <v>0</v>
      </c>
      <c r="AZ122" s="72">
        <v>0</v>
      </c>
      <c r="BA122" s="72">
        <v>0</v>
      </c>
      <c r="BB122" s="72">
        <v>0</v>
      </c>
      <c r="BC122" s="72">
        <v>0</v>
      </c>
      <c r="BD122" s="72">
        <v>0</v>
      </c>
      <c r="BE122" s="72">
        <v>0</v>
      </c>
      <c r="BF122" s="72">
        <v>0</v>
      </c>
      <c r="BG122" s="72">
        <v>0</v>
      </c>
      <c r="BH122" s="72">
        <v>0</v>
      </c>
      <c r="BI122" s="72">
        <v>0</v>
      </c>
      <c r="BJ122" s="72">
        <v>1782.906270823788</v>
      </c>
      <c r="BK122" s="72">
        <v>0</v>
      </c>
      <c r="BL122" s="72">
        <v>0</v>
      </c>
      <c r="BM122" s="72">
        <v>0</v>
      </c>
      <c r="BN122" s="72">
        <v>0</v>
      </c>
      <c r="BO122" s="72">
        <v>0</v>
      </c>
      <c r="BP122" s="72">
        <v>0</v>
      </c>
      <c r="BQ122" s="72">
        <v>0</v>
      </c>
      <c r="BR122" s="72">
        <v>0</v>
      </c>
      <c r="BS122" s="72">
        <v>0</v>
      </c>
      <c r="BT122" s="72">
        <v>0</v>
      </c>
      <c r="BU122" s="72">
        <v>0</v>
      </c>
      <c r="BV122" s="72">
        <v>0</v>
      </c>
      <c r="BW122" s="72">
        <v>0</v>
      </c>
      <c r="BX122" s="72">
        <v>0</v>
      </c>
      <c r="BY122" s="72">
        <v>0</v>
      </c>
      <c r="BZ122" s="72">
        <v>0</v>
      </c>
      <c r="CA122" s="72">
        <v>0</v>
      </c>
      <c r="CB122" s="72">
        <v>0</v>
      </c>
      <c r="CC122" s="72">
        <v>0</v>
      </c>
      <c r="CD122" s="72">
        <v>0</v>
      </c>
      <c r="CE122" s="72">
        <v>0</v>
      </c>
      <c r="CF122" s="72">
        <v>0</v>
      </c>
      <c r="CG122" s="72">
        <v>0</v>
      </c>
      <c r="CH122" s="72">
        <v>0</v>
      </c>
      <c r="CI122" s="72">
        <v>0</v>
      </c>
      <c r="CJ122" s="72">
        <v>0</v>
      </c>
      <c r="CK122" s="72">
        <v>0</v>
      </c>
      <c r="CL122" s="72">
        <v>0</v>
      </c>
      <c r="CM122" s="72">
        <v>0</v>
      </c>
      <c r="CN122" s="72">
        <v>0</v>
      </c>
      <c r="CO122" s="72">
        <v>0</v>
      </c>
      <c r="CP122" s="72">
        <v>0</v>
      </c>
      <c r="CQ122" s="72">
        <v>0</v>
      </c>
      <c r="CR122" s="72">
        <v>0</v>
      </c>
      <c r="CS122" s="72">
        <v>0</v>
      </c>
      <c r="CT122" s="72">
        <v>0</v>
      </c>
      <c r="CU122" s="72">
        <v>0</v>
      </c>
      <c r="CV122" s="72">
        <v>0</v>
      </c>
      <c r="CW122" s="72">
        <v>0</v>
      </c>
      <c r="CX122" s="72">
        <v>0</v>
      </c>
      <c r="CY122" s="72">
        <v>0</v>
      </c>
      <c r="CZ122" s="72">
        <v>0</v>
      </c>
      <c r="DA122" s="72">
        <v>0</v>
      </c>
      <c r="DB122" s="72">
        <v>0</v>
      </c>
      <c r="DC122" s="72">
        <v>0</v>
      </c>
      <c r="DD122" s="72">
        <v>0</v>
      </c>
      <c r="DE122" s="72">
        <v>0</v>
      </c>
      <c r="DF122" s="72">
        <v>0</v>
      </c>
      <c r="DG122" s="72">
        <v>0</v>
      </c>
      <c r="DH122" s="72">
        <v>0</v>
      </c>
      <c r="DI122" s="72">
        <v>0</v>
      </c>
      <c r="DJ122" s="72">
        <v>0</v>
      </c>
      <c r="DK122" s="72">
        <v>0</v>
      </c>
      <c r="DL122" s="72">
        <v>0</v>
      </c>
      <c r="DM122" s="72">
        <v>0</v>
      </c>
      <c r="DN122" s="72">
        <v>0</v>
      </c>
      <c r="DO122" s="72">
        <v>0</v>
      </c>
      <c r="DP122" s="72">
        <v>0</v>
      </c>
      <c r="DQ122" s="72">
        <v>0</v>
      </c>
      <c r="DR122" s="72">
        <v>0</v>
      </c>
      <c r="DS122" s="72">
        <v>0</v>
      </c>
      <c r="DT122" s="72">
        <v>0</v>
      </c>
      <c r="DU122" s="72">
        <v>0</v>
      </c>
      <c r="DV122" s="72">
        <v>0</v>
      </c>
      <c r="DW122" s="72">
        <v>0</v>
      </c>
      <c r="DX122" s="72">
        <v>0</v>
      </c>
      <c r="DY122" s="72">
        <v>0</v>
      </c>
      <c r="DZ122" s="72">
        <v>0</v>
      </c>
      <c r="EA122" s="72">
        <v>0</v>
      </c>
      <c r="EB122" s="72">
        <v>0</v>
      </c>
      <c r="EC122" s="72">
        <v>0</v>
      </c>
      <c r="ED122" s="72">
        <v>0</v>
      </c>
      <c r="EE122" s="72">
        <v>0</v>
      </c>
      <c r="EF122" s="72">
        <v>0</v>
      </c>
      <c r="EG122" s="72">
        <v>0</v>
      </c>
      <c r="EH122" s="72">
        <v>0</v>
      </c>
      <c r="EI122" s="72">
        <v>0</v>
      </c>
      <c r="EJ122" s="72">
        <v>0</v>
      </c>
      <c r="EK122" s="72">
        <v>0</v>
      </c>
      <c r="EL122" s="72">
        <v>0</v>
      </c>
      <c r="EM122" s="72">
        <v>0</v>
      </c>
      <c r="EN122" s="72">
        <v>0</v>
      </c>
      <c r="EO122" s="72">
        <v>0</v>
      </c>
      <c r="EP122" s="72">
        <v>0</v>
      </c>
      <c r="EQ122" s="72">
        <v>0</v>
      </c>
      <c r="ER122" s="72">
        <v>0</v>
      </c>
      <c r="ES122" s="72">
        <v>0</v>
      </c>
      <c r="ET122" s="72">
        <v>0</v>
      </c>
      <c r="EU122" s="72">
        <v>0</v>
      </c>
      <c r="EV122" s="72">
        <v>0</v>
      </c>
      <c r="EW122" s="72">
        <v>0</v>
      </c>
      <c r="EX122" s="72">
        <v>0</v>
      </c>
      <c r="EY122" s="72">
        <v>0</v>
      </c>
      <c r="EZ122" s="72">
        <v>0</v>
      </c>
      <c r="FA122" s="72">
        <v>0</v>
      </c>
      <c r="FB122" s="72">
        <v>0</v>
      </c>
      <c r="FC122" s="72">
        <v>0</v>
      </c>
      <c r="FD122" s="72">
        <v>0</v>
      </c>
      <c r="FE122" s="72">
        <v>0</v>
      </c>
      <c r="FF122" s="72">
        <v>0</v>
      </c>
      <c r="FG122" s="72">
        <v>0</v>
      </c>
      <c r="FH122" s="72">
        <v>0</v>
      </c>
      <c r="FI122" s="72">
        <v>0</v>
      </c>
      <c r="FJ122" s="72">
        <v>0</v>
      </c>
      <c r="FK122" s="72">
        <v>0</v>
      </c>
      <c r="FL122" s="72">
        <v>0</v>
      </c>
      <c r="FM122" s="72">
        <v>0</v>
      </c>
      <c r="FN122" s="72">
        <v>0</v>
      </c>
      <c r="FO122" s="72">
        <v>0</v>
      </c>
      <c r="FP122" s="72">
        <v>0</v>
      </c>
      <c r="FQ122" s="72">
        <v>0</v>
      </c>
      <c r="FR122" s="72">
        <v>0</v>
      </c>
      <c r="FS122" s="72">
        <v>0</v>
      </c>
      <c r="FT122" s="72">
        <v>0</v>
      </c>
      <c r="FU122" s="72">
        <v>0</v>
      </c>
      <c r="FV122" s="74">
        <v>33.164424835076382</v>
      </c>
      <c r="FW122" s="74">
        <v>44.27728582505604</v>
      </c>
      <c r="FX122" s="74">
        <v>55.351311644637981</v>
      </c>
      <c r="FY122" s="74">
        <v>60.345209970646636</v>
      </c>
      <c r="FZ122" s="74">
        <v>80.145895662971341</v>
      </c>
      <c r="GA122" s="74">
        <v>72.419805382026397</v>
      </c>
      <c r="GB122" s="74">
        <v>72.56148309525193</v>
      </c>
      <c r="GC122" s="74">
        <v>111.82802280981103</v>
      </c>
      <c r="GD122" s="74">
        <v>176.89300601020122</v>
      </c>
      <c r="GE122" s="74">
        <v>60.344109635398084</v>
      </c>
      <c r="GF122" s="74">
        <v>46.71289579645142</v>
      </c>
      <c r="GG122" s="74">
        <v>52.098800112568235</v>
      </c>
      <c r="GH122" s="74">
        <v>88.726593968234141</v>
      </c>
      <c r="GI122" s="74">
        <v>93.236736531681842</v>
      </c>
      <c r="GJ122" s="72">
        <v>0</v>
      </c>
      <c r="GK122" s="72">
        <v>0</v>
      </c>
      <c r="GL122" s="72">
        <v>0</v>
      </c>
      <c r="GM122" s="72">
        <v>0</v>
      </c>
      <c r="GN122" s="72">
        <v>0</v>
      </c>
      <c r="GO122" s="72">
        <v>0</v>
      </c>
      <c r="GP122" s="72">
        <v>2809.4275685338644</v>
      </c>
      <c r="GQ122" s="72">
        <v>11963.20714888027</v>
      </c>
      <c r="GR122" s="72">
        <f t="shared" si="1"/>
        <v>44816.437779798158</v>
      </c>
      <c r="GS122" s="72">
        <f>SUM(DO$5:DO$202)</f>
        <v>44816.437779798158</v>
      </c>
      <c r="GT122" s="73">
        <v>0</v>
      </c>
    </row>
    <row r="123" spans="1:202" outlineLevel="1" x14ac:dyDescent="0.2">
      <c r="A123" s="66" t="s">
        <v>967</v>
      </c>
      <c r="B123" s="72">
        <v>0</v>
      </c>
      <c r="C123" s="72">
        <v>0</v>
      </c>
      <c r="D123" s="72">
        <v>0</v>
      </c>
      <c r="E123" s="72">
        <v>0</v>
      </c>
      <c r="F123" s="72">
        <v>0</v>
      </c>
      <c r="G123" s="72">
        <v>0</v>
      </c>
      <c r="H123" s="72">
        <v>0</v>
      </c>
      <c r="I123" s="72">
        <v>0</v>
      </c>
      <c r="J123" s="72">
        <v>0</v>
      </c>
      <c r="K123" s="72">
        <v>65.125380324115099</v>
      </c>
      <c r="L123" s="72">
        <v>0</v>
      </c>
      <c r="M123" s="72">
        <v>0</v>
      </c>
      <c r="N123" s="72">
        <v>0</v>
      </c>
      <c r="O123" s="72">
        <v>0</v>
      </c>
      <c r="P123" s="72">
        <v>0</v>
      </c>
      <c r="Q123" s="72">
        <v>0</v>
      </c>
      <c r="R123" s="72">
        <v>0</v>
      </c>
      <c r="S123" s="72">
        <v>0</v>
      </c>
      <c r="T123" s="72">
        <v>0</v>
      </c>
      <c r="U123" s="72">
        <v>0</v>
      </c>
      <c r="V123" s="72">
        <v>22.827671694799211</v>
      </c>
      <c r="W123" s="72">
        <v>192.70948061004046</v>
      </c>
      <c r="X123" s="72">
        <v>114.00771570648315</v>
      </c>
      <c r="Y123" s="72">
        <v>28099.339291655786</v>
      </c>
      <c r="Z123" s="72">
        <v>21577.962593855005</v>
      </c>
      <c r="AA123" s="72">
        <v>11925.67553369845</v>
      </c>
      <c r="AB123" s="72">
        <v>327.14686084479416</v>
      </c>
      <c r="AC123" s="72">
        <v>223.41583623557125</v>
      </c>
      <c r="AD123" s="72">
        <v>13.847293896704141</v>
      </c>
      <c r="AE123" s="72">
        <v>10216.186179989414</v>
      </c>
      <c r="AF123" s="72">
        <v>846.42133385014654</v>
      </c>
      <c r="AG123" s="72">
        <v>373.87377228978767</v>
      </c>
      <c r="AH123" s="72">
        <v>120.85810288364439</v>
      </c>
      <c r="AI123" s="72">
        <v>0</v>
      </c>
      <c r="AJ123" s="72">
        <v>0</v>
      </c>
      <c r="AK123" s="72">
        <v>0</v>
      </c>
      <c r="AL123" s="72">
        <v>0</v>
      </c>
      <c r="AM123" s="72">
        <v>0</v>
      </c>
      <c r="AN123" s="72">
        <v>0</v>
      </c>
      <c r="AO123" s="72">
        <v>0</v>
      </c>
      <c r="AP123" s="72">
        <v>0</v>
      </c>
      <c r="AQ123" s="72">
        <v>0</v>
      </c>
      <c r="AR123" s="72">
        <v>0</v>
      </c>
      <c r="AS123" s="72">
        <v>0</v>
      </c>
      <c r="AT123" s="72">
        <v>0</v>
      </c>
      <c r="AU123" s="72">
        <v>0</v>
      </c>
      <c r="AV123" s="72">
        <v>0</v>
      </c>
      <c r="AW123" s="72">
        <v>0</v>
      </c>
      <c r="AX123" s="72">
        <v>0</v>
      </c>
      <c r="AY123" s="72">
        <v>0</v>
      </c>
      <c r="AZ123" s="72">
        <v>0</v>
      </c>
      <c r="BA123" s="72">
        <v>0</v>
      </c>
      <c r="BB123" s="72">
        <v>0</v>
      </c>
      <c r="BC123" s="72">
        <v>0</v>
      </c>
      <c r="BD123" s="72">
        <v>0</v>
      </c>
      <c r="BE123" s="72">
        <v>0</v>
      </c>
      <c r="BF123" s="72">
        <v>0</v>
      </c>
      <c r="BG123" s="72">
        <v>0</v>
      </c>
      <c r="BH123" s="72">
        <v>0</v>
      </c>
      <c r="BI123" s="72">
        <v>0</v>
      </c>
      <c r="BJ123" s="72">
        <v>395.61575500379388</v>
      </c>
      <c r="BK123" s="72">
        <v>0</v>
      </c>
      <c r="BL123" s="72">
        <v>0</v>
      </c>
      <c r="BM123" s="72">
        <v>0</v>
      </c>
      <c r="BN123" s="72">
        <v>0</v>
      </c>
      <c r="BO123" s="72">
        <v>0</v>
      </c>
      <c r="BP123" s="72">
        <v>0</v>
      </c>
      <c r="BQ123" s="72">
        <v>0</v>
      </c>
      <c r="BR123" s="72">
        <v>0</v>
      </c>
      <c r="BS123" s="72">
        <v>0</v>
      </c>
      <c r="BT123" s="72">
        <v>0</v>
      </c>
      <c r="BU123" s="72">
        <v>0</v>
      </c>
      <c r="BV123" s="72">
        <v>0</v>
      </c>
      <c r="BW123" s="72">
        <v>0</v>
      </c>
      <c r="BX123" s="72">
        <v>0</v>
      </c>
      <c r="BY123" s="72">
        <v>0</v>
      </c>
      <c r="BZ123" s="72">
        <v>0</v>
      </c>
      <c r="CA123" s="72">
        <v>0</v>
      </c>
      <c r="CB123" s="72">
        <v>0</v>
      </c>
      <c r="CC123" s="72">
        <v>0</v>
      </c>
      <c r="CD123" s="72">
        <v>0</v>
      </c>
      <c r="CE123" s="72">
        <v>0</v>
      </c>
      <c r="CF123" s="72">
        <v>0</v>
      </c>
      <c r="CG123" s="72">
        <v>0</v>
      </c>
      <c r="CH123" s="72">
        <v>0</v>
      </c>
      <c r="CI123" s="72">
        <v>0</v>
      </c>
      <c r="CJ123" s="72">
        <v>0</v>
      </c>
      <c r="CK123" s="72">
        <v>0</v>
      </c>
      <c r="CL123" s="72">
        <v>0</v>
      </c>
      <c r="CM123" s="72">
        <v>0</v>
      </c>
      <c r="CN123" s="72">
        <v>0</v>
      </c>
      <c r="CO123" s="72">
        <v>0</v>
      </c>
      <c r="CP123" s="72">
        <v>0</v>
      </c>
      <c r="CQ123" s="72">
        <v>0</v>
      </c>
      <c r="CR123" s="72">
        <v>0</v>
      </c>
      <c r="CS123" s="72">
        <v>0</v>
      </c>
      <c r="CT123" s="72">
        <v>0</v>
      </c>
      <c r="CU123" s="72">
        <v>0</v>
      </c>
      <c r="CV123" s="72">
        <v>0</v>
      </c>
      <c r="CW123" s="72">
        <v>0</v>
      </c>
      <c r="CX123" s="72">
        <v>0</v>
      </c>
      <c r="CY123" s="72">
        <v>0</v>
      </c>
      <c r="CZ123" s="72">
        <v>0</v>
      </c>
      <c r="DA123" s="72">
        <v>0</v>
      </c>
      <c r="DB123" s="72">
        <v>0</v>
      </c>
      <c r="DC123" s="72">
        <v>0</v>
      </c>
      <c r="DD123" s="72">
        <v>0</v>
      </c>
      <c r="DE123" s="72">
        <v>0</v>
      </c>
      <c r="DF123" s="72">
        <v>0</v>
      </c>
      <c r="DG123" s="72">
        <v>0</v>
      </c>
      <c r="DH123" s="72">
        <v>0</v>
      </c>
      <c r="DI123" s="72">
        <v>0</v>
      </c>
      <c r="DJ123" s="72">
        <v>0</v>
      </c>
      <c r="DK123" s="72">
        <v>0</v>
      </c>
      <c r="DL123" s="72">
        <v>0</v>
      </c>
      <c r="DM123" s="72">
        <v>0</v>
      </c>
      <c r="DN123" s="72">
        <v>0</v>
      </c>
      <c r="DO123" s="72">
        <v>0</v>
      </c>
      <c r="DP123" s="72">
        <v>0</v>
      </c>
      <c r="DQ123" s="72">
        <v>0</v>
      </c>
      <c r="DR123" s="72">
        <v>0</v>
      </c>
      <c r="DS123" s="72">
        <v>0</v>
      </c>
      <c r="DT123" s="72">
        <v>0</v>
      </c>
      <c r="DU123" s="72">
        <v>0</v>
      </c>
      <c r="DV123" s="72">
        <v>0</v>
      </c>
      <c r="DW123" s="72">
        <v>0</v>
      </c>
      <c r="DX123" s="72">
        <v>0</v>
      </c>
      <c r="DY123" s="72">
        <v>0</v>
      </c>
      <c r="DZ123" s="72">
        <v>0</v>
      </c>
      <c r="EA123" s="72">
        <v>0</v>
      </c>
      <c r="EB123" s="72">
        <v>0</v>
      </c>
      <c r="EC123" s="72">
        <v>0</v>
      </c>
      <c r="ED123" s="72">
        <v>0</v>
      </c>
      <c r="EE123" s="72">
        <v>0</v>
      </c>
      <c r="EF123" s="72">
        <v>0</v>
      </c>
      <c r="EG123" s="72">
        <v>0</v>
      </c>
      <c r="EH123" s="72">
        <v>0</v>
      </c>
      <c r="EI123" s="72">
        <v>0</v>
      </c>
      <c r="EJ123" s="72">
        <v>0</v>
      </c>
      <c r="EK123" s="72">
        <v>0</v>
      </c>
      <c r="EL123" s="72">
        <v>0</v>
      </c>
      <c r="EM123" s="72">
        <v>0</v>
      </c>
      <c r="EN123" s="72">
        <v>0</v>
      </c>
      <c r="EO123" s="72">
        <v>0</v>
      </c>
      <c r="EP123" s="72">
        <v>0</v>
      </c>
      <c r="EQ123" s="72">
        <v>0</v>
      </c>
      <c r="ER123" s="72">
        <v>0</v>
      </c>
      <c r="ES123" s="72">
        <v>0</v>
      </c>
      <c r="ET123" s="72">
        <v>0</v>
      </c>
      <c r="EU123" s="72">
        <v>0</v>
      </c>
      <c r="EV123" s="72">
        <v>0</v>
      </c>
      <c r="EW123" s="72">
        <v>0</v>
      </c>
      <c r="EX123" s="72">
        <v>0</v>
      </c>
      <c r="EY123" s="72">
        <v>0</v>
      </c>
      <c r="EZ123" s="72">
        <v>0</v>
      </c>
      <c r="FA123" s="72">
        <v>0</v>
      </c>
      <c r="FB123" s="72">
        <v>0</v>
      </c>
      <c r="FC123" s="72">
        <v>0</v>
      </c>
      <c r="FD123" s="72">
        <v>0</v>
      </c>
      <c r="FE123" s="72">
        <v>0</v>
      </c>
      <c r="FF123" s="72">
        <v>0</v>
      </c>
      <c r="FG123" s="72">
        <v>0</v>
      </c>
      <c r="FH123" s="72">
        <v>0</v>
      </c>
      <c r="FI123" s="72">
        <v>0</v>
      </c>
      <c r="FJ123" s="72">
        <v>0</v>
      </c>
      <c r="FK123" s="72">
        <v>0</v>
      </c>
      <c r="FL123" s="72">
        <v>0</v>
      </c>
      <c r="FM123" s="72">
        <v>0</v>
      </c>
      <c r="FN123" s="72">
        <v>0</v>
      </c>
      <c r="FO123" s="72">
        <v>0</v>
      </c>
      <c r="FP123" s="72">
        <v>0</v>
      </c>
      <c r="FQ123" s="72">
        <v>0</v>
      </c>
      <c r="FR123" s="72">
        <v>0</v>
      </c>
      <c r="FS123" s="72">
        <v>0</v>
      </c>
      <c r="FT123" s="72">
        <v>0</v>
      </c>
      <c r="FU123" s="72">
        <v>0</v>
      </c>
      <c r="FV123" s="74">
        <v>0</v>
      </c>
      <c r="FW123" s="74">
        <v>0</v>
      </c>
      <c r="FX123" s="74">
        <v>0</v>
      </c>
      <c r="FY123" s="74">
        <v>0</v>
      </c>
      <c r="FZ123" s="74">
        <v>0</v>
      </c>
      <c r="GA123" s="74">
        <v>0</v>
      </c>
      <c r="GB123" s="74">
        <v>0</v>
      </c>
      <c r="GC123" s="74">
        <v>0</v>
      </c>
      <c r="GD123" s="74">
        <v>0</v>
      </c>
      <c r="GE123" s="74">
        <v>0</v>
      </c>
      <c r="GF123" s="74">
        <v>0</v>
      </c>
      <c r="GG123" s="74">
        <v>0</v>
      </c>
      <c r="GH123" s="74">
        <v>0</v>
      </c>
      <c r="GI123" s="74">
        <v>0</v>
      </c>
      <c r="GJ123" s="72">
        <v>0</v>
      </c>
      <c r="GK123" s="72">
        <v>0</v>
      </c>
      <c r="GL123" s="72">
        <v>0</v>
      </c>
      <c r="GM123" s="72">
        <v>0</v>
      </c>
      <c r="GN123" s="72">
        <v>0</v>
      </c>
      <c r="GO123" s="72">
        <v>0</v>
      </c>
      <c r="GP123" s="72">
        <v>1137.8684712954102</v>
      </c>
      <c r="GQ123" s="72">
        <v>51326.618081829205</v>
      </c>
      <c r="GR123" s="72">
        <f t="shared" si="1"/>
        <v>126979.49935566315</v>
      </c>
      <c r="GS123" s="72">
        <f>SUM(DP$5:DP$202)</f>
        <v>126979.49935566314</v>
      </c>
      <c r="GT123" s="73">
        <v>0</v>
      </c>
    </row>
    <row r="124" spans="1:202" outlineLevel="1" x14ac:dyDescent="0.2">
      <c r="A124" s="66" t="s">
        <v>1507</v>
      </c>
      <c r="B124" s="72">
        <v>3314.1283087997163</v>
      </c>
      <c r="C124" s="72">
        <v>0</v>
      </c>
      <c r="D124" s="72">
        <v>0</v>
      </c>
      <c r="E124" s="72">
        <v>224.73187184516769</v>
      </c>
      <c r="F124" s="72">
        <v>319.68030768023687</v>
      </c>
      <c r="G124" s="72">
        <v>2212.2790998973624</v>
      </c>
      <c r="H124" s="72">
        <v>176.759969849783</v>
      </c>
      <c r="I124" s="72">
        <v>0</v>
      </c>
      <c r="J124" s="72">
        <v>0</v>
      </c>
      <c r="K124" s="72">
        <v>13.980018375945793</v>
      </c>
      <c r="L124" s="72">
        <v>0</v>
      </c>
      <c r="M124" s="72">
        <v>0</v>
      </c>
      <c r="N124" s="72">
        <v>0</v>
      </c>
      <c r="O124" s="72">
        <v>6.2491775924341404</v>
      </c>
      <c r="P124" s="72">
        <v>0</v>
      </c>
      <c r="Q124" s="72">
        <v>0</v>
      </c>
      <c r="R124" s="72">
        <v>0</v>
      </c>
      <c r="S124" s="72">
        <v>0</v>
      </c>
      <c r="T124" s="72">
        <v>7.0478816853964128</v>
      </c>
      <c r="U124" s="72">
        <v>15.077126901117676</v>
      </c>
      <c r="V124" s="72">
        <v>3.0255374860682935</v>
      </c>
      <c r="W124" s="72">
        <v>0</v>
      </c>
      <c r="X124" s="72">
        <v>159.38612134791083</v>
      </c>
      <c r="Y124" s="72">
        <v>3361.9088986685306</v>
      </c>
      <c r="Z124" s="72">
        <v>27262.685738205295</v>
      </c>
      <c r="AA124" s="72">
        <v>15218.833393984727</v>
      </c>
      <c r="AB124" s="72">
        <v>1148.0899454224261</v>
      </c>
      <c r="AC124" s="72">
        <v>16.160734264060871</v>
      </c>
      <c r="AD124" s="72">
        <v>129.44200494750305</v>
      </c>
      <c r="AE124" s="72">
        <v>6637.0169606041127</v>
      </c>
      <c r="AF124" s="72">
        <v>874.31399646699265</v>
      </c>
      <c r="AG124" s="72">
        <v>617.0811121274902</v>
      </c>
      <c r="AH124" s="72">
        <v>446.00778816997956</v>
      </c>
      <c r="AI124" s="72">
        <v>0</v>
      </c>
      <c r="AJ124" s="72">
        <v>0</v>
      </c>
      <c r="AK124" s="72">
        <v>0</v>
      </c>
      <c r="AL124" s="72">
        <v>0</v>
      </c>
      <c r="AM124" s="72">
        <v>0</v>
      </c>
      <c r="AN124" s="72">
        <v>0</v>
      </c>
      <c r="AO124" s="72">
        <v>0</v>
      </c>
      <c r="AP124" s="72">
        <v>0</v>
      </c>
      <c r="AQ124" s="72">
        <v>0</v>
      </c>
      <c r="AR124" s="72">
        <v>0</v>
      </c>
      <c r="AS124" s="72">
        <v>0</v>
      </c>
      <c r="AT124" s="72">
        <v>0</v>
      </c>
      <c r="AU124" s="72">
        <v>0</v>
      </c>
      <c r="AV124" s="72">
        <v>0</v>
      </c>
      <c r="AW124" s="72">
        <v>0</v>
      </c>
      <c r="AX124" s="72">
        <v>0</v>
      </c>
      <c r="AY124" s="72">
        <v>0</v>
      </c>
      <c r="AZ124" s="72">
        <v>0</v>
      </c>
      <c r="BA124" s="72">
        <v>0</v>
      </c>
      <c r="BB124" s="72">
        <v>0</v>
      </c>
      <c r="BC124" s="72">
        <v>0</v>
      </c>
      <c r="BD124" s="72">
        <v>0</v>
      </c>
      <c r="BE124" s="72">
        <v>0</v>
      </c>
      <c r="BF124" s="72">
        <v>0</v>
      </c>
      <c r="BG124" s="72">
        <v>0</v>
      </c>
      <c r="BH124" s="72">
        <v>0</v>
      </c>
      <c r="BI124" s="72">
        <v>0</v>
      </c>
      <c r="BJ124" s="72">
        <v>954.60561595341449</v>
      </c>
      <c r="BK124" s="72">
        <v>0</v>
      </c>
      <c r="BL124" s="72">
        <v>0</v>
      </c>
      <c r="BM124" s="72">
        <v>0</v>
      </c>
      <c r="BN124" s="72">
        <v>0</v>
      </c>
      <c r="BO124" s="72">
        <v>0</v>
      </c>
      <c r="BP124" s="72">
        <v>0</v>
      </c>
      <c r="BQ124" s="72">
        <v>0</v>
      </c>
      <c r="BR124" s="72">
        <v>0</v>
      </c>
      <c r="BS124" s="72">
        <v>0</v>
      </c>
      <c r="BT124" s="72">
        <v>0</v>
      </c>
      <c r="BU124" s="72">
        <v>0</v>
      </c>
      <c r="BV124" s="72">
        <v>0</v>
      </c>
      <c r="BW124" s="72">
        <v>0</v>
      </c>
      <c r="BX124" s="72">
        <v>0</v>
      </c>
      <c r="BY124" s="72">
        <v>0</v>
      </c>
      <c r="BZ124" s="72">
        <v>0</v>
      </c>
      <c r="CA124" s="72">
        <v>0</v>
      </c>
      <c r="CB124" s="72">
        <v>0</v>
      </c>
      <c r="CC124" s="72">
        <v>0</v>
      </c>
      <c r="CD124" s="72">
        <v>0</v>
      </c>
      <c r="CE124" s="72">
        <v>0</v>
      </c>
      <c r="CF124" s="72">
        <v>0</v>
      </c>
      <c r="CG124" s="72">
        <v>0</v>
      </c>
      <c r="CH124" s="72">
        <v>0</v>
      </c>
      <c r="CI124" s="72">
        <v>0</v>
      </c>
      <c r="CJ124" s="72">
        <v>0</v>
      </c>
      <c r="CK124" s="72">
        <v>0</v>
      </c>
      <c r="CL124" s="72">
        <v>0</v>
      </c>
      <c r="CM124" s="72">
        <v>0</v>
      </c>
      <c r="CN124" s="72">
        <v>0</v>
      </c>
      <c r="CO124" s="72">
        <v>0</v>
      </c>
      <c r="CP124" s="72">
        <v>0</v>
      </c>
      <c r="CQ124" s="72">
        <v>0</v>
      </c>
      <c r="CR124" s="72">
        <v>0</v>
      </c>
      <c r="CS124" s="72">
        <v>0</v>
      </c>
      <c r="CT124" s="72">
        <v>0</v>
      </c>
      <c r="CU124" s="72">
        <v>0</v>
      </c>
      <c r="CV124" s="72">
        <v>0</v>
      </c>
      <c r="CW124" s="72">
        <v>0</v>
      </c>
      <c r="CX124" s="72">
        <v>0</v>
      </c>
      <c r="CY124" s="72">
        <v>0</v>
      </c>
      <c r="CZ124" s="72">
        <v>0</v>
      </c>
      <c r="DA124" s="72">
        <v>0</v>
      </c>
      <c r="DB124" s="72">
        <v>0</v>
      </c>
      <c r="DC124" s="72">
        <v>0</v>
      </c>
      <c r="DD124" s="72">
        <v>0</v>
      </c>
      <c r="DE124" s="72">
        <v>0</v>
      </c>
      <c r="DF124" s="72">
        <v>0</v>
      </c>
      <c r="DG124" s="72">
        <v>0</v>
      </c>
      <c r="DH124" s="72">
        <v>0</v>
      </c>
      <c r="DI124" s="72">
        <v>0</v>
      </c>
      <c r="DJ124" s="72">
        <v>0</v>
      </c>
      <c r="DK124" s="72">
        <v>0</v>
      </c>
      <c r="DL124" s="72">
        <v>0</v>
      </c>
      <c r="DM124" s="72">
        <v>0</v>
      </c>
      <c r="DN124" s="72">
        <v>0</v>
      </c>
      <c r="DO124" s="72">
        <v>0</v>
      </c>
      <c r="DP124" s="72">
        <v>0</v>
      </c>
      <c r="DQ124" s="72">
        <v>0</v>
      </c>
      <c r="DR124" s="72">
        <v>0</v>
      </c>
      <c r="DS124" s="72">
        <v>0</v>
      </c>
      <c r="DT124" s="72">
        <v>0</v>
      </c>
      <c r="DU124" s="72">
        <v>0</v>
      </c>
      <c r="DV124" s="72">
        <v>0</v>
      </c>
      <c r="DW124" s="72">
        <v>0</v>
      </c>
      <c r="DX124" s="72">
        <v>0</v>
      </c>
      <c r="DY124" s="72">
        <v>0</v>
      </c>
      <c r="DZ124" s="72">
        <v>0</v>
      </c>
      <c r="EA124" s="72">
        <v>0</v>
      </c>
      <c r="EB124" s="72">
        <v>0</v>
      </c>
      <c r="EC124" s="72">
        <v>0</v>
      </c>
      <c r="ED124" s="72">
        <v>0</v>
      </c>
      <c r="EE124" s="72">
        <v>0</v>
      </c>
      <c r="EF124" s="72">
        <v>0</v>
      </c>
      <c r="EG124" s="72">
        <v>0</v>
      </c>
      <c r="EH124" s="72">
        <v>0</v>
      </c>
      <c r="EI124" s="72">
        <v>0</v>
      </c>
      <c r="EJ124" s="72">
        <v>0</v>
      </c>
      <c r="EK124" s="72">
        <v>0</v>
      </c>
      <c r="EL124" s="72">
        <v>0</v>
      </c>
      <c r="EM124" s="72">
        <v>0</v>
      </c>
      <c r="EN124" s="72">
        <v>0</v>
      </c>
      <c r="EO124" s="72">
        <v>0</v>
      </c>
      <c r="EP124" s="72">
        <v>0</v>
      </c>
      <c r="EQ124" s="72">
        <v>0</v>
      </c>
      <c r="ER124" s="72">
        <v>0</v>
      </c>
      <c r="ES124" s="72">
        <v>0</v>
      </c>
      <c r="ET124" s="72">
        <v>0</v>
      </c>
      <c r="EU124" s="72">
        <v>0</v>
      </c>
      <c r="EV124" s="72">
        <v>0</v>
      </c>
      <c r="EW124" s="72">
        <v>0</v>
      </c>
      <c r="EX124" s="72">
        <v>0</v>
      </c>
      <c r="EY124" s="72">
        <v>0</v>
      </c>
      <c r="EZ124" s="72">
        <v>0</v>
      </c>
      <c r="FA124" s="72">
        <v>0</v>
      </c>
      <c r="FB124" s="72">
        <v>0</v>
      </c>
      <c r="FC124" s="72">
        <v>0</v>
      </c>
      <c r="FD124" s="72">
        <v>0</v>
      </c>
      <c r="FE124" s="72">
        <v>0</v>
      </c>
      <c r="FF124" s="72">
        <v>0</v>
      </c>
      <c r="FG124" s="72">
        <v>0</v>
      </c>
      <c r="FH124" s="72">
        <v>0</v>
      </c>
      <c r="FI124" s="72">
        <v>0</v>
      </c>
      <c r="FJ124" s="72">
        <v>0</v>
      </c>
      <c r="FK124" s="72">
        <v>0</v>
      </c>
      <c r="FL124" s="72">
        <v>0</v>
      </c>
      <c r="FM124" s="72">
        <v>0</v>
      </c>
      <c r="FN124" s="72">
        <v>0</v>
      </c>
      <c r="FO124" s="72">
        <v>0</v>
      </c>
      <c r="FP124" s="72">
        <v>0</v>
      </c>
      <c r="FQ124" s="72">
        <v>0</v>
      </c>
      <c r="FR124" s="72">
        <v>0</v>
      </c>
      <c r="FS124" s="72">
        <v>0</v>
      </c>
      <c r="FT124" s="72">
        <v>0</v>
      </c>
      <c r="FU124" s="72">
        <v>0</v>
      </c>
      <c r="FV124" s="74">
        <v>0</v>
      </c>
      <c r="FW124" s="74">
        <v>0</v>
      </c>
      <c r="FX124" s="74">
        <v>0</v>
      </c>
      <c r="FY124" s="74">
        <v>0</v>
      </c>
      <c r="FZ124" s="74">
        <v>0</v>
      </c>
      <c r="GA124" s="74">
        <v>0</v>
      </c>
      <c r="GB124" s="74">
        <v>0</v>
      </c>
      <c r="GC124" s="74">
        <v>0</v>
      </c>
      <c r="GD124" s="74">
        <v>0</v>
      </c>
      <c r="GE124" s="74">
        <v>0</v>
      </c>
      <c r="GF124" s="74">
        <v>0</v>
      </c>
      <c r="GG124" s="74">
        <v>0</v>
      </c>
      <c r="GH124" s="74">
        <v>0</v>
      </c>
      <c r="GI124" s="74">
        <v>0</v>
      </c>
      <c r="GJ124" s="72">
        <v>0</v>
      </c>
      <c r="GK124" s="72">
        <v>0</v>
      </c>
      <c r="GL124" s="72">
        <v>0</v>
      </c>
      <c r="GM124" s="72">
        <v>0</v>
      </c>
      <c r="GN124" s="72">
        <v>0</v>
      </c>
      <c r="GO124" s="72">
        <v>0</v>
      </c>
      <c r="GP124" s="72">
        <v>2230.9291111458051</v>
      </c>
      <c r="GQ124" s="72">
        <v>26207.118312656232</v>
      </c>
      <c r="GR124" s="72">
        <f t="shared" si="1"/>
        <v>91556.539034077694</v>
      </c>
      <c r="GS124" s="72">
        <f>SUM(DQ$5:DQ$202)</f>
        <v>91556.539034077738</v>
      </c>
      <c r="GT124" s="73">
        <v>0</v>
      </c>
    </row>
    <row r="125" spans="1:202" outlineLevel="1" x14ac:dyDescent="0.2">
      <c r="A125" s="66" t="s">
        <v>972</v>
      </c>
      <c r="B125" s="72">
        <v>0</v>
      </c>
      <c r="C125" s="72">
        <v>0</v>
      </c>
      <c r="D125" s="72">
        <v>0</v>
      </c>
      <c r="E125" s="72">
        <v>0</v>
      </c>
      <c r="F125" s="72">
        <v>0</v>
      </c>
      <c r="G125" s="72">
        <v>0</v>
      </c>
      <c r="H125" s="72">
        <v>0</v>
      </c>
      <c r="I125" s="72">
        <v>9.1159119250453369</v>
      </c>
      <c r="J125" s="72">
        <v>0</v>
      </c>
      <c r="K125" s="72">
        <v>16.996207030953748</v>
      </c>
      <c r="L125" s="72">
        <v>0</v>
      </c>
      <c r="M125" s="72">
        <v>0</v>
      </c>
      <c r="N125" s="72">
        <v>0</v>
      </c>
      <c r="O125" s="72">
        <v>20.751791010809658</v>
      </c>
      <c r="P125" s="72">
        <v>0</v>
      </c>
      <c r="Q125" s="72">
        <v>42.66171522538918</v>
      </c>
      <c r="R125" s="72">
        <v>0</v>
      </c>
      <c r="S125" s="72">
        <v>45.529528343755281</v>
      </c>
      <c r="T125" s="72">
        <v>5.7308013402309642E-2</v>
      </c>
      <c r="U125" s="72">
        <v>0</v>
      </c>
      <c r="V125" s="72">
        <v>3035.1966979408658</v>
      </c>
      <c r="W125" s="72">
        <v>0</v>
      </c>
      <c r="X125" s="72">
        <v>0.11758222479056581</v>
      </c>
      <c r="Y125" s="72">
        <v>29217.648128328892</v>
      </c>
      <c r="Z125" s="72">
        <v>4450.4623463775679</v>
      </c>
      <c r="AA125" s="72">
        <v>5943.9702170280698</v>
      </c>
      <c r="AB125" s="72">
        <v>9228.9047013845702</v>
      </c>
      <c r="AC125" s="72">
        <v>915.29914871615665</v>
      </c>
      <c r="AD125" s="72">
        <v>509.70262706272212</v>
      </c>
      <c r="AE125" s="72">
        <v>5070.3444391825251</v>
      </c>
      <c r="AF125" s="72">
        <v>227.59189609968871</v>
      </c>
      <c r="AG125" s="72">
        <v>30.770717643043554</v>
      </c>
      <c r="AH125" s="72">
        <v>5084.9779576279725</v>
      </c>
      <c r="AI125" s="72">
        <v>3.4684117587937748E-2</v>
      </c>
      <c r="AJ125" s="72">
        <v>4.0397260944419242E-2</v>
      </c>
      <c r="AK125" s="72">
        <v>5431.2166103483351</v>
      </c>
      <c r="AL125" s="72">
        <v>0</v>
      </c>
      <c r="AM125" s="72">
        <v>0</v>
      </c>
      <c r="AN125" s="72">
        <v>0</v>
      </c>
      <c r="AO125" s="72">
        <v>0</v>
      </c>
      <c r="AP125" s="72">
        <v>0</v>
      </c>
      <c r="AQ125" s="72">
        <v>0</v>
      </c>
      <c r="AR125" s="72">
        <v>0</v>
      </c>
      <c r="AS125" s="72">
        <v>0</v>
      </c>
      <c r="AT125" s="72">
        <v>0</v>
      </c>
      <c r="AU125" s="72">
        <v>0</v>
      </c>
      <c r="AV125" s="72">
        <v>0</v>
      </c>
      <c r="AW125" s="72">
        <v>0</v>
      </c>
      <c r="AX125" s="72">
        <v>0</v>
      </c>
      <c r="AY125" s="72">
        <v>0</v>
      </c>
      <c r="AZ125" s="72">
        <v>0</v>
      </c>
      <c r="BA125" s="72">
        <v>0</v>
      </c>
      <c r="BB125" s="72">
        <v>0</v>
      </c>
      <c r="BC125" s="72">
        <v>0.29067474518806541</v>
      </c>
      <c r="BD125" s="72">
        <v>0</v>
      </c>
      <c r="BE125" s="72">
        <v>0</v>
      </c>
      <c r="BF125" s="72">
        <v>0</v>
      </c>
      <c r="BG125" s="72">
        <v>0</v>
      </c>
      <c r="BH125" s="72">
        <v>0</v>
      </c>
      <c r="BI125" s="72">
        <v>0</v>
      </c>
      <c r="BJ125" s="72">
        <v>5065.9312442554638</v>
      </c>
      <c r="BK125" s="72">
        <v>0</v>
      </c>
      <c r="BL125" s="72">
        <v>0</v>
      </c>
      <c r="BM125" s="72">
        <v>0</v>
      </c>
      <c r="BN125" s="72">
        <v>0</v>
      </c>
      <c r="BO125" s="72">
        <v>0</v>
      </c>
      <c r="BP125" s="72">
        <v>0</v>
      </c>
      <c r="BQ125" s="72">
        <v>0</v>
      </c>
      <c r="BR125" s="72">
        <v>0</v>
      </c>
      <c r="BS125" s="72">
        <v>0</v>
      </c>
      <c r="BT125" s="72">
        <v>0</v>
      </c>
      <c r="BU125" s="72">
        <v>0</v>
      </c>
      <c r="BV125" s="72">
        <v>0</v>
      </c>
      <c r="BW125" s="72">
        <v>0</v>
      </c>
      <c r="BX125" s="72">
        <v>0</v>
      </c>
      <c r="BY125" s="72">
        <v>0</v>
      </c>
      <c r="BZ125" s="72">
        <v>0</v>
      </c>
      <c r="CA125" s="72">
        <v>0</v>
      </c>
      <c r="CB125" s="72">
        <v>0</v>
      </c>
      <c r="CC125" s="72">
        <v>0</v>
      </c>
      <c r="CD125" s="72">
        <v>0</v>
      </c>
      <c r="CE125" s="72">
        <v>0</v>
      </c>
      <c r="CF125" s="72">
        <v>0</v>
      </c>
      <c r="CG125" s="72">
        <v>0</v>
      </c>
      <c r="CH125" s="72">
        <v>0</v>
      </c>
      <c r="CI125" s="72">
        <v>0</v>
      </c>
      <c r="CJ125" s="72">
        <v>0</v>
      </c>
      <c r="CK125" s="72">
        <v>0</v>
      </c>
      <c r="CL125" s="72">
        <v>0</v>
      </c>
      <c r="CM125" s="72">
        <v>0</v>
      </c>
      <c r="CN125" s="72">
        <v>0</v>
      </c>
      <c r="CO125" s="72">
        <v>0</v>
      </c>
      <c r="CP125" s="72">
        <v>0</v>
      </c>
      <c r="CQ125" s="72">
        <v>0</v>
      </c>
      <c r="CR125" s="72">
        <v>0</v>
      </c>
      <c r="CS125" s="72">
        <v>0</v>
      </c>
      <c r="CT125" s="72">
        <v>0</v>
      </c>
      <c r="CU125" s="72">
        <v>0</v>
      </c>
      <c r="CV125" s="72">
        <v>0</v>
      </c>
      <c r="CW125" s="72">
        <v>0</v>
      </c>
      <c r="CX125" s="72">
        <v>0</v>
      </c>
      <c r="CY125" s="72">
        <v>0</v>
      </c>
      <c r="CZ125" s="72">
        <v>0</v>
      </c>
      <c r="DA125" s="72">
        <v>0</v>
      </c>
      <c r="DB125" s="72">
        <v>0</v>
      </c>
      <c r="DC125" s="72">
        <v>0</v>
      </c>
      <c r="DD125" s="72">
        <v>0</v>
      </c>
      <c r="DE125" s="72">
        <v>0</v>
      </c>
      <c r="DF125" s="72">
        <v>0</v>
      </c>
      <c r="DG125" s="72">
        <v>0</v>
      </c>
      <c r="DH125" s="72">
        <v>0</v>
      </c>
      <c r="DI125" s="72">
        <v>0</v>
      </c>
      <c r="DJ125" s="72">
        <v>0</v>
      </c>
      <c r="DK125" s="72">
        <v>0</v>
      </c>
      <c r="DL125" s="72">
        <v>0</v>
      </c>
      <c r="DM125" s="72">
        <v>0</v>
      </c>
      <c r="DN125" s="72">
        <v>0</v>
      </c>
      <c r="DO125" s="72">
        <v>0</v>
      </c>
      <c r="DP125" s="72">
        <v>0</v>
      </c>
      <c r="DQ125" s="72">
        <v>0</v>
      </c>
      <c r="DR125" s="72">
        <v>0</v>
      </c>
      <c r="DS125" s="72">
        <v>0</v>
      </c>
      <c r="DT125" s="72">
        <v>0</v>
      </c>
      <c r="DU125" s="72">
        <v>0</v>
      </c>
      <c r="DV125" s="72">
        <v>0</v>
      </c>
      <c r="DW125" s="72">
        <v>0</v>
      </c>
      <c r="DX125" s="72">
        <v>0</v>
      </c>
      <c r="DY125" s="72">
        <v>0</v>
      </c>
      <c r="DZ125" s="72">
        <v>0</v>
      </c>
      <c r="EA125" s="72">
        <v>0</v>
      </c>
      <c r="EB125" s="72">
        <v>0</v>
      </c>
      <c r="EC125" s="72">
        <v>0</v>
      </c>
      <c r="ED125" s="72">
        <v>0</v>
      </c>
      <c r="EE125" s="72">
        <v>0</v>
      </c>
      <c r="EF125" s="72">
        <v>0</v>
      </c>
      <c r="EG125" s="72">
        <v>0</v>
      </c>
      <c r="EH125" s="72">
        <v>0</v>
      </c>
      <c r="EI125" s="72">
        <v>0</v>
      </c>
      <c r="EJ125" s="72">
        <v>0</v>
      </c>
      <c r="EK125" s="72">
        <v>0</v>
      </c>
      <c r="EL125" s="72">
        <v>0</v>
      </c>
      <c r="EM125" s="72">
        <v>0</v>
      </c>
      <c r="EN125" s="72">
        <v>0</v>
      </c>
      <c r="EO125" s="72">
        <v>0</v>
      </c>
      <c r="EP125" s="72">
        <v>0</v>
      </c>
      <c r="EQ125" s="72">
        <v>0</v>
      </c>
      <c r="ER125" s="72">
        <v>0</v>
      </c>
      <c r="ES125" s="72">
        <v>0</v>
      </c>
      <c r="ET125" s="72">
        <v>0</v>
      </c>
      <c r="EU125" s="72">
        <v>0</v>
      </c>
      <c r="EV125" s="72">
        <v>0</v>
      </c>
      <c r="EW125" s="72">
        <v>0</v>
      </c>
      <c r="EX125" s="72">
        <v>0</v>
      </c>
      <c r="EY125" s="72">
        <v>0</v>
      </c>
      <c r="EZ125" s="72">
        <v>0</v>
      </c>
      <c r="FA125" s="72">
        <v>0</v>
      </c>
      <c r="FB125" s="72">
        <v>0</v>
      </c>
      <c r="FC125" s="72">
        <v>0</v>
      </c>
      <c r="FD125" s="72">
        <v>0</v>
      </c>
      <c r="FE125" s="72">
        <v>0</v>
      </c>
      <c r="FF125" s="72">
        <v>0</v>
      </c>
      <c r="FG125" s="72">
        <v>0</v>
      </c>
      <c r="FH125" s="72">
        <v>0</v>
      </c>
      <c r="FI125" s="72">
        <v>0</v>
      </c>
      <c r="FJ125" s="72">
        <v>0</v>
      </c>
      <c r="FK125" s="72">
        <v>0</v>
      </c>
      <c r="FL125" s="72">
        <v>0</v>
      </c>
      <c r="FM125" s="72">
        <v>0</v>
      </c>
      <c r="FN125" s="72">
        <v>0</v>
      </c>
      <c r="FO125" s="72">
        <v>0</v>
      </c>
      <c r="FP125" s="72">
        <v>0</v>
      </c>
      <c r="FQ125" s="72">
        <v>0</v>
      </c>
      <c r="FR125" s="72">
        <v>0</v>
      </c>
      <c r="FS125" s="72">
        <v>0</v>
      </c>
      <c r="FT125" s="72">
        <v>0</v>
      </c>
      <c r="FU125" s="72">
        <v>0</v>
      </c>
      <c r="FV125" s="74">
        <v>0.25067453996767608</v>
      </c>
      <c r="FW125" s="74">
        <v>0.47908790074464541</v>
      </c>
      <c r="FX125" s="74">
        <v>0.56304650617243313</v>
      </c>
      <c r="FY125" s="74">
        <v>0.56403037105434262</v>
      </c>
      <c r="FZ125" s="74">
        <v>0.7754306037836951</v>
      </c>
      <c r="GA125" s="74">
        <v>0.9821336263643512</v>
      </c>
      <c r="GB125" s="74">
        <v>0.90339636709110449</v>
      </c>
      <c r="GC125" s="74">
        <v>1.711738147355897</v>
      </c>
      <c r="GD125" s="74">
        <v>2.7727865990967335</v>
      </c>
      <c r="GE125" s="74">
        <v>0.56741636276208096</v>
      </c>
      <c r="GF125" s="74">
        <v>0.78600227567247383</v>
      </c>
      <c r="GG125" s="74">
        <v>0.78007204637100935</v>
      </c>
      <c r="GH125" s="74">
        <v>1.6358079589252401</v>
      </c>
      <c r="GI125" s="74">
        <v>1.1149938273402085</v>
      </c>
      <c r="GJ125" s="72">
        <v>0</v>
      </c>
      <c r="GK125" s="72">
        <v>0</v>
      </c>
      <c r="GL125" s="72">
        <v>0</v>
      </c>
      <c r="GM125" s="72">
        <v>0</v>
      </c>
      <c r="GN125" s="72">
        <v>0</v>
      </c>
      <c r="GO125" s="72">
        <v>0</v>
      </c>
      <c r="GP125" s="72">
        <v>7196.4629605741011</v>
      </c>
      <c r="GQ125" s="72">
        <v>218966.10458588455</v>
      </c>
      <c r="GR125" s="72">
        <f t="shared" si="1"/>
        <v>300524.06669548515</v>
      </c>
      <c r="GS125" s="72">
        <f>SUM(DR$5:DR$202)</f>
        <v>300524.06669548509</v>
      </c>
      <c r="GT125" s="73">
        <v>0</v>
      </c>
    </row>
    <row r="126" spans="1:202" outlineLevel="1" x14ac:dyDescent="0.2">
      <c r="A126" s="66" t="s">
        <v>979</v>
      </c>
      <c r="B126" s="72">
        <v>0</v>
      </c>
      <c r="C126" s="72">
        <v>3.4616119724255423</v>
      </c>
      <c r="D126" s="72">
        <v>600.72871135609626</v>
      </c>
      <c r="E126" s="72">
        <v>0.26277092804946234</v>
      </c>
      <c r="F126" s="72">
        <v>0</v>
      </c>
      <c r="G126" s="72">
        <v>328.52163735122127</v>
      </c>
      <c r="H126" s="72">
        <v>835.48028686248642</v>
      </c>
      <c r="I126" s="72">
        <v>0</v>
      </c>
      <c r="J126" s="72">
        <v>0</v>
      </c>
      <c r="K126" s="72">
        <v>0</v>
      </c>
      <c r="L126" s="72">
        <v>0</v>
      </c>
      <c r="M126" s="72">
        <v>0</v>
      </c>
      <c r="N126" s="72">
        <v>0</v>
      </c>
      <c r="O126" s="72">
        <v>8.1709655795262357</v>
      </c>
      <c r="P126" s="72">
        <v>0</v>
      </c>
      <c r="Q126" s="72">
        <v>0</v>
      </c>
      <c r="R126" s="72">
        <v>0</v>
      </c>
      <c r="S126" s="72">
        <v>0</v>
      </c>
      <c r="T126" s="72">
        <v>0</v>
      </c>
      <c r="U126" s="72">
        <v>0</v>
      </c>
      <c r="V126" s="72">
        <v>0</v>
      </c>
      <c r="W126" s="72">
        <v>0</v>
      </c>
      <c r="X126" s="72">
        <v>0</v>
      </c>
      <c r="Y126" s="72">
        <v>1.9125741580509751E-3</v>
      </c>
      <c r="Z126" s="72">
        <v>49.062524385320735</v>
      </c>
      <c r="AA126" s="72">
        <v>304.31072637904902</v>
      </c>
      <c r="AB126" s="72">
        <v>0</v>
      </c>
      <c r="AC126" s="72">
        <v>0</v>
      </c>
      <c r="AD126" s="72">
        <v>0</v>
      </c>
      <c r="AE126" s="72">
        <v>0</v>
      </c>
      <c r="AF126" s="72">
        <v>0</v>
      </c>
      <c r="AG126" s="72">
        <v>0</v>
      </c>
      <c r="AH126" s="72">
        <v>0</v>
      </c>
      <c r="AI126" s="72">
        <v>223.05760084872946</v>
      </c>
      <c r="AJ126" s="72">
        <v>259.897988434284</v>
      </c>
      <c r="AK126" s="72">
        <v>50333.885770251924</v>
      </c>
      <c r="AL126" s="72">
        <v>0</v>
      </c>
      <c r="AM126" s="72">
        <v>0</v>
      </c>
      <c r="AN126" s="72">
        <v>0</v>
      </c>
      <c r="AO126" s="72">
        <v>0</v>
      </c>
      <c r="AP126" s="72">
        <v>0</v>
      </c>
      <c r="AQ126" s="72">
        <v>0</v>
      </c>
      <c r="AR126" s="72">
        <v>0</v>
      </c>
      <c r="AS126" s="72">
        <v>0</v>
      </c>
      <c r="AT126" s="72">
        <v>0</v>
      </c>
      <c r="AU126" s="72">
        <v>0</v>
      </c>
      <c r="AV126" s="72">
        <v>0</v>
      </c>
      <c r="AW126" s="72">
        <v>0</v>
      </c>
      <c r="AX126" s="72">
        <v>594.64250496261593</v>
      </c>
      <c r="AY126" s="72">
        <v>0</v>
      </c>
      <c r="AZ126" s="72">
        <v>0</v>
      </c>
      <c r="BA126" s="72">
        <v>0</v>
      </c>
      <c r="BB126" s="72">
        <v>0</v>
      </c>
      <c r="BC126" s="72">
        <v>311.98490147399133</v>
      </c>
      <c r="BD126" s="72">
        <v>3.3430384509156117E-3</v>
      </c>
      <c r="BE126" s="72">
        <v>6.4296039785295971</v>
      </c>
      <c r="BF126" s="72">
        <v>0</v>
      </c>
      <c r="BG126" s="72">
        <v>0</v>
      </c>
      <c r="BH126" s="72">
        <v>0</v>
      </c>
      <c r="BI126" s="72">
        <v>0</v>
      </c>
      <c r="BJ126" s="72">
        <v>6715.9288800642853</v>
      </c>
      <c r="BK126" s="72">
        <v>0</v>
      </c>
      <c r="BL126" s="72">
        <v>0</v>
      </c>
      <c r="BM126" s="72">
        <v>0</v>
      </c>
      <c r="BN126" s="72">
        <v>0</v>
      </c>
      <c r="BO126" s="72">
        <v>0</v>
      </c>
      <c r="BP126" s="72">
        <v>0</v>
      </c>
      <c r="BQ126" s="72">
        <v>0</v>
      </c>
      <c r="BR126" s="72">
        <v>0</v>
      </c>
      <c r="BS126" s="72">
        <v>0</v>
      </c>
      <c r="BT126" s="72">
        <v>0</v>
      </c>
      <c r="BU126" s="72">
        <v>0</v>
      </c>
      <c r="BV126" s="72">
        <v>0</v>
      </c>
      <c r="BW126" s="72">
        <v>0</v>
      </c>
      <c r="BX126" s="72">
        <v>0</v>
      </c>
      <c r="BY126" s="72">
        <v>0</v>
      </c>
      <c r="BZ126" s="72">
        <v>0</v>
      </c>
      <c r="CA126" s="72">
        <v>0</v>
      </c>
      <c r="CB126" s="72">
        <v>0</v>
      </c>
      <c r="CC126" s="72">
        <v>0</v>
      </c>
      <c r="CD126" s="72">
        <v>0</v>
      </c>
      <c r="CE126" s="72">
        <v>0</v>
      </c>
      <c r="CF126" s="72">
        <v>0</v>
      </c>
      <c r="CG126" s="72">
        <v>0</v>
      </c>
      <c r="CH126" s="72">
        <v>0</v>
      </c>
      <c r="CI126" s="72">
        <v>0</v>
      </c>
      <c r="CJ126" s="72">
        <v>0</v>
      </c>
      <c r="CK126" s="72">
        <v>0</v>
      </c>
      <c r="CL126" s="72">
        <v>0</v>
      </c>
      <c r="CM126" s="72">
        <v>0</v>
      </c>
      <c r="CN126" s="72">
        <v>0</v>
      </c>
      <c r="CO126" s="72">
        <v>0</v>
      </c>
      <c r="CP126" s="72">
        <v>0</v>
      </c>
      <c r="CQ126" s="72">
        <v>0</v>
      </c>
      <c r="CR126" s="72">
        <v>0</v>
      </c>
      <c r="CS126" s="72">
        <v>0</v>
      </c>
      <c r="CT126" s="72">
        <v>0</v>
      </c>
      <c r="CU126" s="72">
        <v>0</v>
      </c>
      <c r="CV126" s="72">
        <v>0</v>
      </c>
      <c r="CW126" s="72">
        <v>0</v>
      </c>
      <c r="CX126" s="72">
        <v>0</v>
      </c>
      <c r="CY126" s="72">
        <v>0</v>
      </c>
      <c r="CZ126" s="72">
        <v>0</v>
      </c>
      <c r="DA126" s="72">
        <v>0</v>
      </c>
      <c r="DB126" s="72">
        <v>0</v>
      </c>
      <c r="DC126" s="72">
        <v>0</v>
      </c>
      <c r="DD126" s="72">
        <v>0</v>
      </c>
      <c r="DE126" s="72">
        <v>0</v>
      </c>
      <c r="DF126" s="72">
        <v>0</v>
      </c>
      <c r="DG126" s="72">
        <v>0</v>
      </c>
      <c r="DH126" s="72">
        <v>0</v>
      </c>
      <c r="DI126" s="72">
        <v>0</v>
      </c>
      <c r="DJ126" s="72">
        <v>0</v>
      </c>
      <c r="DK126" s="72">
        <v>0</v>
      </c>
      <c r="DL126" s="72">
        <v>0</v>
      </c>
      <c r="DM126" s="72">
        <v>0</v>
      </c>
      <c r="DN126" s="72">
        <v>0</v>
      </c>
      <c r="DO126" s="72">
        <v>0</v>
      </c>
      <c r="DP126" s="72">
        <v>0</v>
      </c>
      <c r="DQ126" s="72">
        <v>0</v>
      </c>
      <c r="DR126" s="72">
        <v>0</v>
      </c>
      <c r="DS126" s="72">
        <v>0</v>
      </c>
      <c r="DT126" s="72">
        <v>0</v>
      </c>
      <c r="DU126" s="72">
        <v>0</v>
      </c>
      <c r="DV126" s="72">
        <v>0</v>
      </c>
      <c r="DW126" s="72">
        <v>0</v>
      </c>
      <c r="DX126" s="72">
        <v>0</v>
      </c>
      <c r="DY126" s="72">
        <v>0</v>
      </c>
      <c r="DZ126" s="72">
        <v>0</v>
      </c>
      <c r="EA126" s="72">
        <v>0</v>
      </c>
      <c r="EB126" s="72">
        <v>0</v>
      </c>
      <c r="EC126" s="72">
        <v>0</v>
      </c>
      <c r="ED126" s="72">
        <v>0</v>
      </c>
      <c r="EE126" s="72">
        <v>0</v>
      </c>
      <c r="EF126" s="72">
        <v>0</v>
      </c>
      <c r="EG126" s="72">
        <v>0</v>
      </c>
      <c r="EH126" s="72">
        <v>0</v>
      </c>
      <c r="EI126" s="72">
        <v>0</v>
      </c>
      <c r="EJ126" s="72">
        <v>0</v>
      </c>
      <c r="EK126" s="72">
        <v>0</v>
      </c>
      <c r="EL126" s="72">
        <v>0</v>
      </c>
      <c r="EM126" s="72">
        <v>0</v>
      </c>
      <c r="EN126" s="72">
        <v>0</v>
      </c>
      <c r="EO126" s="72">
        <v>0</v>
      </c>
      <c r="EP126" s="72">
        <v>0</v>
      </c>
      <c r="EQ126" s="72">
        <v>0</v>
      </c>
      <c r="ER126" s="72">
        <v>0</v>
      </c>
      <c r="ES126" s="72">
        <v>0</v>
      </c>
      <c r="ET126" s="72">
        <v>0</v>
      </c>
      <c r="EU126" s="72">
        <v>0</v>
      </c>
      <c r="EV126" s="72">
        <v>0</v>
      </c>
      <c r="EW126" s="72">
        <v>0</v>
      </c>
      <c r="EX126" s="72">
        <v>0</v>
      </c>
      <c r="EY126" s="72">
        <v>0</v>
      </c>
      <c r="EZ126" s="72">
        <v>0</v>
      </c>
      <c r="FA126" s="72">
        <v>0</v>
      </c>
      <c r="FB126" s="72">
        <v>0</v>
      </c>
      <c r="FC126" s="72">
        <v>0</v>
      </c>
      <c r="FD126" s="72">
        <v>0</v>
      </c>
      <c r="FE126" s="72">
        <v>0</v>
      </c>
      <c r="FF126" s="72">
        <v>0</v>
      </c>
      <c r="FG126" s="72">
        <v>0</v>
      </c>
      <c r="FH126" s="72">
        <v>0</v>
      </c>
      <c r="FI126" s="72">
        <v>0</v>
      </c>
      <c r="FJ126" s="72">
        <v>0</v>
      </c>
      <c r="FK126" s="72">
        <v>0</v>
      </c>
      <c r="FL126" s="72">
        <v>0</v>
      </c>
      <c r="FM126" s="72">
        <v>0</v>
      </c>
      <c r="FN126" s="72">
        <v>0</v>
      </c>
      <c r="FO126" s="72">
        <v>0</v>
      </c>
      <c r="FP126" s="72">
        <v>0</v>
      </c>
      <c r="FQ126" s="72">
        <v>0</v>
      </c>
      <c r="FR126" s="72">
        <v>0</v>
      </c>
      <c r="FS126" s="72">
        <v>0</v>
      </c>
      <c r="FT126" s="72">
        <v>0</v>
      </c>
      <c r="FU126" s="72">
        <v>0</v>
      </c>
      <c r="FV126" s="74">
        <v>13.14441053269444</v>
      </c>
      <c r="FW126" s="74">
        <v>25.121530289619407</v>
      </c>
      <c r="FX126" s="74">
        <v>29.523997239943338</v>
      </c>
      <c r="FY126" s="74">
        <v>29.57558733727906</v>
      </c>
      <c r="FZ126" s="74">
        <v>40.660603973033403</v>
      </c>
      <c r="GA126" s="74">
        <v>51.499316941248296</v>
      </c>
      <c r="GB126" s="74">
        <v>47.370637338444553</v>
      </c>
      <c r="GC126" s="74">
        <v>89.756977059660784</v>
      </c>
      <c r="GD126" s="74">
        <v>145.39428448848781</v>
      </c>
      <c r="GE126" s="74">
        <v>29.753135743561373</v>
      </c>
      <c r="GF126" s="74">
        <v>41.214941862078582</v>
      </c>
      <c r="GG126" s="74">
        <v>40.903983403746459</v>
      </c>
      <c r="GH126" s="74">
        <v>85.775489475456581</v>
      </c>
      <c r="GI126" s="74">
        <v>58.465995828175345</v>
      </c>
      <c r="GJ126" s="72">
        <v>0</v>
      </c>
      <c r="GK126" s="72">
        <v>0</v>
      </c>
      <c r="GL126" s="72">
        <v>0</v>
      </c>
      <c r="GM126" s="72">
        <v>0</v>
      </c>
      <c r="GN126" s="72">
        <v>0</v>
      </c>
      <c r="GO126" s="72">
        <v>0</v>
      </c>
      <c r="GP126" s="72">
        <v>2670.4137333783783</v>
      </c>
      <c r="GQ126" s="72">
        <v>2635.535480671942</v>
      </c>
      <c r="GR126" s="72">
        <f t="shared" si="1"/>
        <v>66609.941846004876</v>
      </c>
      <c r="GS126" s="72">
        <f>SUM(DS$5:DS$202)</f>
        <v>66609.941846004906</v>
      </c>
      <c r="GT126" s="73">
        <v>0</v>
      </c>
    </row>
    <row r="127" spans="1:202" outlineLevel="1" x14ac:dyDescent="0.2">
      <c r="A127" s="66" t="s">
        <v>991</v>
      </c>
      <c r="B127" s="72">
        <v>0</v>
      </c>
      <c r="C127" s="72">
        <v>131.29908753972057</v>
      </c>
      <c r="D127" s="72">
        <v>366.42092172917052</v>
      </c>
      <c r="E127" s="72">
        <v>3531.0293335661495</v>
      </c>
      <c r="F127" s="72">
        <v>2446.8599721961855</v>
      </c>
      <c r="G127" s="72">
        <v>10439.39593804751</v>
      </c>
      <c r="H127" s="72">
        <v>1365.5626936828883</v>
      </c>
      <c r="I127" s="72">
        <v>4412.7798086707271</v>
      </c>
      <c r="J127" s="72">
        <v>3075.8629974725982</v>
      </c>
      <c r="K127" s="72">
        <v>200.97417732754582</v>
      </c>
      <c r="L127" s="72">
        <v>1603.3010709485102</v>
      </c>
      <c r="M127" s="72">
        <v>80.391976874609</v>
      </c>
      <c r="N127" s="72">
        <v>50.141807862412477</v>
      </c>
      <c r="O127" s="72">
        <v>788.08231537880283</v>
      </c>
      <c r="P127" s="72">
        <v>415.05374025586241</v>
      </c>
      <c r="Q127" s="72">
        <v>364.63914117239864</v>
      </c>
      <c r="R127" s="72">
        <v>1148.8930669203985</v>
      </c>
      <c r="S127" s="72">
        <v>507.80736239338228</v>
      </c>
      <c r="T127" s="72">
        <v>1859.1469081104347</v>
      </c>
      <c r="U127" s="72">
        <v>1629.947638803817</v>
      </c>
      <c r="V127" s="72">
        <v>119.65252796909748</v>
      </c>
      <c r="W127" s="72">
        <v>139.887837227126</v>
      </c>
      <c r="X127" s="72">
        <v>931.73269615087338</v>
      </c>
      <c r="Y127" s="72">
        <v>178.6767552997307</v>
      </c>
      <c r="Z127" s="72">
        <v>4359.8776150717194</v>
      </c>
      <c r="AA127" s="72">
        <v>3082.9855750427514</v>
      </c>
      <c r="AB127" s="72">
        <v>1150.1380242843179</v>
      </c>
      <c r="AC127" s="72">
        <v>484.67203497010041</v>
      </c>
      <c r="AD127" s="72">
        <v>342.24481417865178</v>
      </c>
      <c r="AE127" s="72">
        <v>3185.5989258862346</v>
      </c>
      <c r="AF127" s="72">
        <v>711.93010092660916</v>
      </c>
      <c r="AG127" s="72">
        <v>1765.0914145443628</v>
      </c>
      <c r="AH127" s="72">
        <v>589.59084407761009</v>
      </c>
      <c r="AI127" s="72">
        <v>138.80901716370872</v>
      </c>
      <c r="AJ127" s="72">
        <v>222.96366011540874</v>
      </c>
      <c r="AK127" s="72">
        <v>2931.479694192974</v>
      </c>
      <c r="AL127" s="72">
        <v>394.37272945188977</v>
      </c>
      <c r="AM127" s="72">
        <v>887.35606942068625</v>
      </c>
      <c r="AN127" s="72">
        <v>80.820359413404489</v>
      </c>
      <c r="AO127" s="72">
        <v>167.77538136971265</v>
      </c>
      <c r="AP127" s="72">
        <v>78.508534368790194</v>
      </c>
      <c r="AQ127" s="72">
        <v>0.3421504296519029</v>
      </c>
      <c r="AR127" s="72">
        <v>0.71585729406884335</v>
      </c>
      <c r="AS127" s="72">
        <v>92.251193950949713</v>
      </c>
      <c r="AT127" s="72">
        <v>38.688475759864794</v>
      </c>
      <c r="AU127" s="72">
        <v>499.08082697854326</v>
      </c>
      <c r="AV127" s="72">
        <v>0</v>
      </c>
      <c r="AW127" s="72">
        <v>0</v>
      </c>
      <c r="AX127" s="72">
        <v>3311.7620457423718</v>
      </c>
      <c r="AY127" s="72">
        <v>1.6022059604179848</v>
      </c>
      <c r="AZ127" s="72">
        <v>51.120508537402003</v>
      </c>
      <c r="BA127" s="72">
        <v>0.86646454436791409</v>
      </c>
      <c r="BB127" s="72">
        <v>47.511819771410075</v>
      </c>
      <c r="BC127" s="72">
        <v>526.06771721390419</v>
      </c>
      <c r="BD127" s="72">
        <v>1644.0130293631478</v>
      </c>
      <c r="BE127" s="72">
        <v>268.75575170323339</v>
      </c>
      <c r="BF127" s="72">
        <v>13.333713275792766</v>
      </c>
      <c r="BG127" s="72">
        <v>0.29498166456007535</v>
      </c>
      <c r="BH127" s="72">
        <v>5.4443170424789677</v>
      </c>
      <c r="BI127" s="72">
        <v>48.073502403745373</v>
      </c>
      <c r="BJ127" s="72">
        <v>7022.8166822707362</v>
      </c>
      <c r="BK127" s="72">
        <v>0</v>
      </c>
      <c r="BL127" s="72">
        <v>0</v>
      </c>
      <c r="BM127" s="72">
        <v>0</v>
      </c>
      <c r="BN127" s="72">
        <v>0</v>
      </c>
      <c r="BO127" s="72">
        <v>0</v>
      </c>
      <c r="BP127" s="72">
        <v>0</v>
      </c>
      <c r="BQ127" s="72">
        <v>0</v>
      </c>
      <c r="BR127" s="72">
        <v>0</v>
      </c>
      <c r="BS127" s="72">
        <v>0</v>
      </c>
      <c r="BT127" s="72">
        <v>0</v>
      </c>
      <c r="BU127" s="72">
        <v>0</v>
      </c>
      <c r="BV127" s="72">
        <v>0</v>
      </c>
      <c r="BW127" s="72">
        <v>0</v>
      </c>
      <c r="BX127" s="72">
        <v>0</v>
      </c>
      <c r="BY127" s="72">
        <v>0</v>
      </c>
      <c r="BZ127" s="72">
        <v>0</v>
      </c>
      <c r="CA127" s="72">
        <v>0</v>
      </c>
      <c r="CB127" s="72">
        <v>0</v>
      </c>
      <c r="CC127" s="72">
        <v>0</v>
      </c>
      <c r="CD127" s="72">
        <v>0</v>
      </c>
      <c r="CE127" s="72">
        <v>0</v>
      </c>
      <c r="CF127" s="72">
        <v>0</v>
      </c>
      <c r="CG127" s="72">
        <v>0</v>
      </c>
      <c r="CH127" s="72">
        <v>0</v>
      </c>
      <c r="CI127" s="72">
        <v>0</v>
      </c>
      <c r="CJ127" s="72">
        <v>0</v>
      </c>
      <c r="CK127" s="72">
        <v>0</v>
      </c>
      <c r="CL127" s="72">
        <v>0</v>
      </c>
      <c r="CM127" s="72">
        <v>0</v>
      </c>
      <c r="CN127" s="72">
        <v>0</v>
      </c>
      <c r="CO127" s="72">
        <v>0</v>
      </c>
      <c r="CP127" s="72">
        <v>0</v>
      </c>
      <c r="CQ127" s="72">
        <v>0</v>
      </c>
      <c r="CR127" s="72">
        <v>0</v>
      </c>
      <c r="CS127" s="72">
        <v>0</v>
      </c>
      <c r="CT127" s="72">
        <v>0</v>
      </c>
      <c r="CU127" s="72">
        <v>0</v>
      </c>
      <c r="CV127" s="72">
        <v>0</v>
      </c>
      <c r="CW127" s="72">
        <v>0</v>
      </c>
      <c r="CX127" s="72">
        <v>0</v>
      </c>
      <c r="CY127" s="72">
        <v>0</v>
      </c>
      <c r="CZ127" s="72">
        <v>0</v>
      </c>
      <c r="DA127" s="72">
        <v>0</v>
      </c>
      <c r="DB127" s="72">
        <v>0</v>
      </c>
      <c r="DC127" s="72">
        <v>0</v>
      </c>
      <c r="DD127" s="72">
        <v>0</v>
      </c>
      <c r="DE127" s="72">
        <v>0</v>
      </c>
      <c r="DF127" s="72">
        <v>0</v>
      </c>
      <c r="DG127" s="72">
        <v>0</v>
      </c>
      <c r="DH127" s="72">
        <v>0</v>
      </c>
      <c r="DI127" s="72">
        <v>0</v>
      </c>
      <c r="DJ127" s="72">
        <v>0</v>
      </c>
      <c r="DK127" s="72">
        <v>0</v>
      </c>
      <c r="DL127" s="72">
        <v>0</v>
      </c>
      <c r="DM127" s="72">
        <v>0</v>
      </c>
      <c r="DN127" s="72">
        <v>0</v>
      </c>
      <c r="DO127" s="72">
        <v>0</v>
      </c>
      <c r="DP127" s="72">
        <v>0</v>
      </c>
      <c r="DQ127" s="72">
        <v>0</v>
      </c>
      <c r="DR127" s="72">
        <v>0</v>
      </c>
      <c r="DS127" s="72">
        <v>0</v>
      </c>
      <c r="DT127" s="72">
        <v>0</v>
      </c>
      <c r="DU127" s="72">
        <v>0</v>
      </c>
      <c r="DV127" s="72">
        <v>0</v>
      </c>
      <c r="DW127" s="72">
        <v>0</v>
      </c>
      <c r="DX127" s="72">
        <v>0</v>
      </c>
      <c r="DY127" s="72">
        <v>0</v>
      </c>
      <c r="DZ127" s="72">
        <v>0</v>
      </c>
      <c r="EA127" s="72">
        <v>0</v>
      </c>
      <c r="EB127" s="72">
        <v>0</v>
      </c>
      <c r="EC127" s="72">
        <v>0</v>
      </c>
      <c r="ED127" s="72">
        <v>0</v>
      </c>
      <c r="EE127" s="72">
        <v>0</v>
      </c>
      <c r="EF127" s="72">
        <v>0</v>
      </c>
      <c r="EG127" s="72">
        <v>0</v>
      </c>
      <c r="EH127" s="72">
        <v>0</v>
      </c>
      <c r="EI127" s="72">
        <v>0</v>
      </c>
      <c r="EJ127" s="72">
        <v>0</v>
      </c>
      <c r="EK127" s="72">
        <v>0</v>
      </c>
      <c r="EL127" s="72">
        <v>0</v>
      </c>
      <c r="EM127" s="72">
        <v>0</v>
      </c>
      <c r="EN127" s="72">
        <v>0</v>
      </c>
      <c r="EO127" s="72">
        <v>0</v>
      </c>
      <c r="EP127" s="72">
        <v>0</v>
      </c>
      <c r="EQ127" s="72">
        <v>0</v>
      </c>
      <c r="ER127" s="72">
        <v>0</v>
      </c>
      <c r="ES127" s="72">
        <v>0</v>
      </c>
      <c r="ET127" s="72">
        <v>0</v>
      </c>
      <c r="EU127" s="72">
        <v>0</v>
      </c>
      <c r="EV127" s="72">
        <v>0</v>
      </c>
      <c r="EW127" s="72">
        <v>0</v>
      </c>
      <c r="EX127" s="72">
        <v>0</v>
      </c>
      <c r="EY127" s="72">
        <v>0</v>
      </c>
      <c r="EZ127" s="72">
        <v>0</v>
      </c>
      <c r="FA127" s="72">
        <v>0</v>
      </c>
      <c r="FB127" s="72">
        <v>0</v>
      </c>
      <c r="FC127" s="72">
        <v>0</v>
      </c>
      <c r="FD127" s="72">
        <v>0</v>
      </c>
      <c r="FE127" s="72">
        <v>0</v>
      </c>
      <c r="FF127" s="72">
        <v>0</v>
      </c>
      <c r="FG127" s="72">
        <v>0</v>
      </c>
      <c r="FH127" s="72">
        <v>0</v>
      </c>
      <c r="FI127" s="72">
        <v>0</v>
      </c>
      <c r="FJ127" s="72">
        <v>0</v>
      </c>
      <c r="FK127" s="72">
        <v>0</v>
      </c>
      <c r="FL127" s="72">
        <v>0</v>
      </c>
      <c r="FM127" s="72">
        <v>0</v>
      </c>
      <c r="FN127" s="72">
        <v>0</v>
      </c>
      <c r="FO127" s="72">
        <v>0</v>
      </c>
      <c r="FP127" s="72">
        <v>0</v>
      </c>
      <c r="FQ127" s="72">
        <v>0</v>
      </c>
      <c r="FR127" s="72">
        <v>0</v>
      </c>
      <c r="FS127" s="72">
        <v>0</v>
      </c>
      <c r="FT127" s="72">
        <v>0</v>
      </c>
      <c r="FU127" s="72">
        <v>0</v>
      </c>
      <c r="FV127" s="74">
        <v>191.96092064786154</v>
      </c>
      <c r="FW127" s="74">
        <v>366.87473131516373</v>
      </c>
      <c r="FX127" s="74">
        <v>431.16834165272292</v>
      </c>
      <c r="FY127" s="74">
        <v>431.92176323494186</v>
      </c>
      <c r="FZ127" s="74">
        <v>593.8073033665064</v>
      </c>
      <c r="GA127" s="74">
        <v>752.09582568869735</v>
      </c>
      <c r="GB127" s="74">
        <v>691.80060471679178</v>
      </c>
      <c r="GC127" s="74">
        <v>1310.8105462839321</v>
      </c>
      <c r="GD127" s="74">
        <v>2123.3375690698244</v>
      </c>
      <c r="GE127" s="74">
        <v>434.51467947449015</v>
      </c>
      <c r="GF127" s="74">
        <v>601.90285175693623</v>
      </c>
      <c r="GG127" s="74">
        <v>597.36161563256223</v>
      </c>
      <c r="GH127" s="74">
        <v>1252.6649169831103</v>
      </c>
      <c r="GI127" s="74">
        <v>853.83717724388191</v>
      </c>
      <c r="GJ127" s="72">
        <v>0</v>
      </c>
      <c r="GK127" s="72">
        <v>0</v>
      </c>
      <c r="GL127" s="72">
        <v>0</v>
      </c>
      <c r="GM127" s="72">
        <v>0</v>
      </c>
      <c r="GN127" s="72">
        <v>0</v>
      </c>
      <c r="GO127" s="72">
        <v>0</v>
      </c>
      <c r="GP127" s="72">
        <v>395.95861352922998</v>
      </c>
      <c r="GQ127" s="72">
        <v>14848.68927117539</v>
      </c>
      <c r="GR127" s="72">
        <f t="shared" si="1"/>
        <v>95813.202545757595</v>
      </c>
      <c r="GS127" s="72">
        <f>SUM(DT$5:DT$202)</f>
        <v>95813.202545757507</v>
      </c>
      <c r="GT127" s="73">
        <v>0</v>
      </c>
    </row>
    <row r="128" spans="1:202" outlineLevel="1" x14ac:dyDescent="0.2">
      <c r="A128" s="66" t="s">
        <v>998</v>
      </c>
      <c r="B128" s="72">
        <v>0</v>
      </c>
      <c r="C128" s="72">
        <v>0</v>
      </c>
      <c r="D128" s="72">
        <v>0</v>
      </c>
      <c r="E128" s="72">
        <v>0</v>
      </c>
      <c r="F128" s="72">
        <v>0</v>
      </c>
      <c r="G128" s="72">
        <v>0</v>
      </c>
      <c r="H128" s="72">
        <v>0</v>
      </c>
      <c r="I128" s="72">
        <v>0</v>
      </c>
      <c r="J128" s="72">
        <v>0</v>
      </c>
      <c r="K128" s="72">
        <v>0</v>
      </c>
      <c r="L128" s="72">
        <v>0</v>
      </c>
      <c r="M128" s="72">
        <v>0</v>
      </c>
      <c r="N128" s="72">
        <v>0</v>
      </c>
      <c r="O128" s="72">
        <v>0</v>
      </c>
      <c r="P128" s="72">
        <v>0</v>
      </c>
      <c r="Q128" s="72">
        <v>0</v>
      </c>
      <c r="R128" s="72">
        <v>0</v>
      </c>
      <c r="S128" s="72">
        <v>0</v>
      </c>
      <c r="T128" s="72">
        <v>0</v>
      </c>
      <c r="U128" s="72">
        <v>0</v>
      </c>
      <c r="V128" s="72">
        <v>0.10208237906559947</v>
      </c>
      <c r="W128" s="72">
        <v>0</v>
      </c>
      <c r="X128" s="72">
        <v>0</v>
      </c>
      <c r="Y128" s="72">
        <v>1.1667804379188489</v>
      </c>
      <c r="Z128" s="72">
        <v>0.17714150016194086</v>
      </c>
      <c r="AA128" s="72">
        <v>6673.9971628720723</v>
      </c>
      <c r="AB128" s="72">
        <v>661.20437482811815</v>
      </c>
      <c r="AC128" s="72">
        <v>0</v>
      </c>
      <c r="AD128" s="72">
        <v>0</v>
      </c>
      <c r="AE128" s="72">
        <v>4223.5233464309867</v>
      </c>
      <c r="AF128" s="72">
        <v>879.24535050411851</v>
      </c>
      <c r="AG128" s="72">
        <v>0</v>
      </c>
      <c r="AH128" s="72">
        <v>0</v>
      </c>
      <c r="AI128" s="72">
        <v>1.341965169082872E-2</v>
      </c>
      <c r="AJ128" s="72">
        <v>1.5020509416440271E-2</v>
      </c>
      <c r="AK128" s="72">
        <v>3304.6655380497932</v>
      </c>
      <c r="AL128" s="72">
        <v>0</v>
      </c>
      <c r="AM128" s="72">
        <v>0</v>
      </c>
      <c r="AN128" s="72">
        <v>0</v>
      </c>
      <c r="AO128" s="72">
        <v>0</v>
      </c>
      <c r="AP128" s="72">
        <v>0</v>
      </c>
      <c r="AQ128" s="72">
        <v>0</v>
      </c>
      <c r="AR128" s="72">
        <v>0</v>
      </c>
      <c r="AS128" s="72">
        <v>0</v>
      </c>
      <c r="AT128" s="72">
        <v>0</v>
      </c>
      <c r="AU128" s="72">
        <v>0</v>
      </c>
      <c r="AV128" s="72">
        <v>0</v>
      </c>
      <c r="AW128" s="72">
        <v>0</v>
      </c>
      <c r="AX128" s="72">
        <v>0</v>
      </c>
      <c r="AY128" s="72">
        <v>0</v>
      </c>
      <c r="AZ128" s="72">
        <v>0</v>
      </c>
      <c r="BA128" s="72">
        <v>0</v>
      </c>
      <c r="BB128" s="72">
        <v>0</v>
      </c>
      <c r="BC128" s="72">
        <v>247.53651088315755</v>
      </c>
      <c r="BD128" s="72">
        <v>0</v>
      </c>
      <c r="BE128" s="72">
        <v>30.710835050791665</v>
      </c>
      <c r="BF128" s="72">
        <v>0</v>
      </c>
      <c r="BG128" s="72">
        <v>0</v>
      </c>
      <c r="BH128" s="72">
        <v>0</v>
      </c>
      <c r="BI128" s="72">
        <v>0</v>
      </c>
      <c r="BJ128" s="72">
        <v>210.50964615035639</v>
      </c>
      <c r="BK128" s="72">
        <v>0</v>
      </c>
      <c r="BL128" s="72">
        <v>0</v>
      </c>
      <c r="BM128" s="72">
        <v>0</v>
      </c>
      <c r="BN128" s="72">
        <v>0</v>
      </c>
      <c r="BO128" s="72">
        <v>0</v>
      </c>
      <c r="BP128" s="72">
        <v>0</v>
      </c>
      <c r="BQ128" s="72">
        <v>0</v>
      </c>
      <c r="BR128" s="72">
        <v>0</v>
      </c>
      <c r="BS128" s="72">
        <v>0</v>
      </c>
      <c r="BT128" s="72">
        <v>0</v>
      </c>
      <c r="BU128" s="72">
        <v>0</v>
      </c>
      <c r="BV128" s="72">
        <v>0</v>
      </c>
      <c r="BW128" s="72">
        <v>0</v>
      </c>
      <c r="BX128" s="72">
        <v>0</v>
      </c>
      <c r="BY128" s="72">
        <v>0</v>
      </c>
      <c r="BZ128" s="72">
        <v>0</v>
      </c>
      <c r="CA128" s="72">
        <v>0</v>
      </c>
      <c r="CB128" s="72">
        <v>0</v>
      </c>
      <c r="CC128" s="72">
        <v>0</v>
      </c>
      <c r="CD128" s="72">
        <v>0</v>
      </c>
      <c r="CE128" s="72">
        <v>0</v>
      </c>
      <c r="CF128" s="72">
        <v>0</v>
      </c>
      <c r="CG128" s="72">
        <v>0</v>
      </c>
      <c r="CH128" s="72">
        <v>0</v>
      </c>
      <c r="CI128" s="72">
        <v>0</v>
      </c>
      <c r="CJ128" s="72">
        <v>0</v>
      </c>
      <c r="CK128" s="72">
        <v>0</v>
      </c>
      <c r="CL128" s="72">
        <v>0</v>
      </c>
      <c r="CM128" s="72">
        <v>0</v>
      </c>
      <c r="CN128" s="72">
        <v>0</v>
      </c>
      <c r="CO128" s="72">
        <v>0</v>
      </c>
      <c r="CP128" s="72">
        <v>0</v>
      </c>
      <c r="CQ128" s="72">
        <v>0</v>
      </c>
      <c r="CR128" s="72">
        <v>0</v>
      </c>
      <c r="CS128" s="72">
        <v>0</v>
      </c>
      <c r="CT128" s="72">
        <v>0</v>
      </c>
      <c r="CU128" s="72">
        <v>0</v>
      </c>
      <c r="CV128" s="72">
        <v>0</v>
      </c>
      <c r="CW128" s="72">
        <v>0</v>
      </c>
      <c r="CX128" s="72">
        <v>0</v>
      </c>
      <c r="CY128" s="72">
        <v>0</v>
      </c>
      <c r="CZ128" s="72">
        <v>0</v>
      </c>
      <c r="DA128" s="72">
        <v>0</v>
      </c>
      <c r="DB128" s="72">
        <v>0</v>
      </c>
      <c r="DC128" s="72">
        <v>0</v>
      </c>
      <c r="DD128" s="72">
        <v>0</v>
      </c>
      <c r="DE128" s="72">
        <v>0</v>
      </c>
      <c r="DF128" s="72">
        <v>0</v>
      </c>
      <c r="DG128" s="72">
        <v>0</v>
      </c>
      <c r="DH128" s="72">
        <v>0</v>
      </c>
      <c r="DI128" s="72">
        <v>0</v>
      </c>
      <c r="DJ128" s="72">
        <v>0</v>
      </c>
      <c r="DK128" s="72">
        <v>0</v>
      </c>
      <c r="DL128" s="72">
        <v>0</v>
      </c>
      <c r="DM128" s="72">
        <v>0</v>
      </c>
      <c r="DN128" s="72">
        <v>0</v>
      </c>
      <c r="DO128" s="72">
        <v>0</v>
      </c>
      <c r="DP128" s="72">
        <v>0</v>
      </c>
      <c r="DQ128" s="72">
        <v>0</v>
      </c>
      <c r="DR128" s="72">
        <v>0</v>
      </c>
      <c r="DS128" s="72">
        <v>0</v>
      </c>
      <c r="DT128" s="72">
        <v>0</v>
      </c>
      <c r="DU128" s="72">
        <v>0</v>
      </c>
      <c r="DV128" s="72">
        <v>0</v>
      </c>
      <c r="DW128" s="72">
        <v>0</v>
      </c>
      <c r="DX128" s="72">
        <v>0</v>
      </c>
      <c r="DY128" s="72">
        <v>0</v>
      </c>
      <c r="DZ128" s="72">
        <v>0</v>
      </c>
      <c r="EA128" s="72">
        <v>0</v>
      </c>
      <c r="EB128" s="72">
        <v>0</v>
      </c>
      <c r="EC128" s="72">
        <v>0</v>
      </c>
      <c r="ED128" s="72">
        <v>0</v>
      </c>
      <c r="EE128" s="72">
        <v>0</v>
      </c>
      <c r="EF128" s="72">
        <v>0</v>
      </c>
      <c r="EG128" s="72">
        <v>0</v>
      </c>
      <c r="EH128" s="72">
        <v>0</v>
      </c>
      <c r="EI128" s="72">
        <v>0</v>
      </c>
      <c r="EJ128" s="72">
        <v>0</v>
      </c>
      <c r="EK128" s="72">
        <v>0</v>
      </c>
      <c r="EL128" s="72">
        <v>0</v>
      </c>
      <c r="EM128" s="72">
        <v>0</v>
      </c>
      <c r="EN128" s="72">
        <v>0</v>
      </c>
      <c r="EO128" s="72">
        <v>0</v>
      </c>
      <c r="EP128" s="72">
        <v>0</v>
      </c>
      <c r="EQ128" s="72">
        <v>0</v>
      </c>
      <c r="ER128" s="72">
        <v>0</v>
      </c>
      <c r="ES128" s="72">
        <v>0</v>
      </c>
      <c r="ET128" s="72">
        <v>0</v>
      </c>
      <c r="EU128" s="72">
        <v>0</v>
      </c>
      <c r="EV128" s="72">
        <v>0</v>
      </c>
      <c r="EW128" s="72">
        <v>0</v>
      </c>
      <c r="EX128" s="72">
        <v>0</v>
      </c>
      <c r="EY128" s="72">
        <v>0</v>
      </c>
      <c r="EZ128" s="72">
        <v>0</v>
      </c>
      <c r="FA128" s="72">
        <v>0</v>
      </c>
      <c r="FB128" s="72">
        <v>0</v>
      </c>
      <c r="FC128" s="72">
        <v>0</v>
      </c>
      <c r="FD128" s="72">
        <v>0</v>
      </c>
      <c r="FE128" s="72">
        <v>0</v>
      </c>
      <c r="FF128" s="72">
        <v>0</v>
      </c>
      <c r="FG128" s="72">
        <v>0</v>
      </c>
      <c r="FH128" s="72">
        <v>0</v>
      </c>
      <c r="FI128" s="72">
        <v>0</v>
      </c>
      <c r="FJ128" s="72">
        <v>0</v>
      </c>
      <c r="FK128" s="72">
        <v>0</v>
      </c>
      <c r="FL128" s="72">
        <v>0</v>
      </c>
      <c r="FM128" s="72">
        <v>0</v>
      </c>
      <c r="FN128" s="72">
        <v>0</v>
      </c>
      <c r="FO128" s="72">
        <v>0</v>
      </c>
      <c r="FP128" s="72">
        <v>0</v>
      </c>
      <c r="FQ128" s="72">
        <v>0</v>
      </c>
      <c r="FR128" s="72">
        <v>0</v>
      </c>
      <c r="FS128" s="72">
        <v>0</v>
      </c>
      <c r="FT128" s="72">
        <v>0</v>
      </c>
      <c r="FU128" s="72">
        <v>0</v>
      </c>
      <c r="FV128" s="74">
        <v>0</v>
      </c>
      <c r="FW128" s="74">
        <v>0</v>
      </c>
      <c r="FX128" s="74">
        <v>0</v>
      </c>
      <c r="FY128" s="74">
        <v>0</v>
      </c>
      <c r="FZ128" s="74">
        <v>0</v>
      </c>
      <c r="GA128" s="74">
        <v>0</v>
      </c>
      <c r="GB128" s="74">
        <v>0</v>
      </c>
      <c r="GC128" s="74">
        <v>0</v>
      </c>
      <c r="GD128" s="74">
        <v>0</v>
      </c>
      <c r="GE128" s="74">
        <v>0</v>
      </c>
      <c r="GF128" s="74">
        <v>0</v>
      </c>
      <c r="GG128" s="74">
        <v>0</v>
      </c>
      <c r="GH128" s="74">
        <v>0</v>
      </c>
      <c r="GI128" s="74">
        <v>0</v>
      </c>
      <c r="GJ128" s="72">
        <v>0</v>
      </c>
      <c r="GK128" s="72">
        <v>0</v>
      </c>
      <c r="GL128" s="72">
        <v>0</v>
      </c>
      <c r="GM128" s="72">
        <v>0</v>
      </c>
      <c r="GN128" s="72">
        <v>0</v>
      </c>
      <c r="GO128" s="72">
        <v>55503.351106356131</v>
      </c>
      <c r="GP128" s="72">
        <v>282.59563429478226</v>
      </c>
      <c r="GQ128" s="72">
        <v>17697.540811124811</v>
      </c>
      <c r="GR128" s="72">
        <f t="shared" si="1"/>
        <v>89716.354761023365</v>
      </c>
      <c r="GS128" s="72">
        <f>SUM(DU$5:DU$202)</f>
        <v>89716.354761023365</v>
      </c>
      <c r="GT128" s="73">
        <v>0</v>
      </c>
    </row>
    <row r="129" spans="1:202" outlineLevel="1" x14ac:dyDescent="0.2">
      <c r="A129" s="66" t="s">
        <v>1017</v>
      </c>
      <c r="B129" s="72">
        <v>0</v>
      </c>
      <c r="C129" s="72">
        <v>0</v>
      </c>
      <c r="D129" s="72">
        <v>0</v>
      </c>
      <c r="E129" s="72">
        <v>126.20049331451946</v>
      </c>
      <c r="F129" s="72">
        <v>108.63060883337843</v>
      </c>
      <c r="G129" s="72">
        <v>1001.5563730979484</v>
      </c>
      <c r="H129" s="72">
        <v>12.481651175176744</v>
      </c>
      <c r="I129" s="72">
        <v>0</v>
      </c>
      <c r="J129" s="72">
        <v>0</v>
      </c>
      <c r="K129" s="72">
        <v>0</v>
      </c>
      <c r="L129" s="72">
        <v>0</v>
      </c>
      <c r="M129" s="72">
        <v>0</v>
      </c>
      <c r="N129" s="72">
        <v>0</v>
      </c>
      <c r="O129" s="72">
        <v>0</v>
      </c>
      <c r="P129" s="72">
        <v>0</v>
      </c>
      <c r="Q129" s="72">
        <v>0</v>
      </c>
      <c r="R129" s="72">
        <v>0</v>
      </c>
      <c r="S129" s="72">
        <v>0</v>
      </c>
      <c r="T129" s="72">
        <v>0</v>
      </c>
      <c r="U129" s="72">
        <v>0</v>
      </c>
      <c r="V129" s="72">
        <v>0</v>
      </c>
      <c r="W129" s="72">
        <v>0</v>
      </c>
      <c r="X129" s="72">
        <v>0</v>
      </c>
      <c r="Y129" s="72">
        <v>0</v>
      </c>
      <c r="Z129" s="72">
        <v>0</v>
      </c>
      <c r="AA129" s="72">
        <v>906.15819138442237</v>
      </c>
      <c r="AB129" s="72">
        <v>8.5990454629104526E-3</v>
      </c>
      <c r="AC129" s="72">
        <v>0</v>
      </c>
      <c r="AD129" s="72">
        <v>0</v>
      </c>
      <c r="AE129" s="72">
        <v>2.0158939193222123</v>
      </c>
      <c r="AF129" s="72">
        <v>4.5922355163635746</v>
      </c>
      <c r="AG129" s="72">
        <v>0</v>
      </c>
      <c r="AH129" s="72">
        <v>0</v>
      </c>
      <c r="AI129" s="72">
        <v>3.259349958787245E-2</v>
      </c>
      <c r="AJ129" s="72">
        <v>3.5931831056910529E-2</v>
      </c>
      <c r="AK129" s="72">
        <v>0</v>
      </c>
      <c r="AL129" s="72">
        <v>0</v>
      </c>
      <c r="AM129" s="72">
        <v>0</v>
      </c>
      <c r="AN129" s="72">
        <v>0</v>
      </c>
      <c r="AO129" s="72">
        <v>0</v>
      </c>
      <c r="AP129" s="72">
        <v>0</v>
      </c>
      <c r="AQ129" s="72">
        <v>0</v>
      </c>
      <c r="AR129" s="72">
        <v>0</v>
      </c>
      <c r="AS129" s="72">
        <v>0</v>
      </c>
      <c r="AT129" s="72">
        <v>0</v>
      </c>
      <c r="AU129" s="72">
        <v>0</v>
      </c>
      <c r="AV129" s="72">
        <v>0</v>
      </c>
      <c r="AW129" s="72">
        <v>0</v>
      </c>
      <c r="AX129" s="72">
        <v>0</v>
      </c>
      <c r="AY129" s="72">
        <v>0</v>
      </c>
      <c r="AZ129" s="72">
        <v>0</v>
      </c>
      <c r="BA129" s="72">
        <v>0</v>
      </c>
      <c r="BB129" s="72">
        <v>0</v>
      </c>
      <c r="BC129" s="72">
        <v>5.6799810830981095</v>
      </c>
      <c r="BD129" s="72">
        <v>8.0649503712620692E-3</v>
      </c>
      <c r="BE129" s="72">
        <v>0</v>
      </c>
      <c r="BF129" s="72">
        <v>86.964728358582633</v>
      </c>
      <c r="BG129" s="72">
        <v>0</v>
      </c>
      <c r="BH129" s="72">
        <v>0</v>
      </c>
      <c r="BI129" s="72">
        <v>0</v>
      </c>
      <c r="BJ129" s="72">
        <v>0</v>
      </c>
      <c r="BK129" s="72">
        <v>0</v>
      </c>
      <c r="BL129" s="72">
        <v>0</v>
      </c>
      <c r="BM129" s="72">
        <v>0</v>
      </c>
      <c r="BN129" s="72">
        <v>0</v>
      </c>
      <c r="BO129" s="72">
        <v>0</v>
      </c>
      <c r="BP129" s="72">
        <v>0</v>
      </c>
      <c r="BQ129" s="72">
        <v>0</v>
      </c>
      <c r="BR129" s="72">
        <v>0</v>
      </c>
      <c r="BS129" s="72">
        <v>0</v>
      </c>
      <c r="BT129" s="72">
        <v>0</v>
      </c>
      <c r="BU129" s="72">
        <v>0</v>
      </c>
      <c r="BV129" s="72">
        <v>0</v>
      </c>
      <c r="BW129" s="72">
        <v>0</v>
      </c>
      <c r="BX129" s="72">
        <v>0</v>
      </c>
      <c r="BY129" s="72">
        <v>0</v>
      </c>
      <c r="BZ129" s="72">
        <v>0</v>
      </c>
      <c r="CA129" s="72">
        <v>0</v>
      </c>
      <c r="CB129" s="72">
        <v>0</v>
      </c>
      <c r="CC129" s="72">
        <v>0</v>
      </c>
      <c r="CD129" s="72">
        <v>0</v>
      </c>
      <c r="CE129" s="72">
        <v>0</v>
      </c>
      <c r="CF129" s="72">
        <v>0</v>
      </c>
      <c r="CG129" s="72">
        <v>0</v>
      </c>
      <c r="CH129" s="72">
        <v>0</v>
      </c>
      <c r="CI129" s="72">
        <v>0</v>
      </c>
      <c r="CJ129" s="72">
        <v>0</v>
      </c>
      <c r="CK129" s="72">
        <v>0</v>
      </c>
      <c r="CL129" s="72">
        <v>0</v>
      </c>
      <c r="CM129" s="72">
        <v>0</v>
      </c>
      <c r="CN129" s="72">
        <v>0</v>
      </c>
      <c r="CO129" s="72">
        <v>0</v>
      </c>
      <c r="CP129" s="72">
        <v>0</v>
      </c>
      <c r="CQ129" s="72">
        <v>0</v>
      </c>
      <c r="CR129" s="72">
        <v>0</v>
      </c>
      <c r="CS129" s="72">
        <v>0</v>
      </c>
      <c r="CT129" s="72">
        <v>0</v>
      </c>
      <c r="CU129" s="72">
        <v>0</v>
      </c>
      <c r="CV129" s="72">
        <v>0</v>
      </c>
      <c r="CW129" s="72">
        <v>0</v>
      </c>
      <c r="CX129" s="72">
        <v>0</v>
      </c>
      <c r="CY129" s="72">
        <v>0</v>
      </c>
      <c r="CZ129" s="72">
        <v>0</v>
      </c>
      <c r="DA129" s="72">
        <v>0</v>
      </c>
      <c r="DB129" s="72">
        <v>0</v>
      </c>
      <c r="DC129" s="72">
        <v>0</v>
      </c>
      <c r="DD129" s="72">
        <v>0</v>
      </c>
      <c r="DE129" s="72">
        <v>0</v>
      </c>
      <c r="DF129" s="72">
        <v>0</v>
      </c>
      <c r="DG129" s="72">
        <v>0</v>
      </c>
      <c r="DH129" s="72">
        <v>0</v>
      </c>
      <c r="DI129" s="72">
        <v>0</v>
      </c>
      <c r="DJ129" s="72">
        <v>0</v>
      </c>
      <c r="DK129" s="72">
        <v>0</v>
      </c>
      <c r="DL129" s="72">
        <v>0</v>
      </c>
      <c r="DM129" s="72">
        <v>0</v>
      </c>
      <c r="DN129" s="72">
        <v>0</v>
      </c>
      <c r="DO129" s="72">
        <v>0</v>
      </c>
      <c r="DP129" s="72">
        <v>0</v>
      </c>
      <c r="DQ129" s="72">
        <v>0</v>
      </c>
      <c r="DR129" s="72">
        <v>0</v>
      </c>
      <c r="DS129" s="72">
        <v>0</v>
      </c>
      <c r="DT129" s="72">
        <v>0</v>
      </c>
      <c r="DU129" s="72">
        <v>0</v>
      </c>
      <c r="DV129" s="72">
        <v>0</v>
      </c>
      <c r="DW129" s="72">
        <v>0</v>
      </c>
      <c r="DX129" s="72">
        <v>0</v>
      </c>
      <c r="DY129" s="72">
        <v>0</v>
      </c>
      <c r="DZ129" s="72">
        <v>0</v>
      </c>
      <c r="EA129" s="72">
        <v>0</v>
      </c>
      <c r="EB129" s="72">
        <v>0</v>
      </c>
      <c r="EC129" s="72">
        <v>0</v>
      </c>
      <c r="ED129" s="72">
        <v>0</v>
      </c>
      <c r="EE129" s="72">
        <v>0</v>
      </c>
      <c r="EF129" s="72">
        <v>0</v>
      </c>
      <c r="EG129" s="72">
        <v>0</v>
      </c>
      <c r="EH129" s="72">
        <v>0</v>
      </c>
      <c r="EI129" s="72">
        <v>0</v>
      </c>
      <c r="EJ129" s="72">
        <v>0</v>
      </c>
      <c r="EK129" s="72">
        <v>0</v>
      </c>
      <c r="EL129" s="72">
        <v>0</v>
      </c>
      <c r="EM129" s="72">
        <v>0</v>
      </c>
      <c r="EN129" s="72">
        <v>0</v>
      </c>
      <c r="EO129" s="72">
        <v>0</v>
      </c>
      <c r="EP129" s="72">
        <v>0</v>
      </c>
      <c r="EQ129" s="72">
        <v>0</v>
      </c>
      <c r="ER129" s="72">
        <v>0</v>
      </c>
      <c r="ES129" s="72">
        <v>0</v>
      </c>
      <c r="ET129" s="72">
        <v>0</v>
      </c>
      <c r="EU129" s="72">
        <v>0</v>
      </c>
      <c r="EV129" s="72">
        <v>0</v>
      </c>
      <c r="EW129" s="72">
        <v>0</v>
      </c>
      <c r="EX129" s="72">
        <v>0</v>
      </c>
      <c r="EY129" s="72">
        <v>0</v>
      </c>
      <c r="EZ129" s="72">
        <v>0</v>
      </c>
      <c r="FA129" s="72">
        <v>0</v>
      </c>
      <c r="FB129" s="72">
        <v>0</v>
      </c>
      <c r="FC129" s="72">
        <v>0</v>
      </c>
      <c r="FD129" s="72">
        <v>0</v>
      </c>
      <c r="FE129" s="72">
        <v>0</v>
      </c>
      <c r="FF129" s="72">
        <v>0</v>
      </c>
      <c r="FG129" s="72">
        <v>0</v>
      </c>
      <c r="FH129" s="72">
        <v>0</v>
      </c>
      <c r="FI129" s="72">
        <v>0</v>
      </c>
      <c r="FJ129" s="72">
        <v>0</v>
      </c>
      <c r="FK129" s="72">
        <v>0</v>
      </c>
      <c r="FL129" s="72">
        <v>0</v>
      </c>
      <c r="FM129" s="72">
        <v>0</v>
      </c>
      <c r="FN129" s="72">
        <v>0</v>
      </c>
      <c r="FO129" s="72">
        <v>0</v>
      </c>
      <c r="FP129" s="72">
        <v>0</v>
      </c>
      <c r="FQ129" s="72">
        <v>0</v>
      </c>
      <c r="FR129" s="72">
        <v>0</v>
      </c>
      <c r="FS129" s="72">
        <v>0</v>
      </c>
      <c r="FT129" s="72">
        <v>0</v>
      </c>
      <c r="FU129" s="72">
        <v>0</v>
      </c>
      <c r="FV129" s="74">
        <v>0</v>
      </c>
      <c r="FW129" s="74">
        <v>0</v>
      </c>
      <c r="FX129" s="74">
        <v>0</v>
      </c>
      <c r="FY129" s="74">
        <v>0</v>
      </c>
      <c r="FZ129" s="74">
        <v>0</v>
      </c>
      <c r="GA129" s="74">
        <v>0</v>
      </c>
      <c r="GB129" s="74">
        <v>0</v>
      </c>
      <c r="GC129" s="74">
        <v>0</v>
      </c>
      <c r="GD129" s="74">
        <v>0</v>
      </c>
      <c r="GE129" s="74">
        <v>0</v>
      </c>
      <c r="GF129" s="74">
        <v>0</v>
      </c>
      <c r="GG129" s="74">
        <v>0</v>
      </c>
      <c r="GH129" s="74">
        <v>0</v>
      </c>
      <c r="GI129" s="74">
        <v>0</v>
      </c>
      <c r="GJ129" s="72">
        <v>0</v>
      </c>
      <c r="GK129" s="72">
        <v>0</v>
      </c>
      <c r="GL129" s="72">
        <v>0</v>
      </c>
      <c r="GM129" s="72">
        <v>0</v>
      </c>
      <c r="GN129" s="72">
        <v>0</v>
      </c>
      <c r="GO129" s="72">
        <v>17164.045495098893</v>
      </c>
      <c r="GP129" s="72">
        <v>-937.63367203210828</v>
      </c>
      <c r="GQ129" s="72">
        <v>2504.0664455014007</v>
      </c>
      <c r="GR129" s="72">
        <f t="shared" si="1"/>
        <v>20984.843614577476</v>
      </c>
      <c r="GS129" s="72">
        <f>SUM(DV$5:DV$202)</f>
        <v>20984.843614577476</v>
      </c>
      <c r="GT129" s="73">
        <v>0</v>
      </c>
    </row>
    <row r="130" spans="1:202" outlineLevel="1" x14ac:dyDescent="0.2">
      <c r="A130" s="66" t="s">
        <v>1022</v>
      </c>
      <c r="B130" s="72">
        <v>0</v>
      </c>
      <c r="C130" s="72">
        <v>0</v>
      </c>
      <c r="D130" s="72">
        <v>0</v>
      </c>
      <c r="E130" s="72">
        <v>0</v>
      </c>
      <c r="F130" s="72">
        <v>0</v>
      </c>
      <c r="G130" s="72">
        <v>9104.3642839884196</v>
      </c>
      <c r="H130" s="72">
        <v>73.02024335540834</v>
      </c>
      <c r="I130" s="72">
        <v>878.02841213619854</v>
      </c>
      <c r="J130" s="72">
        <v>135.40679871317388</v>
      </c>
      <c r="K130" s="72">
        <v>147.63806989175066</v>
      </c>
      <c r="L130" s="72">
        <v>873.343569311544</v>
      </c>
      <c r="M130" s="72">
        <v>19.280903874757833</v>
      </c>
      <c r="N130" s="72">
        <v>13.964714747670481</v>
      </c>
      <c r="O130" s="72">
        <v>85.198053415046672</v>
      </c>
      <c r="P130" s="72">
        <v>424.61939726418939</v>
      </c>
      <c r="Q130" s="72">
        <v>649.18566189956346</v>
      </c>
      <c r="R130" s="72">
        <v>65.846154521621926</v>
      </c>
      <c r="S130" s="72">
        <v>1205.6015130470591</v>
      </c>
      <c r="T130" s="72">
        <v>234.43448668685056</v>
      </c>
      <c r="U130" s="72">
        <v>195.1129992628278</v>
      </c>
      <c r="V130" s="72">
        <v>292.94382089493212</v>
      </c>
      <c r="W130" s="72">
        <v>105.32633375545028</v>
      </c>
      <c r="X130" s="72">
        <v>190.05303048538485</v>
      </c>
      <c r="Y130" s="72">
        <v>2105.199172036499</v>
      </c>
      <c r="Z130" s="72">
        <v>702.5275169777226</v>
      </c>
      <c r="AA130" s="72">
        <v>5422.7179025718988</v>
      </c>
      <c r="AB130" s="72">
        <v>433.06323302345061</v>
      </c>
      <c r="AC130" s="72">
        <v>89.296401001000689</v>
      </c>
      <c r="AD130" s="72">
        <v>55.035471927055426</v>
      </c>
      <c r="AE130" s="72">
        <v>750.39149340300946</v>
      </c>
      <c r="AF130" s="72">
        <v>54.970671237331125</v>
      </c>
      <c r="AG130" s="72">
        <v>79.853872782286146</v>
      </c>
      <c r="AH130" s="72">
        <v>19.475044308350629</v>
      </c>
      <c r="AI130" s="72">
        <v>1.6162405364634125</v>
      </c>
      <c r="AJ130" s="72">
        <v>2.030927344650741</v>
      </c>
      <c r="AK130" s="72">
        <v>0</v>
      </c>
      <c r="AL130" s="72">
        <v>0</v>
      </c>
      <c r="AM130" s="72">
        <v>0</v>
      </c>
      <c r="AN130" s="72">
        <v>0</v>
      </c>
      <c r="AO130" s="72">
        <v>0</v>
      </c>
      <c r="AP130" s="72">
        <v>0</v>
      </c>
      <c r="AQ130" s="72">
        <v>0</v>
      </c>
      <c r="AR130" s="72">
        <v>0</v>
      </c>
      <c r="AS130" s="72">
        <v>0</v>
      </c>
      <c r="AT130" s="72">
        <v>0</v>
      </c>
      <c r="AU130" s="72">
        <v>0</v>
      </c>
      <c r="AV130" s="72">
        <v>0</v>
      </c>
      <c r="AW130" s="72">
        <v>0</v>
      </c>
      <c r="AX130" s="72">
        <v>10.339143957052361</v>
      </c>
      <c r="AY130" s="72">
        <v>0</v>
      </c>
      <c r="AZ130" s="72">
        <v>0</v>
      </c>
      <c r="BA130" s="72">
        <v>0</v>
      </c>
      <c r="BB130" s="72">
        <v>0</v>
      </c>
      <c r="BC130" s="72">
        <v>229.18179013829499</v>
      </c>
      <c r="BD130" s="72">
        <v>2.4025878171685309E-2</v>
      </c>
      <c r="BE130" s="72">
        <v>28.435037658543195</v>
      </c>
      <c r="BF130" s="72">
        <v>0</v>
      </c>
      <c r="BG130" s="72">
        <v>0</v>
      </c>
      <c r="BH130" s="72">
        <v>0</v>
      </c>
      <c r="BI130" s="72">
        <v>0</v>
      </c>
      <c r="BJ130" s="72">
        <v>1812.0101143128691</v>
      </c>
      <c r="BK130" s="72">
        <v>0</v>
      </c>
      <c r="BL130" s="72">
        <v>0</v>
      </c>
      <c r="BM130" s="72">
        <v>0</v>
      </c>
      <c r="BN130" s="72">
        <v>0</v>
      </c>
      <c r="BO130" s="72">
        <v>0</v>
      </c>
      <c r="BP130" s="72">
        <v>0</v>
      </c>
      <c r="BQ130" s="72">
        <v>0</v>
      </c>
      <c r="BR130" s="72">
        <v>0</v>
      </c>
      <c r="BS130" s="72">
        <v>0</v>
      </c>
      <c r="BT130" s="72">
        <v>0</v>
      </c>
      <c r="BU130" s="72">
        <v>0</v>
      </c>
      <c r="BV130" s="72">
        <v>0</v>
      </c>
      <c r="BW130" s="72">
        <v>0</v>
      </c>
      <c r="BX130" s="72">
        <v>0</v>
      </c>
      <c r="BY130" s="72">
        <v>0</v>
      </c>
      <c r="BZ130" s="72">
        <v>0</v>
      </c>
      <c r="CA130" s="72">
        <v>0</v>
      </c>
      <c r="CB130" s="72">
        <v>0</v>
      </c>
      <c r="CC130" s="72">
        <v>0</v>
      </c>
      <c r="CD130" s="72">
        <v>0</v>
      </c>
      <c r="CE130" s="72">
        <v>0</v>
      </c>
      <c r="CF130" s="72">
        <v>0</v>
      </c>
      <c r="CG130" s="72">
        <v>0</v>
      </c>
      <c r="CH130" s="72">
        <v>0</v>
      </c>
      <c r="CI130" s="72">
        <v>0</v>
      </c>
      <c r="CJ130" s="72">
        <v>0</v>
      </c>
      <c r="CK130" s="72">
        <v>0</v>
      </c>
      <c r="CL130" s="72">
        <v>0</v>
      </c>
      <c r="CM130" s="72">
        <v>0</v>
      </c>
      <c r="CN130" s="72">
        <v>0</v>
      </c>
      <c r="CO130" s="72">
        <v>0</v>
      </c>
      <c r="CP130" s="72">
        <v>0</v>
      </c>
      <c r="CQ130" s="72">
        <v>0</v>
      </c>
      <c r="CR130" s="72">
        <v>0</v>
      </c>
      <c r="CS130" s="72">
        <v>0</v>
      </c>
      <c r="CT130" s="72">
        <v>0</v>
      </c>
      <c r="CU130" s="72">
        <v>0</v>
      </c>
      <c r="CV130" s="72">
        <v>0</v>
      </c>
      <c r="CW130" s="72">
        <v>0</v>
      </c>
      <c r="CX130" s="72">
        <v>0</v>
      </c>
      <c r="CY130" s="72">
        <v>0</v>
      </c>
      <c r="CZ130" s="72">
        <v>0</v>
      </c>
      <c r="DA130" s="72">
        <v>0</v>
      </c>
      <c r="DB130" s="72">
        <v>0</v>
      </c>
      <c r="DC130" s="72">
        <v>0</v>
      </c>
      <c r="DD130" s="72">
        <v>0</v>
      </c>
      <c r="DE130" s="72">
        <v>0</v>
      </c>
      <c r="DF130" s="72">
        <v>0</v>
      </c>
      <c r="DG130" s="72">
        <v>0</v>
      </c>
      <c r="DH130" s="72">
        <v>0</v>
      </c>
      <c r="DI130" s="72">
        <v>0</v>
      </c>
      <c r="DJ130" s="72">
        <v>0</v>
      </c>
      <c r="DK130" s="72">
        <v>0</v>
      </c>
      <c r="DL130" s="72">
        <v>0</v>
      </c>
      <c r="DM130" s="72">
        <v>0</v>
      </c>
      <c r="DN130" s="72">
        <v>0</v>
      </c>
      <c r="DO130" s="72">
        <v>0</v>
      </c>
      <c r="DP130" s="72">
        <v>0</v>
      </c>
      <c r="DQ130" s="72">
        <v>0</v>
      </c>
      <c r="DR130" s="72">
        <v>0</v>
      </c>
      <c r="DS130" s="72">
        <v>0</v>
      </c>
      <c r="DT130" s="72">
        <v>0</v>
      </c>
      <c r="DU130" s="72">
        <v>0</v>
      </c>
      <c r="DV130" s="72">
        <v>0</v>
      </c>
      <c r="DW130" s="72">
        <v>0</v>
      </c>
      <c r="DX130" s="72">
        <v>0</v>
      </c>
      <c r="DY130" s="72">
        <v>0</v>
      </c>
      <c r="DZ130" s="72">
        <v>0</v>
      </c>
      <c r="EA130" s="72">
        <v>0</v>
      </c>
      <c r="EB130" s="72">
        <v>0</v>
      </c>
      <c r="EC130" s="72">
        <v>0</v>
      </c>
      <c r="ED130" s="72">
        <v>0</v>
      </c>
      <c r="EE130" s="72">
        <v>0</v>
      </c>
      <c r="EF130" s="72">
        <v>0</v>
      </c>
      <c r="EG130" s="72">
        <v>0</v>
      </c>
      <c r="EH130" s="72">
        <v>0</v>
      </c>
      <c r="EI130" s="72">
        <v>0</v>
      </c>
      <c r="EJ130" s="72">
        <v>0</v>
      </c>
      <c r="EK130" s="72">
        <v>0</v>
      </c>
      <c r="EL130" s="72">
        <v>0</v>
      </c>
      <c r="EM130" s="72">
        <v>0</v>
      </c>
      <c r="EN130" s="72">
        <v>0</v>
      </c>
      <c r="EO130" s="72">
        <v>0</v>
      </c>
      <c r="EP130" s="72">
        <v>0</v>
      </c>
      <c r="EQ130" s="72">
        <v>0</v>
      </c>
      <c r="ER130" s="72">
        <v>0</v>
      </c>
      <c r="ES130" s="72">
        <v>0</v>
      </c>
      <c r="ET130" s="72">
        <v>0</v>
      </c>
      <c r="EU130" s="72">
        <v>0</v>
      </c>
      <c r="EV130" s="72">
        <v>0</v>
      </c>
      <c r="EW130" s="72">
        <v>0</v>
      </c>
      <c r="EX130" s="72">
        <v>0</v>
      </c>
      <c r="EY130" s="72">
        <v>0</v>
      </c>
      <c r="EZ130" s="72">
        <v>0</v>
      </c>
      <c r="FA130" s="72">
        <v>0</v>
      </c>
      <c r="FB130" s="72">
        <v>0</v>
      </c>
      <c r="FC130" s="72">
        <v>0</v>
      </c>
      <c r="FD130" s="72">
        <v>0</v>
      </c>
      <c r="FE130" s="72">
        <v>0</v>
      </c>
      <c r="FF130" s="72">
        <v>0</v>
      </c>
      <c r="FG130" s="72">
        <v>0</v>
      </c>
      <c r="FH130" s="72">
        <v>0</v>
      </c>
      <c r="FI130" s="72">
        <v>0</v>
      </c>
      <c r="FJ130" s="72">
        <v>0</v>
      </c>
      <c r="FK130" s="72">
        <v>0</v>
      </c>
      <c r="FL130" s="72">
        <v>0</v>
      </c>
      <c r="FM130" s="72">
        <v>0</v>
      </c>
      <c r="FN130" s="72">
        <v>0</v>
      </c>
      <c r="FO130" s="72">
        <v>0</v>
      </c>
      <c r="FP130" s="72">
        <v>0</v>
      </c>
      <c r="FQ130" s="72">
        <v>0</v>
      </c>
      <c r="FR130" s="72">
        <v>0</v>
      </c>
      <c r="FS130" s="72">
        <v>0</v>
      </c>
      <c r="FT130" s="72">
        <v>0</v>
      </c>
      <c r="FU130" s="72">
        <v>0</v>
      </c>
      <c r="FV130" s="74">
        <v>9.9507546077887754E-2</v>
      </c>
      <c r="FW130" s="74">
        <v>0.66871055026463622</v>
      </c>
      <c r="FX130" s="74">
        <v>0.34643238721211406</v>
      </c>
      <c r="FY130" s="74">
        <v>3.2072787895749473</v>
      </c>
      <c r="FZ130" s="74">
        <v>0.97555389334114395</v>
      </c>
      <c r="GA130" s="74">
        <v>2.2543417618060024</v>
      </c>
      <c r="GB130" s="74">
        <v>4.0072659068837426</v>
      </c>
      <c r="GC130" s="74">
        <v>27.608111871244031</v>
      </c>
      <c r="GD130" s="74">
        <v>36.499611320529084</v>
      </c>
      <c r="GE130" s="74">
        <v>15.173509760416376</v>
      </c>
      <c r="GF130" s="74">
        <v>9.3700977552466025</v>
      </c>
      <c r="GG130" s="74">
        <v>23.566903342441954</v>
      </c>
      <c r="GH130" s="74">
        <v>43.386686698975041</v>
      </c>
      <c r="GI130" s="74">
        <v>107.23276940865989</v>
      </c>
      <c r="GJ130" s="72">
        <v>0</v>
      </c>
      <c r="GK130" s="72">
        <v>0</v>
      </c>
      <c r="GL130" s="72">
        <v>0</v>
      </c>
      <c r="GM130" s="72">
        <v>0</v>
      </c>
      <c r="GN130" s="72">
        <v>0</v>
      </c>
      <c r="GO130" s="72">
        <v>28050.065060717105</v>
      </c>
      <c r="GP130" s="72">
        <v>-22.241380612385697</v>
      </c>
      <c r="GQ130" s="72">
        <v>27412.341393466173</v>
      </c>
      <c r="GR130" s="72">
        <f t="shared" si="1"/>
        <v>82204.098360910066</v>
      </c>
      <c r="GS130" s="72">
        <f>SUM(DW$5:DW$202)</f>
        <v>82204.098360910066</v>
      </c>
      <c r="GT130" s="73">
        <v>0</v>
      </c>
    </row>
    <row r="131" spans="1:202" outlineLevel="1" x14ac:dyDescent="0.2">
      <c r="A131" s="66" t="s">
        <v>1029</v>
      </c>
      <c r="B131" s="72">
        <v>0</v>
      </c>
      <c r="C131" s="72">
        <v>3142.3923446107624</v>
      </c>
      <c r="D131" s="72">
        <v>0</v>
      </c>
      <c r="E131" s="72">
        <v>2269.8654089215779</v>
      </c>
      <c r="F131" s="72">
        <v>5516.6679538446215</v>
      </c>
      <c r="G131" s="72">
        <v>17165.541110823284</v>
      </c>
      <c r="H131" s="72">
        <v>3254.869235522493</v>
      </c>
      <c r="I131" s="72">
        <v>0</v>
      </c>
      <c r="J131" s="72">
        <v>0</v>
      </c>
      <c r="K131" s="72">
        <v>0</v>
      </c>
      <c r="L131" s="72">
        <v>0</v>
      </c>
      <c r="M131" s="72">
        <v>0</v>
      </c>
      <c r="N131" s="72">
        <v>0</v>
      </c>
      <c r="O131" s="72">
        <v>0</v>
      </c>
      <c r="P131" s="72">
        <v>0</v>
      </c>
      <c r="Q131" s="72">
        <v>3.1472964090087173E-2</v>
      </c>
      <c r="R131" s="72">
        <v>0</v>
      </c>
      <c r="S131" s="72">
        <v>0</v>
      </c>
      <c r="T131" s="72">
        <v>0</v>
      </c>
      <c r="U131" s="72">
        <v>0</v>
      </c>
      <c r="V131" s="72">
        <v>38.657752549894113</v>
      </c>
      <c r="W131" s="72">
        <v>0</v>
      </c>
      <c r="X131" s="72">
        <v>0</v>
      </c>
      <c r="Y131" s="72">
        <v>9.2325886642797421</v>
      </c>
      <c r="Z131" s="72">
        <v>996.37301251976351</v>
      </c>
      <c r="AA131" s="72">
        <v>14846.579123948617</v>
      </c>
      <c r="AB131" s="72">
        <v>489.65640527327179</v>
      </c>
      <c r="AC131" s="72">
        <v>0</v>
      </c>
      <c r="AD131" s="72">
        <v>20.636621296180856</v>
      </c>
      <c r="AE131" s="72">
        <v>18.922446328816001</v>
      </c>
      <c r="AF131" s="72">
        <v>24.488391905009067</v>
      </c>
      <c r="AG131" s="72">
        <v>0</v>
      </c>
      <c r="AH131" s="72">
        <v>0</v>
      </c>
      <c r="AI131" s="72">
        <v>21.223892544083999</v>
      </c>
      <c r="AJ131" s="72">
        <v>25.479100475411656</v>
      </c>
      <c r="AK131" s="72">
        <v>0</v>
      </c>
      <c r="AL131" s="72">
        <v>0</v>
      </c>
      <c r="AM131" s="72">
        <v>0</v>
      </c>
      <c r="AN131" s="72">
        <v>0</v>
      </c>
      <c r="AO131" s="72">
        <v>0</v>
      </c>
      <c r="AP131" s="72">
        <v>0</v>
      </c>
      <c r="AQ131" s="72">
        <v>0</v>
      </c>
      <c r="AR131" s="72">
        <v>0</v>
      </c>
      <c r="AS131" s="72">
        <v>0</v>
      </c>
      <c r="AT131" s="72">
        <v>0</v>
      </c>
      <c r="AU131" s="72">
        <v>0</v>
      </c>
      <c r="AV131" s="72">
        <v>0</v>
      </c>
      <c r="AW131" s="72">
        <v>0</v>
      </c>
      <c r="AX131" s="72">
        <v>54.106238490750535</v>
      </c>
      <c r="AY131" s="72">
        <v>0</v>
      </c>
      <c r="AZ131" s="72">
        <v>0</v>
      </c>
      <c r="BA131" s="72">
        <v>0</v>
      </c>
      <c r="BB131" s="72">
        <v>0</v>
      </c>
      <c r="BC131" s="72">
        <v>474.60423109263809</v>
      </c>
      <c r="BD131" s="72">
        <v>49.192820773845845</v>
      </c>
      <c r="BE131" s="72">
        <v>74.161722406497447</v>
      </c>
      <c r="BF131" s="72">
        <v>0</v>
      </c>
      <c r="BG131" s="72">
        <v>0</v>
      </c>
      <c r="BH131" s="72">
        <v>0</v>
      </c>
      <c r="BI131" s="72">
        <v>0</v>
      </c>
      <c r="BJ131" s="72">
        <v>44.275489738493398</v>
      </c>
      <c r="BK131" s="72">
        <v>0</v>
      </c>
      <c r="BL131" s="72">
        <v>0</v>
      </c>
      <c r="BM131" s="72">
        <v>0</v>
      </c>
      <c r="BN131" s="72">
        <v>0</v>
      </c>
      <c r="BO131" s="72">
        <v>0</v>
      </c>
      <c r="BP131" s="72">
        <v>0</v>
      </c>
      <c r="BQ131" s="72">
        <v>0</v>
      </c>
      <c r="BR131" s="72">
        <v>0</v>
      </c>
      <c r="BS131" s="72">
        <v>0</v>
      </c>
      <c r="BT131" s="72">
        <v>0</v>
      </c>
      <c r="BU131" s="72">
        <v>0</v>
      </c>
      <c r="BV131" s="72">
        <v>0</v>
      </c>
      <c r="BW131" s="72">
        <v>0</v>
      </c>
      <c r="BX131" s="72">
        <v>0</v>
      </c>
      <c r="BY131" s="72">
        <v>0</v>
      </c>
      <c r="BZ131" s="72">
        <v>0</v>
      </c>
      <c r="CA131" s="72">
        <v>0</v>
      </c>
      <c r="CB131" s="72">
        <v>0</v>
      </c>
      <c r="CC131" s="72">
        <v>0</v>
      </c>
      <c r="CD131" s="72">
        <v>0</v>
      </c>
      <c r="CE131" s="72">
        <v>0</v>
      </c>
      <c r="CF131" s="72">
        <v>0</v>
      </c>
      <c r="CG131" s="72">
        <v>0</v>
      </c>
      <c r="CH131" s="72">
        <v>0</v>
      </c>
      <c r="CI131" s="72">
        <v>0</v>
      </c>
      <c r="CJ131" s="72">
        <v>0</v>
      </c>
      <c r="CK131" s="72">
        <v>0</v>
      </c>
      <c r="CL131" s="72">
        <v>0</v>
      </c>
      <c r="CM131" s="72">
        <v>0</v>
      </c>
      <c r="CN131" s="72">
        <v>0</v>
      </c>
      <c r="CO131" s="72">
        <v>0</v>
      </c>
      <c r="CP131" s="72">
        <v>0</v>
      </c>
      <c r="CQ131" s="72">
        <v>0</v>
      </c>
      <c r="CR131" s="72">
        <v>0</v>
      </c>
      <c r="CS131" s="72">
        <v>0</v>
      </c>
      <c r="CT131" s="72">
        <v>0</v>
      </c>
      <c r="CU131" s="72">
        <v>0</v>
      </c>
      <c r="CV131" s="72">
        <v>0</v>
      </c>
      <c r="CW131" s="72">
        <v>0</v>
      </c>
      <c r="CX131" s="72">
        <v>0</v>
      </c>
      <c r="CY131" s="72">
        <v>0</v>
      </c>
      <c r="CZ131" s="72">
        <v>0</v>
      </c>
      <c r="DA131" s="72">
        <v>0</v>
      </c>
      <c r="DB131" s="72">
        <v>0</v>
      </c>
      <c r="DC131" s="72">
        <v>0</v>
      </c>
      <c r="DD131" s="72">
        <v>0</v>
      </c>
      <c r="DE131" s="72">
        <v>0</v>
      </c>
      <c r="DF131" s="72">
        <v>0</v>
      </c>
      <c r="DG131" s="72">
        <v>0</v>
      </c>
      <c r="DH131" s="72">
        <v>0</v>
      </c>
      <c r="DI131" s="72">
        <v>0</v>
      </c>
      <c r="DJ131" s="72">
        <v>0</v>
      </c>
      <c r="DK131" s="72">
        <v>0</v>
      </c>
      <c r="DL131" s="72">
        <v>0</v>
      </c>
      <c r="DM131" s="72">
        <v>0</v>
      </c>
      <c r="DN131" s="72">
        <v>0</v>
      </c>
      <c r="DO131" s="72">
        <v>0</v>
      </c>
      <c r="DP131" s="72">
        <v>0</v>
      </c>
      <c r="DQ131" s="72">
        <v>0</v>
      </c>
      <c r="DR131" s="72">
        <v>0</v>
      </c>
      <c r="DS131" s="72">
        <v>0</v>
      </c>
      <c r="DT131" s="72">
        <v>0</v>
      </c>
      <c r="DU131" s="72">
        <v>0</v>
      </c>
      <c r="DV131" s="72">
        <v>0</v>
      </c>
      <c r="DW131" s="72">
        <v>0</v>
      </c>
      <c r="DX131" s="72">
        <v>0</v>
      </c>
      <c r="DY131" s="72">
        <v>0</v>
      </c>
      <c r="DZ131" s="72">
        <v>0</v>
      </c>
      <c r="EA131" s="72">
        <v>0</v>
      </c>
      <c r="EB131" s="72">
        <v>0</v>
      </c>
      <c r="EC131" s="72">
        <v>0</v>
      </c>
      <c r="ED131" s="72">
        <v>0</v>
      </c>
      <c r="EE131" s="72">
        <v>0</v>
      </c>
      <c r="EF131" s="72">
        <v>0</v>
      </c>
      <c r="EG131" s="72">
        <v>0</v>
      </c>
      <c r="EH131" s="72">
        <v>0</v>
      </c>
      <c r="EI131" s="72">
        <v>0</v>
      </c>
      <c r="EJ131" s="72">
        <v>0</v>
      </c>
      <c r="EK131" s="72">
        <v>0</v>
      </c>
      <c r="EL131" s="72">
        <v>0</v>
      </c>
      <c r="EM131" s="72">
        <v>0</v>
      </c>
      <c r="EN131" s="72">
        <v>0</v>
      </c>
      <c r="EO131" s="72">
        <v>0</v>
      </c>
      <c r="EP131" s="72">
        <v>0</v>
      </c>
      <c r="EQ131" s="72">
        <v>0</v>
      </c>
      <c r="ER131" s="72">
        <v>0</v>
      </c>
      <c r="ES131" s="72">
        <v>0</v>
      </c>
      <c r="ET131" s="72">
        <v>0</v>
      </c>
      <c r="EU131" s="72">
        <v>0</v>
      </c>
      <c r="EV131" s="72">
        <v>0</v>
      </c>
      <c r="EW131" s="72">
        <v>0</v>
      </c>
      <c r="EX131" s="72">
        <v>0</v>
      </c>
      <c r="EY131" s="72">
        <v>0</v>
      </c>
      <c r="EZ131" s="72">
        <v>0</v>
      </c>
      <c r="FA131" s="72">
        <v>0</v>
      </c>
      <c r="FB131" s="72">
        <v>0</v>
      </c>
      <c r="FC131" s="72">
        <v>0</v>
      </c>
      <c r="FD131" s="72">
        <v>0</v>
      </c>
      <c r="FE131" s="72">
        <v>0</v>
      </c>
      <c r="FF131" s="72">
        <v>0</v>
      </c>
      <c r="FG131" s="72">
        <v>0</v>
      </c>
      <c r="FH131" s="72">
        <v>0</v>
      </c>
      <c r="FI131" s="72">
        <v>0</v>
      </c>
      <c r="FJ131" s="72">
        <v>0</v>
      </c>
      <c r="FK131" s="72">
        <v>0</v>
      </c>
      <c r="FL131" s="72">
        <v>0</v>
      </c>
      <c r="FM131" s="72">
        <v>0</v>
      </c>
      <c r="FN131" s="72">
        <v>0</v>
      </c>
      <c r="FO131" s="72">
        <v>0</v>
      </c>
      <c r="FP131" s="72">
        <v>0</v>
      </c>
      <c r="FQ131" s="72">
        <v>0</v>
      </c>
      <c r="FR131" s="72">
        <v>0</v>
      </c>
      <c r="FS131" s="72">
        <v>0</v>
      </c>
      <c r="FT131" s="72">
        <v>0</v>
      </c>
      <c r="FU131" s="72">
        <v>0</v>
      </c>
      <c r="FV131" s="74">
        <v>1.143471537370284</v>
      </c>
      <c r="FW131" s="74">
        <v>7.68435672575339</v>
      </c>
      <c r="FX131" s="74">
        <v>3.9809601383419255</v>
      </c>
      <c r="FY131" s="74">
        <v>36.855818004191882</v>
      </c>
      <c r="FZ131" s="74">
        <v>11.21038709298702</v>
      </c>
      <c r="GA131" s="74">
        <v>25.905328206090385</v>
      </c>
      <c r="GB131" s="74">
        <v>46.04871376899645</v>
      </c>
      <c r="GC131" s="74">
        <v>317.25322721346237</v>
      </c>
      <c r="GD131" s="74">
        <v>419.42815711116924</v>
      </c>
      <c r="GE131" s="74">
        <v>174.36342485489038</v>
      </c>
      <c r="GF131" s="74">
        <v>107.67464888657933</v>
      </c>
      <c r="GG131" s="74">
        <v>270.81446843182982</v>
      </c>
      <c r="GH131" s="74">
        <v>498.56963915326958</v>
      </c>
      <c r="GI131" s="74">
        <v>1232.2444329620664</v>
      </c>
      <c r="GJ131" s="72">
        <v>0</v>
      </c>
      <c r="GK131" s="72">
        <v>0</v>
      </c>
      <c r="GL131" s="72">
        <v>0</v>
      </c>
      <c r="GM131" s="72">
        <v>0</v>
      </c>
      <c r="GN131" s="72">
        <v>0</v>
      </c>
      <c r="GO131" s="72">
        <v>40489.668202871209</v>
      </c>
      <c r="GP131" s="72">
        <v>469.00695054621747</v>
      </c>
      <c r="GQ131" s="72">
        <v>30484.048810507793</v>
      </c>
      <c r="GR131" s="72">
        <f t="shared" si="1"/>
        <v>123132.85836270661</v>
      </c>
      <c r="GS131" s="72">
        <f>SUM(DX$5:DX$202)</f>
        <v>123132.8583627066</v>
      </c>
      <c r="GT131" s="73">
        <v>0</v>
      </c>
    </row>
    <row r="132" spans="1:202" outlineLevel="1" x14ac:dyDescent="0.2">
      <c r="A132" s="66" t="s">
        <v>1036</v>
      </c>
      <c r="B132" s="72">
        <v>0</v>
      </c>
      <c r="C132" s="72">
        <v>0</v>
      </c>
      <c r="D132" s="72">
        <v>191.56383826061625</v>
      </c>
      <c r="E132" s="72">
        <v>0</v>
      </c>
      <c r="F132" s="72">
        <v>0</v>
      </c>
      <c r="G132" s="72">
        <v>0</v>
      </c>
      <c r="H132" s="72">
        <v>0</v>
      </c>
      <c r="I132" s="72">
        <v>0</v>
      </c>
      <c r="J132" s="72">
        <v>0</v>
      </c>
      <c r="K132" s="72">
        <v>0</v>
      </c>
      <c r="L132" s="72">
        <v>0</v>
      </c>
      <c r="M132" s="72">
        <v>0</v>
      </c>
      <c r="N132" s="72">
        <v>0</v>
      </c>
      <c r="O132" s="72">
        <v>0</v>
      </c>
      <c r="P132" s="72">
        <v>0</v>
      </c>
      <c r="Q132" s="72">
        <v>0</v>
      </c>
      <c r="R132" s="72">
        <v>0</v>
      </c>
      <c r="S132" s="72">
        <v>0</v>
      </c>
      <c r="T132" s="72">
        <v>0</v>
      </c>
      <c r="U132" s="72">
        <v>0</v>
      </c>
      <c r="V132" s="72">
        <v>0</v>
      </c>
      <c r="W132" s="72">
        <v>0</v>
      </c>
      <c r="X132" s="72">
        <v>0</v>
      </c>
      <c r="Y132" s="72">
        <v>0</v>
      </c>
      <c r="Z132" s="72">
        <v>0</v>
      </c>
      <c r="AA132" s="72">
        <v>0</v>
      </c>
      <c r="AB132" s="72">
        <v>4135.2612794884435</v>
      </c>
      <c r="AC132" s="72">
        <v>0</v>
      </c>
      <c r="AD132" s="72">
        <v>0</v>
      </c>
      <c r="AE132" s="72">
        <v>0</v>
      </c>
      <c r="AF132" s="72">
        <v>0</v>
      </c>
      <c r="AG132" s="72">
        <v>0</v>
      </c>
      <c r="AH132" s="72">
        <v>0</v>
      </c>
      <c r="AI132" s="72">
        <v>0.29932445902270011</v>
      </c>
      <c r="AJ132" s="72">
        <v>0.34782016050590081</v>
      </c>
      <c r="AK132" s="72">
        <v>2777.0637041025775</v>
      </c>
      <c r="AL132" s="72">
        <v>0</v>
      </c>
      <c r="AM132" s="72">
        <v>0</v>
      </c>
      <c r="AN132" s="72">
        <v>0</v>
      </c>
      <c r="AO132" s="72">
        <v>155.6878812315656</v>
      </c>
      <c r="AP132" s="72">
        <v>0</v>
      </c>
      <c r="AQ132" s="72">
        <v>0</v>
      </c>
      <c r="AR132" s="72">
        <v>77.78405803281089</v>
      </c>
      <c r="AS132" s="72">
        <v>0</v>
      </c>
      <c r="AT132" s="72">
        <v>0</v>
      </c>
      <c r="AU132" s="72">
        <v>0</v>
      </c>
      <c r="AV132" s="72">
        <v>0</v>
      </c>
      <c r="AW132" s="72">
        <v>0</v>
      </c>
      <c r="AX132" s="72">
        <v>0</v>
      </c>
      <c r="AY132" s="72">
        <v>0</v>
      </c>
      <c r="AZ132" s="72">
        <v>0</v>
      </c>
      <c r="BA132" s="72">
        <v>0</v>
      </c>
      <c r="BB132" s="72">
        <v>0</v>
      </c>
      <c r="BC132" s="72">
        <v>360.99339118798429</v>
      </c>
      <c r="BD132" s="72">
        <v>1.5009745623381039</v>
      </c>
      <c r="BE132" s="72">
        <v>66.852207313899044</v>
      </c>
      <c r="BF132" s="72">
        <v>0</v>
      </c>
      <c r="BG132" s="72">
        <v>0</v>
      </c>
      <c r="BH132" s="72">
        <v>0</v>
      </c>
      <c r="BI132" s="72">
        <v>0</v>
      </c>
      <c r="BJ132" s="72">
        <v>516.64743675318618</v>
      </c>
      <c r="BK132" s="72">
        <v>0</v>
      </c>
      <c r="BL132" s="72">
        <v>0</v>
      </c>
      <c r="BM132" s="72">
        <v>0</v>
      </c>
      <c r="BN132" s="72">
        <v>0</v>
      </c>
      <c r="BO132" s="72">
        <v>0</v>
      </c>
      <c r="BP132" s="72">
        <v>0</v>
      </c>
      <c r="BQ132" s="72">
        <v>0</v>
      </c>
      <c r="BR132" s="72">
        <v>0</v>
      </c>
      <c r="BS132" s="72">
        <v>0</v>
      </c>
      <c r="BT132" s="72">
        <v>0</v>
      </c>
      <c r="BU132" s="72">
        <v>0</v>
      </c>
      <c r="BV132" s="72">
        <v>0</v>
      </c>
      <c r="BW132" s="72">
        <v>0</v>
      </c>
      <c r="BX132" s="72">
        <v>0</v>
      </c>
      <c r="BY132" s="72">
        <v>0</v>
      </c>
      <c r="BZ132" s="72">
        <v>0</v>
      </c>
      <c r="CA132" s="72">
        <v>0</v>
      </c>
      <c r="CB132" s="72">
        <v>0</v>
      </c>
      <c r="CC132" s="72">
        <v>0</v>
      </c>
      <c r="CD132" s="72">
        <v>0</v>
      </c>
      <c r="CE132" s="72">
        <v>0</v>
      </c>
      <c r="CF132" s="72">
        <v>0</v>
      </c>
      <c r="CG132" s="72">
        <v>0</v>
      </c>
      <c r="CH132" s="72">
        <v>0</v>
      </c>
      <c r="CI132" s="72">
        <v>0</v>
      </c>
      <c r="CJ132" s="72">
        <v>0</v>
      </c>
      <c r="CK132" s="72">
        <v>0</v>
      </c>
      <c r="CL132" s="72">
        <v>0</v>
      </c>
      <c r="CM132" s="72">
        <v>0</v>
      </c>
      <c r="CN132" s="72">
        <v>0</v>
      </c>
      <c r="CO132" s="72">
        <v>0</v>
      </c>
      <c r="CP132" s="72">
        <v>0</v>
      </c>
      <c r="CQ132" s="72">
        <v>0</v>
      </c>
      <c r="CR132" s="72">
        <v>0</v>
      </c>
      <c r="CS132" s="72">
        <v>0</v>
      </c>
      <c r="CT132" s="72">
        <v>0</v>
      </c>
      <c r="CU132" s="72">
        <v>0</v>
      </c>
      <c r="CV132" s="72">
        <v>0</v>
      </c>
      <c r="CW132" s="72">
        <v>0</v>
      </c>
      <c r="CX132" s="72">
        <v>0</v>
      </c>
      <c r="CY132" s="72">
        <v>0</v>
      </c>
      <c r="CZ132" s="72">
        <v>0</v>
      </c>
      <c r="DA132" s="72">
        <v>0</v>
      </c>
      <c r="DB132" s="72">
        <v>0</v>
      </c>
      <c r="DC132" s="72">
        <v>0</v>
      </c>
      <c r="DD132" s="72">
        <v>0</v>
      </c>
      <c r="DE132" s="72">
        <v>0</v>
      </c>
      <c r="DF132" s="72">
        <v>0</v>
      </c>
      <c r="DG132" s="72">
        <v>0</v>
      </c>
      <c r="DH132" s="72">
        <v>0</v>
      </c>
      <c r="DI132" s="72">
        <v>0</v>
      </c>
      <c r="DJ132" s="72">
        <v>0</v>
      </c>
      <c r="DK132" s="72">
        <v>0</v>
      </c>
      <c r="DL132" s="72">
        <v>0</v>
      </c>
      <c r="DM132" s="72">
        <v>0</v>
      </c>
      <c r="DN132" s="72">
        <v>0</v>
      </c>
      <c r="DO132" s="72">
        <v>0</v>
      </c>
      <c r="DP132" s="72">
        <v>0</v>
      </c>
      <c r="DQ132" s="72">
        <v>0</v>
      </c>
      <c r="DR132" s="72">
        <v>0</v>
      </c>
      <c r="DS132" s="72">
        <v>0</v>
      </c>
      <c r="DT132" s="72">
        <v>0</v>
      </c>
      <c r="DU132" s="72">
        <v>0</v>
      </c>
      <c r="DV132" s="72">
        <v>0</v>
      </c>
      <c r="DW132" s="72">
        <v>0</v>
      </c>
      <c r="DX132" s="72">
        <v>0</v>
      </c>
      <c r="DY132" s="72">
        <v>0</v>
      </c>
      <c r="DZ132" s="72">
        <v>0</v>
      </c>
      <c r="EA132" s="72">
        <v>0</v>
      </c>
      <c r="EB132" s="72">
        <v>0</v>
      </c>
      <c r="EC132" s="72">
        <v>0</v>
      </c>
      <c r="ED132" s="72">
        <v>0</v>
      </c>
      <c r="EE132" s="72">
        <v>0</v>
      </c>
      <c r="EF132" s="72">
        <v>0</v>
      </c>
      <c r="EG132" s="72">
        <v>0</v>
      </c>
      <c r="EH132" s="72">
        <v>0</v>
      </c>
      <c r="EI132" s="72">
        <v>0</v>
      </c>
      <c r="EJ132" s="72">
        <v>0</v>
      </c>
      <c r="EK132" s="72">
        <v>0</v>
      </c>
      <c r="EL132" s="72">
        <v>0</v>
      </c>
      <c r="EM132" s="72">
        <v>0</v>
      </c>
      <c r="EN132" s="72">
        <v>0</v>
      </c>
      <c r="EO132" s="72">
        <v>0</v>
      </c>
      <c r="EP132" s="72">
        <v>0</v>
      </c>
      <c r="EQ132" s="72">
        <v>0</v>
      </c>
      <c r="ER132" s="72">
        <v>0</v>
      </c>
      <c r="ES132" s="72">
        <v>0</v>
      </c>
      <c r="ET132" s="72">
        <v>0</v>
      </c>
      <c r="EU132" s="72">
        <v>0</v>
      </c>
      <c r="EV132" s="72">
        <v>0</v>
      </c>
      <c r="EW132" s="72">
        <v>0</v>
      </c>
      <c r="EX132" s="72">
        <v>0</v>
      </c>
      <c r="EY132" s="72">
        <v>0</v>
      </c>
      <c r="EZ132" s="72">
        <v>0</v>
      </c>
      <c r="FA132" s="72">
        <v>0</v>
      </c>
      <c r="FB132" s="72">
        <v>0</v>
      </c>
      <c r="FC132" s="72">
        <v>0</v>
      </c>
      <c r="FD132" s="72">
        <v>0</v>
      </c>
      <c r="FE132" s="72">
        <v>0</v>
      </c>
      <c r="FF132" s="72">
        <v>0</v>
      </c>
      <c r="FG132" s="72">
        <v>0</v>
      </c>
      <c r="FH132" s="72">
        <v>0</v>
      </c>
      <c r="FI132" s="72">
        <v>0</v>
      </c>
      <c r="FJ132" s="72">
        <v>0</v>
      </c>
      <c r="FK132" s="72">
        <v>0</v>
      </c>
      <c r="FL132" s="72">
        <v>0</v>
      </c>
      <c r="FM132" s="72">
        <v>0</v>
      </c>
      <c r="FN132" s="72">
        <v>0</v>
      </c>
      <c r="FO132" s="72">
        <v>0</v>
      </c>
      <c r="FP132" s="72">
        <v>0</v>
      </c>
      <c r="FQ132" s="72">
        <v>0</v>
      </c>
      <c r="FR132" s="72">
        <v>0</v>
      </c>
      <c r="FS132" s="72">
        <v>0</v>
      </c>
      <c r="FT132" s="72">
        <v>0</v>
      </c>
      <c r="FU132" s="72">
        <v>0</v>
      </c>
      <c r="FV132" s="74">
        <v>598.99596459773818</v>
      </c>
      <c r="FW132" s="74">
        <v>1029.1597242580337</v>
      </c>
      <c r="FX132" s="74">
        <v>1217.3029947388068</v>
      </c>
      <c r="FY132" s="74">
        <v>1249.6035599378686</v>
      </c>
      <c r="FZ132" s="74">
        <v>1715.5604641214225</v>
      </c>
      <c r="GA132" s="74">
        <v>1614.4169154385254</v>
      </c>
      <c r="GB132" s="74">
        <v>1876.8154548137823</v>
      </c>
      <c r="GC132" s="74">
        <v>2375.0167352931094</v>
      </c>
      <c r="GD132" s="74">
        <v>3053.3366715135739</v>
      </c>
      <c r="GE132" s="74">
        <v>596.97341136594241</v>
      </c>
      <c r="GF132" s="74">
        <v>850.83927865767816</v>
      </c>
      <c r="GG132" s="74">
        <v>1009.1176757809371</v>
      </c>
      <c r="GH132" s="74">
        <v>1260.777404399551</v>
      </c>
      <c r="GI132" s="74">
        <v>1547.4857432194028</v>
      </c>
      <c r="GJ132" s="72">
        <v>0</v>
      </c>
      <c r="GK132" s="72">
        <v>0</v>
      </c>
      <c r="GL132" s="72">
        <v>0</v>
      </c>
      <c r="GM132" s="72">
        <v>0</v>
      </c>
      <c r="GN132" s="72">
        <v>0</v>
      </c>
      <c r="GO132" s="72">
        <v>1399.2853498188081</v>
      </c>
      <c r="GP132" s="72">
        <v>61.07379568531266</v>
      </c>
      <c r="GQ132" s="72">
        <v>3426.505819275143</v>
      </c>
      <c r="GR132" s="72">
        <f t="shared" si="1"/>
        <v>33166.268878468589</v>
      </c>
      <c r="GS132" s="72">
        <f>SUM(DY$5:DY$202)</f>
        <v>33166.268878468589</v>
      </c>
      <c r="GT132" s="73">
        <v>0</v>
      </c>
    </row>
    <row r="133" spans="1:202" outlineLevel="1" x14ac:dyDescent="0.2">
      <c r="A133" s="66" t="s">
        <v>1043</v>
      </c>
      <c r="B133" s="72">
        <v>0</v>
      </c>
      <c r="C133" s="72">
        <v>0</v>
      </c>
      <c r="D133" s="72">
        <v>45.267818641183922</v>
      </c>
      <c r="E133" s="72">
        <v>439.45430824626237</v>
      </c>
      <c r="F133" s="72">
        <v>522.17138049687628</v>
      </c>
      <c r="G133" s="72">
        <v>2425.8120306608221</v>
      </c>
      <c r="H133" s="72">
        <v>323.35448340203288</v>
      </c>
      <c r="I133" s="72">
        <v>1119.3825419085415</v>
      </c>
      <c r="J133" s="72">
        <v>324.32063516845187</v>
      </c>
      <c r="K133" s="72">
        <v>71.082161550551206</v>
      </c>
      <c r="L133" s="72">
        <v>84.13708165854456</v>
      </c>
      <c r="M133" s="72">
        <v>12.567943335089108</v>
      </c>
      <c r="N133" s="72">
        <v>30.272234407248348</v>
      </c>
      <c r="O133" s="72">
        <v>81.156645796354582</v>
      </c>
      <c r="P133" s="72">
        <v>589.98680382351836</v>
      </c>
      <c r="Q133" s="72">
        <v>305.79269658897954</v>
      </c>
      <c r="R133" s="72">
        <v>273.68291656353358</v>
      </c>
      <c r="S133" s="72">
        <v>257.64526318340148</v>
      </c>
      <c r="T133" s="72">
        <v>578.05766162872499</v>
      </c>
      <c r="U133" s="72">
        <v>77.709123287755972</v>
      </c>
      <c r="V133" s="72">
        <v>139.43306974848122</v>
      </c>
      <c r="W133" s="72">
        <v>16.698630097397629</v>
      </c>
      <c r="X133" s="72">
        <v>378.97762311171022</v>
      </c>
      <c r="Y133" s="72">
        <v>264.22082878758562</v>
      </c>
      <c r="Z133" s="72">
        <v>195.65315130190442</v>
      </c>
      <c r="AA133" s="72">
        <v>405.44886743625716</v>
      </c>
      <c r="AB133" s="72">
        <v>1665.6733417319492</v>
      </c>
      <c r="AC133" s="72">
        <v>1267.6237218695001</v>
      </c>
      <c r="AD133" s="72">
        <v>534.9542825025411</v>
      </c>
      <c r="AE133" s="72">
        <v>445.40875649161603</v>
      </c>
      <c r="AF133" s="72">
        <v>72.288813119926971</v>
      </c>
      <c r="AG133" s="72">
        <v>69.005807988223495</v>
      </c>
      <c r="AH133" s="72">
        <v>72.963221154099301</v>
      </c>
      <c r="AI133" s="72">
        <v>336.37381136482151</v>
      </c>
      <c r="AJ133" s="72">
        <v>138.72533656032599</v>
      </c>
      <c r="AK133" s="72">
        <v>1308.4460915740156</v>
      </c>
      <c r="AL133" s="72">
        <v>5349.564041025189</v>
      </c>
      <c r="AM133" s="72">
        <v>2351.2396852866677</v>
      </c>
      <c r="AN133" s="72">
        <v>2113.5189248160141</v>
      </c>
      <c r="AO133" s="72">
        <v>1657.4353843141516</v>
      </c>
      <c r="AP133" s="72">
        <v>775.19819157147788</v>
      </c>
      <c r="AQ133" s="72">
        <v>26.656100213069692</v>
      </c>
      <c r="AR133" s="72">
        <v>657.09071038129593</v>
      </c>
      <c r="AS133" s="72">
        <v>5036.0241579281646</v>
      </c>
      <c r="AT133" s="72">
        <v>3903.9090159239618</v>
      </c>
      <c r="AU133" s="72">
        <v>1170.9645843223291</v>
      </c>
      <c r="AV133" s="72">
        <v>401.97804049163915</v>
      </c>
      <c r="AW133" s="72">
        <v>2601.0782754224911</v>
      </c>
      <c r="AX133" s="72">
        <v>1168.9887458506691</v>
      </c>
      <c r="AY133" s="72">
        <v>143.68505271040002</v>
      </c>
      <c r="AZ133" s="72">
        <v>517.30882964402952</v>
      </c>
      <c r="BA133" s="72">
        <v>209.20566292865863</v>
      </c>
      <c r="BB133" s="72">
        <v>2567.9491871794667</v>
      </c>
      <c r="BC133" s="72">
        <v>439.8271113679541</v>
      </c>
      <c r="BD133" s="72">
        <v>357.72297601107704</v>
      </c>
      <c r="BE133" s="72">
        <v>1478.2691428520989</v>
      </c>
      <c r="BF133" s="72">
        <v>63.661345109196944</v>
      </c>
      <c r="BG133" s="72">
        <v>223.93235410784271</v>
      </c>
      <c r="BH133" s="72">
        <v>2071.9790015473636</v>
      </c>
      <c r="BI133" s="72">
        <v>29.526212236093635</v>
      </c>
      <c r="BJ133" s="72">
        <v>1301.4454882643849</v>
      </c>
      <c r="BK133" s="72">
        <v>0</v>
      </c>
      <c r="BL133" s="72">
        <v>0</v>
      </c>
      <c r="BM133" s="72">
        <v>0</v>
      </c>
      <c r="BN133" s="72">
        <v>0</v>
      </c>
      <c r="BO133" s="72">
        <v>0</v>
      </c>
      <c r="BP133" s="72">
        <v>0</v>
      </c>
      <c r="BQ133" s="72">
        <v>0</v>
      </c>
      <c r="BR133" s="72">
        <v>0</v>
      </c>
      <c r="BS133" s="72">
        <v>0</v>
      </c>
      <c r="BT133" s="72">
        <v>0</v>
      </c>
      <c r="BU133" s="72">
        <v>0</v>
      </c>
      <c r="BV133" s="72">
        <v>0</v>
      </c>
      <c r="BW133" s="72">
        <v>0</v>
      </c>
      <c r="BX133" s="72">
        <v>0</v>
      </c>
      <c r="BY133" s="72">
        <v>0</v>
      </c>
      <c r="BZ133" s="72">
        <v>0</v>
      </c>
      <c r="CA133" s="72">
        <v>0</v>
      </c>
      <c r="CB133" s="72">
        <v>0</v>
      </c>
      <c r="CC133" s="72">
        <v>0</v>
      </c>
      <c r="CD133" s="72">
        <v>0</v>
      </c>
      <c r="CE133" s="72">
        <v>0</v>
      </c>
      <c r="CF133" s="72">
        <v>0</v>
      </c>
      <c r="CG133" s="72">
        <v>0</v>
      </c>
      <c r="CH133" s="72">
        <v>0</v>
      </c>
      <c r="CI133" s="72">
        <v>0</v>
      </c>
      <c r="CJ133" s="72">
        <v>0</v>
      </c>
      <c r="CK133" s="72">
        <v>0</v>
      </c>
      <c r="CL133" s="72">
        <v>0</v>
      </c>
      <c r="CM133" s="72">
        <v>0</v>
      </c>
      <c r="CN133" s="72">
        <v>0</v>
      </c>
      <c r="CO133" s="72">
        <v>0</v>
      </c>
      <c r="CP133" s="72">
        <v>0</v>
      </c>
      <c r="CQ133" s="72">
        <v>0</v>
      </c>
      <c r="CR133" s="72">
        <v>0</v>
      </c>
      <c r="CS133" s="72">
        <v>0</v>
      </c>
      <c r="CT133" s="72">
        <v>0</v>
      </c>
      <c r="CU133" s="72">
        <v>0</v>
      </c>
      <c r="CV133" s="72">
        <v>0</v>
      </c>
      <c r="CW133" s="72">
        <v>0</v>
      </c>
      <c r="CX133" s="72">
        <v>0</v>
      </c>
      <c r="CY133" s="72">
        <v>0</v>
      </c>
      <c r="CZ133" s="72">
        <v>0</v>
      </c>
      <c r="DA133" s="72">
        <v>0</v>
      </c>
      <c r="DB133" s="72">
        <v>0</v>
      </c>
      <c r="DC133" s="72">
        <v>0</v>
      </c>
      <c r="DD133" s="72">
        <v>0</v>
      </c>
      <c r="DE133" s="72">
        <v>0</v>
      </c>
      <c r="DF133" s="72">
        <v>0</v>
      </c>
      <c r="DG133" s="72">
        <v>0</v>
      </c>
      <c r="DH133" s="72">
        <v>0</v>
      </c>
      <c r="DI133" s="72">
        <v>0</v>
      </c>
      <c r="DJ133" s="72">
        <v>0</v>
      </c>
      <c r="DK133" s="72">
        <v>0</v>
      </c>
      <c r="DL133" s="72">
        <v>0</v>
      </c>
      <c r="DM133" s="72">
        <v>0</v>
      </c>
      <c r="DN133" s="72">
        <v>0</v>
      </c>
      <c r="DO133" s="72">
        <v>0</v>
      </c>
      <c r="DP133" s="72">
        <v>0</v>
      </c>
      <c r="DQ133" s="72">
        <v>0</v>
      </c>
      <c r="DR133" s="72">
        <v>0</v>
      </c>
      <c r="DS133" s="72">
        <v>0</v>
      </c>
      <c r="DT133" s="72">
        <v>0</v>
      </c>
      <c r="DU133" s="72">
        <v>0</v>
      </c>
      <c r="DV133" s="72">
        <v>0</v>
      </c>
      <c r="DW133" s="72">
        <v>0</v>
      </c>
      <c r="DX133" s="72">
        <v>0</v>
      </c>
      <c r="DY133" s="72">
        <v>0</v>
      </c>
      <c r="DZ133" s="72">
        <v>0</v>
      </c>
      <c r="EA133" s="72">
        <v>0</v>
      </c>
      <c r="EB133" s="72">
        <v>0</v>
      </c>
      <c r="EC133" s="72">
        <v>0</v>
      </c>
      <c r="ED133" s="72">
        <v>0</v>
      </c>
      <c r="EE133" s="72">
        <v>0</v>
      </c>
      <c r="EF133" s="72">
        <v>0</v>
      </c>
      <c r="EG133" s="72">
        <v>0</v>
      </c>
      <c r="EH133" s="72">
        <v>0</v>
      </c>
      <c r="EI133" s="72">
        <v>0</v>
      </c>
      <c r="EJ133" s="72">
        <v>0</v>
      </c>
      <c r="EK133" s="72">
        <v>0</v>
      </c>
      <c r="EL133" s="72">
        <v>0</v>
      </c>
      <c r="EM133" s="72">
        <v>0</v>
      </c>
      <c r="EN133" s="72">
        <v>0</v>
      </c>
      <c r="EO133" s="72">
        <v>0</v>
      </c>
      <c r="EP133" s="72">
        <v>0</v>
      </c>
      <c r="EQ133" s="72">
        <v>0</v>
      </c>
      <c r="ER133" s="72">
        <v>0</v>
      </c>
      <c r="ES133" s="72">
        <v>0</v>
      </c>
      <c r="ET133" s="72">
        <v>0</v>
      </c>
      <c r="EU133" s="72">
        <v>0</v>
      </c>
      <c r="EV133" s="72">
        <v>0</v>
      </c>
      <c r="EW133" s="72">
        <v>0</v>
      </c>
      <c r="EX133" s="72">
        <v>0</v>
      </c>
      <c r="EY133" s="72">
        <v>0</v>
      </c>
      <c r="EZ133" s="72">
        <v>0</v>
      </c>
      <c r="FA133" s="72">
        <v>0</v>
      </c>
      <c r="FB133" s="72">
        <v>0</v>
      </c>
      <c r="FC133" s="72">
        <v>0</v>
      </c>
      <c r="FD133" s="72">
        <v>0</v>
      </c>
      <c r="FE133" s="72">
        <v>0</v>
      </c>
      <c r="FF133" s="72">
        <v>0</v>
      </c>
      <c r="FG133" s="72">
        <v>0</v>
      </c>
      <c r="FH133" s="72">
        <v>0</v>
      </c>
      <c r="FI133" s="72">
        <v>0</v>
      </c>
      <c r="FJ133" s="72">
        <v>0</v>
      </c>
      <c r="FK133" s="72">
        <v>0</v>
      </c>
      <c r="FL133" s="72">
        <v>0</v>
      </c>
      <c r="FM133" s="72">
        <v>0</v>
      </c>
      <c r="FN133" s="72">
        <v>0</v>
      </c>
      <c r="FO133" s="72">
        <v>0</v>
      </c>
      <c r="FP133" s="72">
        <v>0</v>
      </c>
      <c r="FQ133" s="72">
        <v>0</v>
      </c>
      <c r="FR133" s="72">
        <v>0</v>
      </c>
      <c r="FS133" s="72">
        <v>0</v>
      </c>
      <c r="FT133" s="72">
        <v>0</v>
      </c>
      <c r="FU133" s="72">
        <v>0</v>
      </c>
      <c r="FV133" s="74">
        <v>58.268896135576682</v>
      </c>
      <c r="FW133" s="74">
        <v>112.46134442500255</v>
      </c>
      <c r="FX133" s="74">
        <v>217.76477324420267</v>
      </c>
      <c r="FY133" s="74">
        <v>232.07294777101094</v>
      </c>
      <c r="FZ133" s="74">
        <v>406.70282759220487</v>
      </c>
      <c r="GA133" s="74">
        <v>936.06604231349331</v>
      </c>
      <c r="GB133" s="74">
        <v>905.5431116559306</v>
      </c>
      <c r="GC133" s="74">
        <v>1851.6073758317436</v>
      </c>
      <c r="GD133" s="74">
        <v>2346.6048272953749</v>
      </c>
      <c r="GE133" s="74">
        <v>750.76211453774715</v>
      </c>
      <c r="GF133" s="74">
        <v>700.81173261518359</v>
      </c>
      <c r="GG133" s="74">
        <v>1134.4572383426535</v>
      </c>
      <c r="GH133" s="74">
        <v>1736.8914890381081</v>
      </c>
      <c r="GI133" s="74">
        <v>1893.5782170711841</v>
      </c>
      <c r="GJ133" s="72">
        <v>0</v>
      </c>
      <c r="GK133" s="72">
        <v>0</v>
      </c>
      <c r="GL133" s="72">
        <v>0</v>
      </c>
      <c r="GM133" s="72">
        <v>0</v>
      </c>
      <c r="GN133" s="72">
        <v>0</v>
      </c>
      <c r="GO133" s="72">
        <v>24411.694572867713</v>
      </c>
      <c r="GP133" s="72">
        <v>234.42287861115119</v>
      </c>
      <c r="GQ133" s="72">
        <v>3043.2579761127004</v>
      </c>
      <c r="GR133" s="72">
        <f t="shared" ref="GR133:GR196" si="2">SUM(B133:GQ133)</f>
        <v>92464.8756721549</v>
      </c>
      <c r="GS133" s="72">
        <f>SUM(DZ$5:DZ$202)</f>
        <v>92464.875672154885</v>
      </c>
      <c r="GT133" s="73">
        <v>0</v>
      </c>
    </row>
    <row r="134" spans="1:202" outlineLevel="1" x14ac:dyDescent="0.2">
      <c r="A134" s="66" t="s">
        <v>1050</v>
      </c>
      <c r="B134" s="72">
        <v>0</v>
      </c>
      <c r="C134" s="72">
        <v>0</v>
      </c>
      <c r="D134" s="72">
        <v>0</v>
      </c>
      <c r="E134" s="72">
        <v>1393.8133529727502</v>
      </c>
      <c r="F134" s="72">
        <v>1057.2582723820917</v>
      </c>
      <c r="G134" s="72">
        <v>10066.836870861978</v>
      </c>
      <c r="H134" s="72">
        <v>499.57300362926435</v>
      </c>
      <c r="I134" s="72">
        <v>0</v>
      </c>
      <c r="J134" s="72">
        <v>0</v>
      </c>
      <c r="K134" s="72">
        <v>7.0669953812369064</v>
      </c>
      <c r="L134" s="72">
        <v>0</v>
      </c>
      <c r="M134" s="72">
        <v>0</v>
      </c>
      <c r="N134" s="72">
        <v>0</v>
      </c>
      <c r="O134" s="72">
        <v>0</v>
      </c>
      <c r="P134" s="72">
        <v>0</v>
      </c>
      <c r="Q134" s="72">
        <v>0</v>
      </c>
      <c r="R134" s="72">
        <v>0</v>
      </c>
      <c r="S134" s="72">
        <v>11.539681688320666</v>
      </c>
      <c r="T134" s="72">
        <v>2.1615842204672586</v>
      </c>
      <c r="U134" s="72">
        <v>0</v>
      </c>
      <c r="V134" s="72">
        <v>65.033200130551762</v>
      </c>
      <c r="W134" s="72">
        <v>57.308347633559613</v>
      </c>
      <c r="X134" s="72">
        <v>9.9753498228975221</v>
      </c>
      <c r="Y134" s="72">
        <v>14.626038479120989</v>
      </c>
      <c r="Z134" s="72">
        <v>8.3068975847315798</v>
      </c>
      <c r="AA134" s="72">
        <v>2398.2837673790636</v>
      </c>
      <c r="AB134" s="72">
        <v>16879.693817148265</v>
      </c>
      <c r="AC134" s="72">
        <v>1977.2697634526339</v>
      </c>
      <c r="AD134" s="72">
        <v>365.68488092213744</v>
      </c>
      <c r="AE134" s="72">
        <v>2942.3378186365399</v>
      </c>
      <c r="AF134" s="72">
        <v>289.88878798631839</v>
      </c>
      <c r="AG134" s="72">
        <v>27.430838585616652</v>
      </c>
      <c r="AH134" s="72">
        <v>72.836561485063143</v>
      </c>
      <c r="AI134" s="72">
        <v>9.5909890589757438</v>
      </c>
      <c r="AJ134" s="72">
        <v>11.173801670905837</v>
      </c>
      <c r="AK134" s="72">
        <v>41455.41289919323</v>
      </c>
      <c r="AL134" s="72">
        <v>0</v>
      </c>
      <c r="AM134" s="72">
        <v>0</v>
      </c>
      <c r="AN134" s="72">
        <v>0</v>
      </c>
      <c r="AO134" s="72">
        <v>75.931764403835757</v>
      </c>
      <c r="AP134" s="72">
        <v>0</v>
      </c>
      <c r="AQ134" s="72">
        <v>0</v>
      </c>
      <c r="AR134" s="72">
        <v>0</v>
      </c>
      <c r="AS134" s="72">
        <v>0</v>
      </c>
      <c r="AT134" s="72">
        <v>0</v>
      </c>
      <c r="AU134" s="72">
        <v>0</v>
      </c>
      <c r="AV134" s="72">
        <v>0</v>
      </c>
      <c r="AW134" s="72">
        <v>0</v>
      </c>
      <c r="AX134" s="72">
        <v>529.40921045179175</v>
      </c>
      <c r="AY134" s="72">
        <v>0</v>
      </c>
      <c r="AZ134" s="72">
        <v>0</v>
      </c>
      <c r="BA134" s="72">
        <v>0</v>
      </c>
      <c r="BB134" s="72">
        <v>0</v>
      </c>
      <c r="BC134" s="72">
        <v>264.5311983026877</v>
      </c>
      <c r="BD134" s="72">
        <v>16.380941075053602</v>
      </c>
      <c r="BE134" s="72">
        <v>32.798325724207523</v>
      </c>
      <c r="BF134" s="72">
        <v>0</v>
      </c>
      <c r="BG134" s="72">
        <v>0</v>
      </c>
      <c r="BH134" s="72">
        <v>527.21178136385993</v>
      </c>
      <c r="BI134" s="72">
        <v>0</v>
      </c>
      <c r="BJ134" s="72">
        <v>967.90310083051531</v>
      </c>
      <c r="BK134" s="72">
        <v>0</v>
      </c>
      <c r="BL134" s="72">
        <v>0</v>
      </c>
      <c r="BM134" s="72">
        <v>0</v>
      </c>
      <c r="BN134" s="72">
        <v>0</v>
      </c>
      <c r="BO134" s="72">
        <v>0</v>
      </c>
      <c r="BP134" s="72">
        <v>0</v>
      </c>
      <c r="BQ134" s="72">
        <v>0</v>
      </c>
      <c r="BR134" s="72">
        <v>0</v>
      </c>
      <c r="BS134" s="72">
        <v>0</v>
      </c>
      <c r="BT134" s="72">
        <v>0</v>
      </c>
      <c r="BU134" s="72">
        <v>0</v>
      </c>
      <c r="BV134" s="72">
        <v>0</v>
      </c>
      <c r="BW134" s="72">
        <v>0</v>
      </c>
      <c r="BX134" s="72">
        <v>0</v>
      </c>
      <c r="BY134" s="72">
        <v>0</v>
      </c>
      <c r="BZ134" s="72">
        <v>0</v>
      </c>
      <c r="CA134" s="72">
        <v>0</v>
      </c>
      <c r="CB134" s="72">
        <v>0</v>
      </c>
      <c r="CC134" s="72">
        <v>0</v>
      </c>
      <c r="CD134" s="72">
        <v>0</v>
      </c>
      <c r="CE134" s="72">
        <v>0</v>
      </c>
      <c r="CF134" s="72">
        <v>0</v>
      </c>
      <c r="CG134" s="72">
        <v>0</v>
      </c>
      <c r="CH134" s="72">
        <v>0</v>
      </c>
      <c r="CI134" s="72">
        <v>0</v>
      </c>
      <c r="CJ134" s="72">
        <v>0</v>
      </c>
      <c r="CK134" s="72">
        <v>0</v>
      </c>
      <c r="CL134" s="72">
        <v>0</v>
      </c>
      <c r="CM134" s="72">
        <v>0</v>
      </c>
      <c r="CN134" s="72">
        <v>0</v>
      </c>
      <c r="CO134" s="72">
        <v>0</v>
      </c>
      <c r="CP134" s="72">
        <v>0</v>
      </c>
      <c r="CQ134" s="72">
        <v>0</v>
      </c>
      <c r="CR134" s="72">
        <v>0</v>
      </c>
      <c r="CS134" s="72">
        <v>0</v>
      </c>
      <c r="CT134" s="72">
        <v>0</v>
      </c>
      <c r="CU134" s="72">
        <v>0</v>
      </c>
      <c r="CV134" s="72">
        <v>0</v>
      </c>
      <c r="CW134" s="72">
        <v>0</v>
      </c>
      <c r="CX134" s="72">
        <v>0</v>
      </c>
      <c r="CY134" s="72">
        <v>0</v>
      </c>
      <c r="CZ134" s="72">
        <v>0</v>
      </c>
      <c r="DA134" s="72">
        <v>0</v>
      </c>
      <c r="DB134" s="72">
        <v>0</v>
      </c>
      <c r="DC134" s="72">
        <v>0</v>
      </c>
      <c r="DD134" s="72">
        <v>0</v>
      </c>
      <c r="DE134" s="72">
        <v>0</v>
      </c>
      <c r="DF134" s="72">
        <v>0</v>
      </c>
      <c r="DG134" s="72">
        <v>0</v>
      </c>
      <c r="DH134" s="72">
        <v>0</v>
      </c>
      <c r="DI134" s="72">
        <v>0</v>
      </c>
      <c r="DJ134" s="72">
        <v>0</v>
      </c>
      <c r="DK134" s="72">
        <v>0</v>
      </c>
      <c r="DL134" s="72">
        <v>0</v>
      </c>
      <c r="DM134" s="72">
        <v>0</v>
      </c>
      <c r="DN134" s="72">
        <v>0</v>
      </c>
      <c r="DO134" s="72">
        <v>0</v>
      </c>
      <c r="DP134" s="72">
        <v>0</v>
      </c>
      <c r="DQ134" s="72">
        <v>0</v>
      </c>
      <c r="DR134" s="72">
        <v>0</v>
      </c>
      <c r="DS134" s="72">
        <v>0</v>
      </c>
      <c r="DT134" s="72">
        <v>0</v>
      </c>
      <c r="DU134" s="72">
        <v>0</v>
      </c>
      <c r="DV134" s="72">
        <v>0</v>
      </c>
      <c r="DW134" s="72">
        <v>0</v>
      </c>
      <c r="DX134" s="72">
        <v>0</v>
      </c>
      <c r="DY134" s="72">
        <v>0</v>
      </c>
      <c r="DZ134" s="72">
        <v>0</v>
      </c>
      <c r="EA134" s="72">
        <v>0</v>
      </c>
      <c r="EB134" s="72">
        <v>0</v>
      </c>
      <c r="EC134" s="72">
        <v>0</v>
      </c>
      <c r="ED134" s="72">
        <v>0</v>
      </c>
      <c r="EE134" s="72">
        <v>0</v>
      </c>
      <c r="EF134" s="72">
        <v>0</v>
      </c>
      <c r="EG134" s="72">
        <v>0</v>
      </c>
      <c r="EH134" s="72">
        <v>0</v>
      </c>
      <c r="EI134" s="72">
        <v>0</v>
      </c>
      <c r="EJ134" s="72">
        <v>0</v>
      </c>
      <c r="EK134" s="72">
        <v>0</v>
      </c>
      <c r="EL134" s="72">
        <v>0</v>
      </c>
      <c r="EM134" s="72">
        <v>0</v>
      </c>
      <c r="EN134" s="72">
        <v>0</v>
      </c>
      <c r="EO134" s="72">
        <v>0</v>
      </c>
      <c r="EP134" s="72">
        <v>0</v>
      </c>
      <c r="EQ134" s="72">
        <v>0</v>
      </c>
      <c r="ER134" s="72">
        <v>0</v>
      </c>
      <c r="ES134" s="72">
        <v>0</v>
      </c>
      <c r="ET134" s="72">
        <v>0</v>
      </c>
      <c r="EU134" s="72">
        <v>0</v>
      </c>
      <c r="EV134" s="72">
        <v>0</v>
      </c>
      <c r="EW134" s="72">
        <v>0</v>
      </c>
      <c r="EX134" s="72">
        <v>0</v>
      </c>
      <c r="EY134" s="72">
        <v>0</v>
      </c>
      <c r="EZ134" s="72">
        <v>0</v>
      </c>
      <c r="FA134" s="72">
        <v>0</v>
      </c>
      <c r="FB134" s="72">
        <v>0</v>
      </c>
      <c r="FC134" s="72">
        <v>0</v>
      </c>
      <c r="FD134" s="72">
        <v>0</v>
      </c>
      <c r="FE134" s="72">
        <v>0</v>
      </c>
      <c r="FF134" s="72">
        <v>0</v>
      </c>
      <c r="FG134" s="72">
        <v>0</v>
      </c>
      <c r="FH134" s="72">
        <v>0</v>
      </c>
      <c r="FI134" s="72">
        <v>0</v>
      </c>
      <c r="FJ134" s="72">
        <v>0</v>
      </c>
      <c r="FK134" s="72">
        <v>0</v>
      </c>
      <c r="FL134" s="72">
        <v>0</v>
      </c>
      <c r="FM134" s="72">
        <v>0</v>
      </c>
      <c r="FN134" s="72">
        <v>0</v>
      </c>
      <c r="FO134" s="72">
        <v>0</v>
      </c>
      <c r="FP134" s="72">
        <v>0</v>
      </c>
      <c r="FQ134" s="72">
        <v>0</v>
      </c>
      <c r="FR134" s="72">
        <v>0</v>
      </c>
      <c r="FS134" s="72">
        <v>0</v>
      </c>
      <c r="FT134" s="72">
        <v>0</v>
      </c>
      <c r="FU134" s="72">
        <v>0</v>
      </c>
      <c r="FV134" s="74">
        <v>84.726394036399199</v>
      </c>
      <c r="FW134" s="74">
        <v>130.19516276168014</v>
      </c>
      <c r="FX134" s="74">
        <v>279.19280036503307</v>
      </c>
      <c r="FY134" s="74">
        <v>327.55547697817281</v>
      </c>
      <c r="FZ134" s="74">
        <v>362.16319773274967</v>
      </c>
      <c r="GA134" s="74">
        <v>1400.3700848902886</v>
      </c>
      <c r="GB134" s="74">
        <v>1057.2278031014484</v>
      </c>
      <c r="GC134" s="74">
        <v>1251.3742665969598</v>
      </c>
      <c r="GD134" s="74">
        <v>3361.6422320140755</v>
      </c>
      <c r="GE134" s="74">
        <v>441.96590655927474</v>
      </c>
      <c r="GF134" s="74">
        <v>416.72413203525747</v>
      </c>
      <c r="GG134" s="74">
        <v>836.00492642272525</v>
      </c>
      <c r="GH134" s="74">
        <v>2077.3392227541085</v>
      </c>
      <c r="GI134" s="74">
        <v>1061.8286140170226</v>
      </c>
      <c r="GJ134" s="72">
        <v>0</v>
      </c>
      <c r="GK134" s="72">
        <v>0</v>
      </c>
      <c r="GL134" s="72">
        <v>0</v>
      </c>
      <c r="GM134" s="72">
        <v>0</v>
      </c>
      <c r="GN134" s="72">
        <v>0</v>
      </c>
      <c r="GO134" s="72">
        <v>3911.8493796488001</v>
      </c>
      <c r="GP134" s="72">
        <v>1182.7053570727917</v>
      </c>
      <c r="GQ134" s="72">
        <v>15369.645221267165</v>
      </c>
      <c r="GR134" s="72">
        <f t="shared" si="2"/>
        <v>115589.78002071165</v>
      </c>
      <c r="GS134" s="72">
        <f>SUM(EA$5:EA$202)</f>
        <v>115589.78002071165</v>
      </c>
      <c r="GT134" s="73">
        <v>0</v>
      </c>
    </row>
    <row r="135" spans="1:202" outlineLevel="1" x14ac:dyDescent="0.2">
      <c r="A135" s="66" t="s">
        <v>1055</v>
      </c>
      <c r="B135" s="72">
        <v>0</v>
      </c>
      <c r="C135" s="72">
        <v>0</v>
      </c>
      <c r="D135" s="72">
        <v>0</v>
      </c>
      <c r="E135" s="72">
        <v>0</v>
      </c>
      <c r="F135" s="72">
        <v>0</v>
      </c>
      <c r="G135" s="72">
        <v>0</v>
      </c>
      <c r="H135" s="72">
        <v>0</v>
      </c>
      <c r="I135" s="72">
        <v>0</v>
      </c>
      <c r="J135" s="72">
        <v>0</v>
      </c>
      <c r="K135" s="72">
        <v>0</v>
      </c>
      <c r="L135" s="72">
        <v>0</v>
      </c>
      <c r="M135" s="72">
        <v>0</v>
      </c>
      <c r="N135" s="72">
        <v>0</v>
      </c>
      <c r="O135" s="72">
        <v>0</v>
      </c>
      <c r="P135" s="72">
        <v>8.0638264122720044E-2</v>
      </c>
      <c r="Q135" s="72">
        <v>0.15871326059540064</v>
      </c>
      <c r="R135" s="72">
        <v>0</v>
      </c>
      <c r="S135" s="72">
        <v>0</v>
      </c>
      <c r="T135" s="72">
        <v>0</v>
      </c>
      <c r="U135" s="72">
        <v>0</v>
      </c>
      <c r="V135" s="72">
        <v>8.3843857707635649</v>
      </c>
      <c r="W135" s="72">
        <v>0</v>
      </c>
      <c r="X135" s="72">
        <v>0</v>
      </c>
      <c r="Y135" s="72">
        <v>0</v>
      </c>
      <c r="Z135" s="72">
        <v>0</v>
      </c>
      <c r="AA135" s="72">
        <v>213.31713940839978</v>
      </c>
      <c r="AB135" s="72">
        <v>1149.1291858985599</v>
      </c>
      <c r="AC135" s="72">
        <v>7844.5669826989615</v>
      </c>
      <c r="AD135" s="72">
        <v>1074.4994604047452</v>
      </c>
      <c r="AE135" s="72">
        <v>45.495859841662757</v>
      </c>
      <c r="AF135" s="72">
        <v>30.992999992434257</v>
      </c>
      <c r="AG135" s="72">
        <v>0</v>
      </c>
      <c r="AH135" s="72">
        <v>47.837799487434168</v>
      </c>
      <c r="AI135" s="72">
        <v>2.254958112452853</v>
      </c>
      <c r="AJ135" s="72">
        <v>3.2544297496007295</v>
      </c>
      <c r="AK135" s="72">
        <v>0</v>
      </c>
      <c r="AL135" s="72">
        <v>0</v>
      </c>
      <c r="AM135" s="72">
        <v>0</v>
      </c>
      <c r="AN135" s="72">
        <v>0</v>
      </c>
      <c r="AO135" s="72">
        <v>0</v>
      </c>
      <c r="AP135" s="72">
        <v>0</v>
      </c>
      <c r="AQ135" s="72">
        <v>0</v>
      </c>
      <c r="AR135" s="72">
        <v>352.81456400925987</v>
      </c>
      <c r="AS135" s="72">
        <v>0</v>
      </c>
      <c r="AT135" s="72">
        <v>62139.441112521796</v>
      </c>
      <c r="AU135" s="72">
        <v>0</v>
      </c>
      <c r="AV135" s="72">
        <v>0</v>
      </c>
      <c r="AW135" s="72">
        <v>0</v>
      </c>
      <c r="AX135" s="72">
        <v>0</v>
      </c>
      <c r="AY135" s="72">
        <v>0</v>
      </c>
      <c r="AZ135" s="72">
        <v>1061.1959872423934</v>
      </c>
      <c r="BA135" s="72">
        <v>0</v>
      </c>
      <c r="BB135" s="72">
        <v>0</v>
      </c>
      <c r="BC135" s="72">
        <v>126.62270326377386</v>
      </c>
      <c r="BD135" s="72">
        <v>9.0966831540578283</v>
      </c>
      <c r="BE135" s="72">
        <v>48.794118366780509</v>
      </c>
      <c r="BF135" s="72">
        <v>0</v>
      </c>
      <c r="BG135" s="72">
        <v>83.653674821540804</v>
      </c>
      <c r="BH135" s="72">
        <v>30.834997528844049</v>
      </c>
      <c r="BI135" s="72">
        <v>0</v>
      </c>
      <c r="BJ135" s="72">
        <v>84.57614594789554</v>
      </c>
      <c r="BK135" s="72">
        <v>0</v>
      </c>
      <c r="BL135" s="72">
        <v>0</v>
      </c>
      <c r="BM135" s="72">
        <v>0</v>
      </c>
      <c r="BN135" s="72">
        <v>0</v>
      </c>
      <c r="BO135" s="72">
        <v>0</v>
      </c>
      <c r="BP135" s="72">
        <v>0</v>
      </c>
      <c r="BQ135" s="72">
        <v>0</v>
      </c>
      <c r="BR135" s="72">
        <v>0</v>
      </c>
      <c r="BS135" s="72">
        <v>0</v>
      </c>
      <c r="BT135" s="72">
        <v>0</v>
      </c>
      <c r="BU135" s="72">
        <v>0</v>
      </c>
      <c r="BV135" s="72">
        <v>0</v>
      </c>
      <c r="BW135" s="72">
        <v>0</v>
      </c>
      <c r="BX135" s="72">
        <v>0</v>
      </c>
      <c r="BY135" s="72">
        <v>0</v>
      </c>
      <c r="BZ135" s="72">
        <v>0</v>
      </c>
      <c r="CA135" s="72">
        <v>0</v>
      </c>
      <c r="CB135" s="72">
        <v>0</v>
      </c>
      <c r="CC135" s="72">
        <v>0</v>
      </c>
      <c r="CD135" s="72">
        <v>0</v>
      </c>
      <c r="CE135" s="72">
        <v>0</v>
      </c>
      <c r="CF135" s="72">
        <v>0</v>
      </c>
      <c r="CG135" s="72">
        <v>0</v>
      </c>
      <c r="CH135" s="72">
        <v>0</v>
      </c>
      <c r="CI135" s="72">
        <v>0</v>
      </c>
      <c r="CJ135" s="72">
        <v>0</v>
      </c>
      <c r="CK135" s="72">
        <v>0</v>
      </c>
      <c r="CL135" s="72">
        <v>0</v>
      </c>
      <c r="CM135" s="72">
        <v>0</v>
      </c>
      <c r="CN135" s="72">
        <v>0</v>
      </c>
      <c r="CO135" s="72">
        <v>0</v>
      </c>
      <c r="CP135" s="72">
        <v>0</v>
      </c>
      <c r="CQ135" s="72">
        <v>0</v>
      </c>
      <c r="CR135" s="72">
        <v>0</v>
      </c>
      <c r="CS135" s="72">
        <v>0</v>
      </c>
      <c r="CT135" s="72">
        <v>0</v>
      </c>
      <c r="CU135" s="72">
        <v>0</v>
      </c>
      <c r="CV135" s="72">
        <v>0</v>
      </c>
      <c r="CW135" s="72">
        <v>0</v>
      </c>
      <c r="CX135" s="72">
        <v>0</v>
      </c>
      <c r="CY135" s="72">
        <v>0</v>
      </c>
      <c r="CZ135" s="72">
        <v>0</v>
      </c>
      <c r="DA135" s="72">
        <v>0</v>
      </c>
      <c r="DB135" s="72">
        <v>0</v>
      </c>
      <c r="DC135" s="72">
        <v>0</v>
      </c>
      <c r="DD135" s="72">
        <v>0</v>
      </c>
      <c r="DE135" s="72">
        <v>0</v>
      </c>
      <c r="DF135" s="72">
        <v>0</v>
      </c>
      <c r="DG135" s="72">
        <v>0</v>
      </c>
      <c r="DH135" s="72">
        <v>0</v>
      </c>
      <c r="DI135" s="72">
        <v>0</v>
      </c>
      <c r="DJ135" s="72">
        <v>0</v>
      </c>
      <c r="DK135" s="72">
        <v>0</v>
      </c>
      <c r="DL135" s="72">
        <v>0</v>
      </c>
      <c r="DM135" s="72">
        <v>0</v>
      </c>
      <c r="DN135" s="72">
        <v>0</v>
      </c>
      <c r="DO135" s="72">
        <v>0</v>
      </c>
      <c r="DP135" s="72">
        <v>0</v>
      </c>
      <c r="DQ135" s="72">
        <v>0</v>
      </c>
      <c r="DR135" s="72">
        <v>0</v>
      </c>
      <c r="DS135" s="72">
        <v>0</v>
      </c>
      <c r="DT135" s="72">
        <v>0</v>
      </c>
      <c r="DU135" s="72">
        <v>0</v>
      </c>
      <c r="DV135" s="72">
        <v>0</v>
      </c>
      <c r="DW135" s="72">
        <v>0</v>
      </c>
      <c r="DX135" s="72">
        <v>0</v>
      </c>
      <c r="DY135" s="72">
        <v>0</v>
      </c>
      <c r="DZ135" s="72">
        <v>0</v>
      </c>
      <c r="EA135" s="72">
        <v>0</v>
      </c>
      <c r="EB135" s="72">
        <v>0</v>
      </c>
      <c r="EC135" s="72">
        <v>0</v>
      </c>
      <c r="ED135" s="72">
        <v>0</v>
      </c>
      <c r="EE135" s="72">
        <v>0</v>
      </c>
      <c r="EF135" s="72">
        <v>0</v>
      </c>
      <c r="EG135" s="72">
        <v>0</v>
      </c>
      <c r="EH135" s="72">
        <v>0</v>
      </c>
      <c r="EI135" s="72">
        <v>0</v>
      </c>
      <c r="EJ135" s="72">
        <v>0</v>
      </c>
      <c r="EK135" s="72">
        <v>0</v>
      </c>
      <c r="EL135" s="72">
        <v>0</v>
      </c>
      <c r="EM135" s="72">
        <v>0</v>
      </c>
      <c r="EN135" s="72">
        <v>0</v>
      </c>
      <c r="EO135" s="72">
        <v>0</v>
      </c>
      <c r="EP135" s="72">
        <v>0</v>
      </c>
      <c r="EQ135" s="72">
        <v>0</v>
      </c>
      <c r="ER135" s="72">
        <v>0</v>
      </c>
      <c r="ES135" s="72">
        <v>0</v>
      </c>
      <c r="ET135" s="72">
        <v>0</v>
      </c>
      <c r="EU135" s="72">
        <v>0</v>
      </c>
      <c r="EV135" s="72">
        <v>0</v>
      </c>
      <c r="EW135" s="72">
        <v>0</v>
      </c>
      <c r="EX135" s="72">
        <v>0</v>
      </c>
      <c r="EY135" s="72">
        <v>0</v>
      </c>
      <c r="EZ135" s="72">
        <v>0</v>
      </c>
      <c r="FA135" s="72">
        <v>0</v>
      </c>
      <c r="FB135" s="72">
        <v>0</v>
      </c>
      <c r="FC135" s="72">
        <v>0</v>
      </c>
      <c r="FD135" s="72">
        <v>0</v>
      </c>
      <c r="FE135" s="72">
        <v>0</v>
      </c>
      <c r="FF135" s="72">
        <v>0</v>
      </c>
      <c r="FG135" s="72">
        <v>0</v>
      </c>
      <c r="FH135" s="72">
        <v>0</v>
      </c>
      <c r="FI135" s="72">
        <v>0</v>
      </c>
      <c r="FJ135" s="72">
        <v>0</v>
      </c>
      <c r="FK135" s="72">
        <v>0</v>
      </c>
      <c r="FL135" s="72">
        <v>0</v>
      </c>
      <c r="FM135" s="72">
        <v>0</v>
      </c>
      <c r="FN135" s="72">
        <v>0</v>
      </c>
      <c r="FO135" s="72">
        <v>0</v>
      </c>
      <c r="FP135" s="72">
        <v>0</v>
      </c>
      <c r="FQ135" s="72">
        <v>0</v>
      </c>
      <c r="FR135" s="72">
        <v>0</v>
      </c>
      <c r="FS135" s="72">
        <v>0</v>
      </c>
      <c r="FT135" s="72">
        <v>0</v>
      </c>
      <c r="FU135" s="72">
        <v>0</v>
      </c>
      <c r="FV135" s="74">
        <v>1482.3878740758682</v>
      </c>
      <c r="FW135" s="74">
        <v>2076.0453464135462</v>
      </c>
      <c r="FX135" s="74">
        <v>2599.5465324670899</v>
      </c>
      <c r="FY135" s="74">
        <v>3254.2392387965642</v>
      </c>
      <c r="FZ135" s="74">
        <v>3574.0816032650309</v>
      </c>
      <c r="GA135" s="74">
        <v>4451.3455791398637</v>
      </c>
      <c r="GB135" s="74">
        <v>5786.3307205884894</v>
      </c>
      <c r="GC135" s="74">
        <v>7921.4878924941586</v>
      </c>
      <c r="GD135" s="74">
        <v>9368.3363378124723</v>
      </c>
      <c r="GE135" s="74">
        <v>2515.8835482274026</v>
      </c>
      <c r="GF135" s="74">
        <v>2346.6698082458938</v>
      </c>
      <c r="GG135" s="74">
        <v>3358.1193449547141</v>
      </c>
      <c r="GH135" s="74">
        <v>4698.782646947112</v>
      </c>
      <c r="GI135" s="74">
        <v>3751.0549425724785</v>
      </c>
      <c r="GJ135" s="72">
        <v>0</v>
      </c>
      <c r="GK135" s="72">
        <v>0</v>
      </c>
      <c r="GL135" s="72">
        <v>0</v>
      </c>
      <c r="GM135" s="72">
        <v>0</v>
      </c>
      <c r="GN135" s="72">
        <v>0</v>
      </c>
      <c r="GO135" s="72">
        <v>125297.86945078861</v>
      </c>
      <c r="GP135" s="72">
        <v>-14242.858954519259</v>
      </c>
      <c r="GQ135" s="72">
        <v>8437.0472075688631</v>
      </c>
      <c r="GR135" s="72">
        <f t="shared" si="2"/>
        <v>251033.37165958495</v>
      </c>
      <c r="GS135" s="72">
        <f>SUM(EB$5:EB$202)</f>
        <v>251033.37165958493</v>
      </c>
      <c r="GT135" s="73">
        <v>0</v>
      </c>
    </row>
    <row r="136" spans="1:202" outlineLevel="1" x14ac:dyDescent="0.2">
      <c r="A136" s="66" t="s">
        <v>1060</v>
      </c>
      <c r="B136" s="72">
        <v>0</v>
      </c>
      <c r="C136" s="72">
        <v>0</v>
      </c>
      <c r="D136" s="72">
        <v>0</v>
      </c>
      <c r="E136" s="72">
        <v>0</v>
      </c>
      <c r="F136" s="72">
        <v>0</v>
      </c>
      <c r="G136" s="72">
        <v>0</v>
      </c>
      <c r="H136" s="72">
        <v>0</v>
      </c>
      <c r="I136" s="72">
        <v>0</v>
      </c>
      <c r="J136" s="72">
        <v>0</v>
      </c>
      <c r="K136" s="72">
        <v>0</v>
      </c>
      <c r="L136" s="72">
        <v>0</v>
      </c>
      <c r="M136" s="72">
        <v>0</v>
      </c>
      <c r="N136" s="72">
        <v>0</v>
      </c>
      <c r="O136" s="72">
        <v>0</v>
      </c>
      <c r="P136" s="72">
        <v>0</v>
      </c>
      <c r="Q136" s="72">
        <v>0</v>
      </c>
      <c r="R136" s="72">
        <v>0</v>
      </c>
      <c r="S136" s="72">
        <v>0</v>
      </c>
      <c r="T136" s="72">
        <v>2.878174091551422</v>
      </c>
      <c r="U136" s="72">
        <v>0</v>
      </c>
      <c r="V136" s="72">
        <v>0</v>
      </c>
      <c r="W136" s="72">
        <v>0</v>
      </c>
      <c r="X136" s="72">
        <v>0</v>
      </c>
      <c r="Y136" s="72">
        <v>0</v>
      </c>
      <c r="Z136" s="72">
        <v>0</v>
      </c>
      <c r="AA136" s="72">
        <v>0</v>
      </c>
      <c r="AB136" s="72">
        <v>0.55622911984020573</v>
      </c>
      <c r="AC136" s="72">
        <v>0</v>
      </c>
      <c r="AD136" s="72">
        <v>859.39107333501238</v>
      </c>
      <c r="AE136" s="72">
        <v>89.989390477168683</v>
      </c>
      <c r="AF136" s="72">
        <v>2.5496048353850256</v>
      </c>
      <c r="AG136" s="72">
        <v>0</v>
      </c>
      <c r="AH136" s="72">
        <v>1.6095014385496116</v>
      </c>
      <c r="AI136" s="72">
        <v>2.9347911607523161</v>
      </c>
      <c r="AJ136" s="72">
        <v>3.3680806201074791</v>
      </c>
      <c r="AK136" s="72">
        <v>0</v>
      </c>
      <c r="AL136" s="72">
        <v>0</v>
      </c>
      <c r="AM136" s="72">
        <v>0</v>
      </c>
      <c r="AN136" s="72">
        <v>0</v>
      </c>
      <c r="AO136" s="72">
        <v>0</v>
      </c>
      <c r="AP136" s="72">
        <v>0</v>
      </c>
      <c r="AQ136" s="72">
        <v>0</v>
      </c>
      <c r="AR136" s="72">
        <v>0</v>
      </c>
      <c r="AS136" s="72">
        <v>0</v>
      </c>
      <c r="AT136" s="72">
        <v>0</v>
      </c>
      <c r="AU136" s="72">
        <v>0</v>
      </c>
      <c r="AV136" s="72">
        <v>0</v>
      </c>
      <c r="AW136" s="72">
        <v>0</v>
      </c>
      <c r="AX136" s="72">
        <v>0</v>
      </c>
      <c r="AY136" s="72">
        <v>0</v>
      </c>
      <c r="AZ136" s="72">
        <v>0</v>
      </c>
      <c r="BA136" s="72">
        <v>0</v>
      </c>
      <c r="BB136" s="72">
        <v>0</v>
      </c>
      <c r="BC136" s="72">
        <v>221.90091203566342</v>
      </c>
      <c r="BD136" s="72">
        <v>35.517567778095589</v>
      </c>
      <c r="BE136" s="72">
        <v>19713.49676063826</v>
      </c>
      <c r="BF136" s="72">
        <v>0</v>
      </c>
      <c r="BG136" s="72">
        <v>0</v>
      </c>
      <c r="BH136" s="72">
        <v>0</v>
      </c>
      <c r="BI136" s="72">
        <v>0</v>
      </c>
      <c r="BJ136" s="72">
        <v>0</v>
      </c>
      <c r="BK136" s="72">
        <v>0</v>
      </c>
      <c r="BL136" s="72">
        <v>0</v>
      </c>
      <c r="BM136" s="72">
        <v>0</v>
      </c>
      <c r="BN136" s="72">
        <v>0</v>
      </c>
      <c r="BO136" s="72">
        <v>0</v>
      </c>
      <c r="BP136" s="72">
        <v>0</v>
      </c>
      <c r="BQ136" s="72">
        <v>0</v>
      </c>
      <c r="BR136" s="72">
        <v>0</v>
      </c>
      <c r="BS136" s="72">
        <v>0</v>
      </c>
      <c r="BT136" s="72">
        <v>0</v>
      </c>
      <c r="BU136" s="72">
        <v>0</v>
      </c>
      <c r="BV136" s="72">
        <v>0</v>
      </c>
      <c r="BW136" s="72">
        <v>0</v>
      </c>
      <c r="BX136" s="72">
        <v>0</v>
      </c>
      <c r="BY136" s="72">
        <v>0</v>
      </c>
      <c r="BZ136" s="72">
        <v>0</v>
      </c>
      <c r="CA136" s="72">
        <v>0</v>
      </c>
      <c r="CB136" s="72">
        <v>0</v>
      </c>
      <c r="CC136" s="72">
        <v>0</v>
      </c>
      <c r="CD136" s="72">
        <v>0</v>
      </c>
      <c r="CE136" s="72">
        <v>0</v>
      </c>
      <c r="CF136" s="72">
        <v>0</v>
      </c>
      <c r="CG136" s="72">
        <v>0</v>
      </c>
      <c r="CH136" s="72">
        <v>0</v>
      </c>
      <c r="CI136" s="72">
        <v>0</v>
      </c>
      <c r="CJ136" s="72">
        <v>0</v>
      </c>
      <c r="CK136" s="72">
        <v>0</v>
      </c>
      <c r="CL136" s="72">
        <v>0</v>
      </c>
      <c r="CM136" s="72">
        <v>0</v>
      </c>
      <c r="CN136" s="72">
        <v>0</v>
      </c>
      <c r="CO136" s="72">
        <v>0</v>
      </c>
      <c r="CP136" s="72">
        <v>0</v>
      </c>
      <c r="CQ136" s="72">
        <v>0</v>
      </c>
      <c r="CR136" s="72">
        <v>0</v>
      </c>
      <c r="CS136" s="72">
        <v>0</v>
      </c>
      <c r="CT136" s="72">
        <v>0</v>
      </c>
      <c r="CU136" s="72">
        <v>0</v>
      </c>
      <c r="CV136" s="72">
        <v>0</v>
      </c>
      <c r="CW136" s="72">
        <v>0</v>
      </c>
      <c r="CX136" s="72">
        <v>0</v>
      </c>
      <c r="CY136" s="72">
        <v>0</v>
      </c>
      <c r="CZ136" s="72">
        <v>0</v>
      </c>
      <c r="DA136" s="72">
        <v>0</v>
      </c>
      <c r="DB136" s="72">
        <v>0</v>
      </c>
      <c r="DC136" s="72">
        <v>0</v>
      </c>
      <c r="DD136" s="72">
        <v>0</v>
      </c>
      <c r="DE136" s="72">
        <v>0</v>
      </c>
      <c r="DF136" s="72">
        <v>0</v>
      </c>
      <c r="DG136" s="72">
        <v>0</v>
      </c>
      <c r="DH136" s="72">
        <v>0</v>
      </c>
      <c r="DI136" s="72">
        <v>0</v>
      </c>
      <c r="DJ136" s="72">
        <v>0</v>
      </c>
      <c r="DK136" s="72">
        <v>0</v>
      </c>
      <c r="DL136" s="72">
        <v>0</v>
      </c>
      <c r="DM136" s="72">
        <v>0</v>
      </c>
      <c r="DN136" s="72">
        <v>0</v>
      </c>
      <c r="DO136" s="72">
        <v>0</v>
      </c>
      <c r="DP136" s="72">
        <v>0</v>
      </c>
      <c r="DQ136" s="72">
        <v>0</v>
      </c>
      <c r="DR136" s="72">
        <v>0</v>
      </c>
      <c r="DS136" s="72">
        <v>0</v>
      </c>
      <c r="DT136" s="72">
        <v>0</v>
      </c>
      <c r="DU136" s="72">
        <v>0</v>
      </c>
      <c r="DV136" s="72">
        <v>0</v>
      </c>
      <c r="DW136" s="72">
        <v>0</v>
      </c>
      <c r="DX136" s="72">
        <v>0</v>
      </c>
      <c r="DY136" s="72">
        <v>0</v>
      </c>
      <c r="DZ136" s="72">
        <v>0</v>
      </c>
      <c r="EA136" s="72">
        <v>0</v>
      </c>
      <c r="EB136" s="72">
        <v>0</v>
      </c>
      <c r="EC136" s="72">
        <v>0</v>
      </c>
      <c r="ED136" s="72">
        <v>0</v>
      </c>
      <c r="EE136" s="72">
        <v>0</v>
      </c>
      <c r="EF136" s="72">
        <v>0</v>
      </c>
      <c r="EG136" s="72">
        <v>0</v>
      </c>
      <c r="EH136" s="72">
        <v>0</v>
      </c>
      <c r="EI136" s="72">
        <v>0</v>
      </c>
      <c r="EJ136" s="72">
        <v>0</v>
      </c>
      <c r="EK136" s="72">
        <v>0</v>
      </c>
      <c r="EL136" s="72">
        <v>0</v>
      </c>
      <c r="EM136" s="72">
        <v>0</v>
      </c>
      <c r="EN136" s="72">
        <v>0</v>
      </c>
      <c r="EO136" s="72">
        <v>0</v>
      </c>
      <c r="EP136" s="72">
        <v>0</v>
      </c>
      <c r="EQ136" s="72">
        <v>0</v>
      </c>
      <c r="ER136" s="72">
        <v>0</v>
      </c>
      <c r="ES136" s="72">
        <v>0</v>
      </c>
      <c r="ET136" s="72">
        <v>0</v>
      </c>
      <c r="EU136" s="72">
        <v>0</v>
      </c>
      <c r="EV136" s="72">
        <v>0</v>
      </c>
      <c r="EW136" s="72">
        <v>0</v>
      </c>
      <c r="EX136" s="72">
        <v>0</v>
      </c>
      <c r="EY136" s="72">
        <v>0</v>
      </c>
      <c r="EZ136" s="72">
        <v>0</v>
      </c>
      <c r="FA136" s="72">
        <v>0</v>
      </c>
      <c r="FB136" s="72">
        <v>0</v>
      </c>
      <c r="FC136" s="72">
        <v>0</v>
      </c>
      <c r="FD136" s="72">
        <v>0</v>
      </c>
      <c r="FE136" s="72">
        <v>0</v>
      </c>
      <c r="FF136" s="72">
        <v>0</v>
      </c>
      <c r="FG136" s="72">
        <v>0</v>
      </c>
      <c r="FH136" s="72">
        <v>0</v>
      </c>
      <c r="FI136" s="72">
        <v>0</v>
      </c>
      <c r="FJ136" s="72">
        <v>0</v>
      </c>
      <c r="FK136" s="72">
        <v>0</v>
      </c>
      <c r="FL136" s="72">
        <v>0</v>
      </c>
      <c r="FM136" s="72">
        <v>0</v>
      </c>
      <c r="FN136" s="72">
        <v>0</v>
      </c>
      <c r="FO136" s="72">
        <v>0</v>
      </c>
      <c r="FP136" s="72">
        <v>0</v>
      </c>
      <c r="FQ136" s="72">
        <v>0</v>
      </c>
      <c r="FR136" s="72">
        <v>0</v>
      </c>
      <c r="FS136" s="72">
        <v>0</v>
      </c>
      <c r="FT136" s="72">
        <v>0</v>
      </c>
      <c r="FU136" s="72">
        <v>0</v>
      </c>
      <c r="FV136" s="74">
        <v>65.109314506831254</v>
      </c>
      <c r="FW136" s="74">
        <v>126.7588980994261</v>
      </c>
      <c r="FX136" s="74">
        <v>145.51169141481722</v>
      </c>
      <c r="FY136" s="74">
        <v>231.34950840772404</v>
      </c>
      <c r="FZ136" s="74">
        <v>447.9050418512694</v>
      </c>
      <c r="GA136" s="74">
        <v>568.74201605456926</v>
      </c>
      <c r="GB136" s="74">
        <v>961.39678770944454</v>
      </c>
      <c r="GC136" s="74">
        <v>1586.0430725611534</v>
      </c>
      <c r="GD136" s="74">
        <v>3324.3947300833429</v>
      </c>
      <c r="GE136" s="74">
        <v>1020.4093020389165</v>
      </c>
      <c r="GF136" s="74">
        <v>456.25047775904278</v>
      </c>
      <c r="GG136" s="74">
        <v>651.06810952105172</v>
      </c>
      <c r="GH136" s="74">
        <v>1741.847974935253</v>
      </c>
      <c r="GI136" s="74">
        <v>4411.5171894690857</v>
      </c>
      <c r="GJ136" s="72">
        <v>0</v>
      </c>
      <c r="GK136" s="72">
        <v>0</v>
      </c>
      <c r="GL136" s="72">
        <v>0</v>
      </c>
      <c r="GM136" s="72">
        <v>0</v>
      </c>
      <c r="GN136" s="72">
        <v>0</v>
      </c>
      <c r="GO136" s="72">
        <v>22276.06413071647</v>
      </c>
      <c r="GP136" s="72">
        <v>-440.75710579562377</v>
      </c>
      <c r="GQ136" s="72">
        <v>8928.8770897240101</v>
      </c>
      <c r="GR136" s="72">
        <f t="shared" si="2"/>
        <v>67436.680314587167</v>
      </c>
      <c r="GS136" s="72">
        <f>SUM(EC$5:EC$202)</f>
        <v>67436.680314587182</v>
      </c>
      <c r="GT136" s="73">
        <v>0</v>
      </c>
    </row>
    <row r="137" spans="1:202" outlineLevel="1" x14ac:dyDescent="0.2">
      <c r="A137" s="66" t="s">
        <v>1066</v>
      </c>
      <c r="B137" s="72">
        <v>0</v>
      </c>
      <c r="C137" s="72">
        <v>22.541396671857477</v>
      </c>
      <c r="D137" s="72">
        <v>2.5377557196321048</v>
      </c>
      <c r="E137" s="72">
        <v>0</v>
      </c>
      <c r="F137" s="72">
        <v>0</v>
      </c>
      <c r="G137" s="72">
        <v>0</v>
      </c>
      <c r="H137" s="72">
        <v>0</v>
      </c>
      <c r="I137" s="72">
        <v>0</v>
      </c>
      <c r="J137" s="72">
        <v>0</v>
      </c>
      <c r="K137" s="72">
        <v>0</v>
      </c>
      <c r="L137" s="72">
        <v>0</v>
      </c>
      <c r="M137" s="72">
        <v>0</v>
      </c>
      <c r="N137" s="72">
        <v>0</v>
      </c>
      <c r="O137" s="72">
        <v>0</v>
      </c>
      <c r="P137" s="72">
        <v>0</v>
      </c>
      <c r="Q137" s="72">
        <v>0</v>
      </c>
      <c r="R137" s="72">
        <v>0</v>
      </c>
      <c r="S137" s="72">
        <v>0</v>
      </c>
      <c r="T137" s="72">
        <v>0</v>
      </c>
      <c r="U137" s="72">
        <v>0</v>
      </c>
      <c r="V137" s="72">
        <v>0</v>
      </c>
      <c r="W137" s="72">
        <v>0</v>
      </c>
      <c r="X137" s="72">
        <v>0</v>
      </c>
      <c r="Y137" s="72">
        <v>0</v>
      </c>
      <c r="Z137" s="72">
        <v>0</v>
      </c>
      <c r="AA137" s="72">
        <v>1348.1086629590013</v>
      </c>
      <c r="AB137" s="72">
        <v>900.78945491541867</v>
      </c>
      <c r="AC137" s="72">
        <v>0</v>
      </c>
      <c r="AD137" s="72">
        <v>0</v>
      </c>
      <c r="AE137" s="72">
        <v>113106.48290820258</v>
      </c>
      <c r="AF137" s="72">
        <v>2171.6225925692911</v>
      </c>
      <c r="AG137" s="72">
        <v>0</v>
      </c>
      <c r="AH137" s="72">
        <v>0</v>
      </c>
      <c r="AI137" s="72">
        <v>101.72143466479079</v>
      </c>
      <c r="AJ137" s="72">
        <v>117.56926112905585</v>
      </c>
      <c r="AK137" s="72">
        <v>0</v>
      </c>
      <c r="AL137" s="72">
        <v>0</v>
      </c>
      <c r="AM137" s="72">
        <v>0</v>
      </c>
      <c r="AN137" s="72">
        <v>0</v>
      </c>
      <c r="AO137" s="72">
        <v>0</v>
      </c>
      <c r="AP137" s="72">
        <v>6940.2432690852938</v>
      </c>
      <c r="AQ137" s="72">
        <v>0</v>
      </c>
      <c r="AR137" s="72">
        <v>0</v>
      </c>
      <c r="AS137" s="72">
        <v>0</v>
      </c>
      <c r="AT137" s="72">
        <v>1050.8363246583294</v>
      </c>
      <c r="AU137" s="72">
        <v>0</v>
      </c>
      <c r="AV137" s="72">
        <v>0</v>
      </c>
      <c r="AW137" s="72">
        <v>0</v>
      </c>
      <c r="AX137" s="72">
        <v>0</v>
      </c>
      <c r="AY137" s="72">
        <v>0</v>
      </c>
      <c r="AZ137" s="72">
        <v>0</v>
      </c>
      <c r="BA137" s="72">
        <v>0</v>
      </c>
      <c r="BB137" s="72">
        <v>0</v>
      </c>
      <c r="BC137" s="72">
        <v>959.11381382224067</v>
      </c>
      <c r="BD137" s="72">
        <v>0</v>
      </c>
      <c r="BE137" s="72">
        <v>41.794906792419326</v>
      </c>
      <c r="BF137" s="72">
        <v>23.248012940167946</v>
      </c>
      <c r="BG137" s="72">
        <v>0</v>
      </c>
      <c r="BH137" s="72">
        <v>5.7759400900823223</v>
      </c>
      <c r="BI137" s="72">
        <v>0</v>
      </c>
      <c r="BJ137" s="72">
        <v>8477.3327820093909</v>
      </c>
      <c r="BK137" s="72">
        <v>0</v>
      </c>
      <c r="BL137" s="72">
        <v>0</v>
      </c>
      <c r="BM137" s="72">
        <v>0</v>
      </c>
      <c r="BN137" s="72">
        <v>0</v>
      </c>
      <c r="BO137" s="72">
        <v>0</v>
      </c>
      <c r="BP137" s="72">
        <v>0</v>
      </c>
      <c r="BQ137" s="72">
        <v>0</v>
      </c>
      <c r="BR137" s="72">
        <v>0</v>
      </c>
      <c r="BS137" s="72">
        <v>0</v>
      </c>
      <c r="BT137" s="72">
        <v>0</v>
      </c>
      <c r="BU137" s="72">
        <v>0</v>
      </c>
      <c r="BV137" s="72">
        <v>0</v>
      </c>
      <c r="BW137" s="72">
        <v>0</v>
      </c>
      <c r="BX137" s="72">
        <v>0</v>
      </c>
      <c r="BY137" s="72">
        <v>0</v>
      </c>
      <c r="BZ137" s="72">
        <v>0</v>
      </c>
      <c r="CA137" s="72">
        <v>0</v>
      </c>
      <c r="CB137" s="72">
        <v>0</v>
      </c>
      <c r="CC137" s="72">
        <v>0</v>
      </c>
      <c r="CD137" s="72">
        <v>0</v>
      </c>
      <c r="CE137" s="72">
        <v>0</v>
      </c>
      <c r="CF137" s="72">
        <v>0</v>
      </c>
      <c r="CG137" s="72">
        <v>0</v>
      </c>
      <c r="CH137" s="72">
        <v>0</v>
      </c>
      <c r="CI137" s="72">
        <v>0</v>
      </c>
      <c r="CJ137" s="72">
        <v>0</v>
      </c>
      <c r="CK137" s="72">
        <v>0</v>
      </c>
      <c r="CL137" s="72">
        <v>0</v>
      </c>
      <c r="CM137" s="72">
        <v>0</v>
      </c>
      <c r="CN137" s="72">
        <v>0</v>
      </c>
      <c r="CO137" s="72">
        <v>0</v>
      </c>
      <c r="CP137" s="72">
        <v>0</v>
      </c>
      <c r="CQ137" s="72">
        <v>0</v>
      </c>
      <c r="CR137" s="72">
        <v>0</v>
      </c>
      <c r="CS137" s="72">
        <v>0</v>
      </c>
      <c r="CT137" s="72">
        <v>0</v>
      </c>
      <c r="CU137" s="72">
        <v>0</v>
      </c>
      <c r="CV137" s="72">
        <v>0</v>
      </c>
      <c r="CW137" s="72">
        <v>0</v>
      </c>
      <c r="CX137" s="72">
        <v>0</v>
      </c>
      <c r="CY137" s="72">
        <v>0</v>
      </c>
      <c r="CZ137" s="72">
        <v>0</v>
      </c>
      <c r="DA137" s="72">
        <v>0</v>
      </c>
      <c r="DB137" s="72">
        <v>0</v>
      </c>
      <c r="DC137" s="72">
        <v>0</v>
      </c>
      <c r="DD137" s="72">
        <v>0</v>
      </c>
      <c r="DE137" s="72">
        <v>0</v>
      </c>
      <c r="DF137" s="72">
        <v>0</v>
      </c>
      <c r="DG137" s="72">
        <v>0</v>
      </c>
      <c r="DH137" s="72">
        <v>0</v>
      </c>
      <c r="DI137" s="72">
        <v>0</v>
      </c>
      <c r="DJ137" s="72">
        <v>0</v>
      </c>
      <c r="DK137" s="72">
        <v>0</v>
      </c>
      <c r="DL137" s="72">
        <v>0</v>
      </c>
      <c r="DM137" s="72">
        <v>0</v>
      </c>
      <c r="DN137" s="72">
        <v>0</v>
      </c>
      <c r="DO137" s="72">
        <v>0</v>
      </c>
      <c r="DP137" s="72">
        <v>0</v>
      </c>
      <c r="DQ137" s="72">
        <v>0</v>
      </c>
      <c r="DR137" s="72">
        <v>0</v>
      </c>
      <c r="DS137" s="72">
        <v>0</v>
      </c>
      <c r="DT137" s="72">
        <v>0</v>
      </c>
      <c r="DU137" s="72">
        <v>0</v>
      </c>
      <c r="DV137" s="72">
        <v>0</v>
      </c>
      <c r="DW137" s="72">
        <v>0</v>
      </c>
      <c r="DX137" s="72">
        <v>0</v>
      </c>
      <c r="DY137" s="72">
        <v>0</v>
      </c>
      <c r="DZ137" s="72">
        <v>0</v>
      </c>
      <c r="EA137" s="72">
        <v>0</v>
      </c>
      <c r="EB137" s="72">
        <v>0</v>
      </c>
      <c r="EC137" s="72">
        <v>0</v>
      </c>
      <c r="ED137" s="72">
        <v>0</v>
      </c>
      <c r="EE137" s="72">
        <v>0</v>
      </c>
      <c r="EF137" s="72">
        <v>0</v>
      </c>
      <c r="EG137" s="72">
        <v>0</v>
      </c>
      <c r="EH137" s="72">
        <v>0</v>
      </c>
      <c r="EI137" s="72">
        <v>0</v>
      </c>
      <c r="EJ137" s="72">
        <v>0</v>
      </c>
      <c r="EK137" s="72">
        <v>0</v>
      </c>
      <c r="EL137" s="72">
        <v>0</v>
      </c>
      <c r="EM137" s="72">
        <v>0</v>
      </c>
      <c r="EN137" s="72">
        <v>0</v>
      </c>
      <c r="EO137" s="72">
        <v>0</v>
      </c>
      <c r="EP137" s="72">
        <v>0</v>
      </c>
      <c r="EQ137" s="72">
        <v>0</v>
      </c>
      <c r="ER137" s="72">
        <v>0</v>
      </c>
      <c r="ES137" s="72">
        <v>0</v>
      </c>
      <c r="ET137" s="72">
        <v>0</v>
      </c>
      <c r="EU137" s="72">
        <v>0</v>
      </c>
      <c r="EV137" s="72">
        <v>0</v>
      </c>
      <c r="EW137" s="72">
        <v>0</v>
      </c>
      <c r="EX137" s="72">
        <v>0</v>
      </c>
      <c r="EY137" s="72">
        <v>0</v>
      </c>
      <c r="EZ137" s="72">
        <v>0</v>
      </c>
      <c r="FA137" s="72">
        <v>0</v>
      </c>
      <c r="FB137" s="72">
        <v>0</v>
      </c>
      <c r="FC137" s="72">
        <v>0</v>
      </c>
      <c r="FD137" s="72">
        <v>0</v>
      </c>
      <c r="FE137" s="72">
        <v>0</v>
      </c>
      <c r="FF137" s="72">
        <v>0</v>
      </c>
      <c r="FG137" s="72">
        <v>0</v>
      </c>
      <c r="FH137" s="72">
        <v>0</v>
      </c>
      <c r="FI137" s="72">
        <v>0</v>
      </c>
      <c r="FJ137" s="72">
        <v>0</v>
      </c>
      <c r="FK137" s="72">
        <v>0</v>
      </c>
      <c r="FL137" s="72">
        <v>0</v>
      </c>
      <c r="FM137" s="72">
        <v>0</v>
      </c>
      <c r="FN137" s="72">
        <v>0</v>
      </c>
      <c r="FO137" s="72">
        <v>0</v>
      </c>
      <c r="FP137" s="72">
        <v>0</v>
      </c>
      <c r="FQ137" s="72">
        <v>0</v>
      </c>
      <c r="FR137" s="72">
        <v>0</v>
      </c>
      <c r="FS137" s="72">
        <v>0</v>
      </c>
      <c r="FT137" s="72">
        <v>0</v>
      </c>
      <c r="FU137" s="72">
        <v>0</v>
      </c>
      <c r="FV137" s="74">
        <v>15.407592831640674</v>
      </c>
      <c r="FW137" s="74">
        <v>77.385216046328679</v>
      </c>
      <c r="FX137" s="74">
        <v>293.89215514271564</v>
      </c>
      <c r="FY137" s="74">
        <v>502.60651661990926</v>
      </c>
      <c r="FZ137" s="74">
        <v>683.33854981691354</v>
      </c>
      <c r="GA137" s="74">
        <v>2310.0209718156807</v>
      </c>
      <c r="GB137" s="74">
        <v>4900.6732765502875</v>
      </c>
      <c r="GC137" s="74">
        <v>10308.393796351973</v>
      </c>
      <c r="GD137" s="74">
        <v>29002.421459727695</v>
      </c>
      <c r="GE137" s="74">
        <v>11770.079315166457</v>
      </c>
      <c r="GF137" s="74">
        <v>13747.097457928559</v>
      </c>
      <c r="GG137" s="74">
        <v>17169.10955055261</v>
      </c>
      <c r="GH137" s="74">
        <v>16004.851552670052</v>
      </c>
      <c r="GI137" s="74">
        <v>29137.787348944039</v>
      </c>
      <c r="GJ137" s="72">
        <v>0</v>
      </c>
      <c r="GK137" s="72">
        <v>0</v>
      </c>
      <c r="GL137" s="72">
        <v>0</v>
      </c>
      <c r="GM137" s="72">
        <v>0</v>
      </c>
      <c r="GN137" s="72">
        <v>0</v>
      </c>
      <c r="GO137" s="72">
        <v>85393.919378307488</v>
      </c>
      <c r="GP137" s="72">
        <v>17154.613669777693</v>
      </c>
      <c r="GQ137" s="72">
        <v>152823.01677016355</v>
      </c>
      <c r="GR137" s="72">
        <f t="shared" si="2"/>
        <v>526564.3330946432</v>
      </c>
      <c r="GS137" s="72">
        <f>SUM(ED$5:ED$202)</f>
        <v>526564.3330946425</v>
      </c>
      <c r="GT137" s="73">
        <v>0</v>
      </c>
    </row>
    <row r="138" spans="1:202" outlineLevel="1" x14ac:dyDescent="0.2">
      <c r="A138" s="66" t="s">
        <v>1508</v>
      </c>
      <c r="B138" s="72">
        <v>0</v>
      </c>
      <c r="C138" s="72">
        <v>0.58294535411487314</v>
      </c>
      <c r="D138" s="72">
        <v>69.251978400746765</v>
      </c>
      <c r="E138" s="72">
        <v>6.7321682801112004E-2</v>
      </c>
      <c r="F138" s="72">
        <v>0</v>
      </c>
      <c r="G138" s="72">
        <v>84.481405242004243</v>
      </c>
      <c r="H138" s="72">
        <v>197.63991627587009</v>
      </c>
      <c r="I138" s="72">
        <v>180.70695768040952</v>
      </c>
      <c r="J138" s="72">
        <v>47.725095351456716</v>
      </c>
      <c r="K138" s="72">
        <v>2.6419790498527997</v>
      </c>
      <c r="L138" s="72">
        <v>1.2143399957630849</v>
      </c>
      <c r="M138" s="72">
        <v>0.60747162055470905</v>
      </c>
      <c r="N138" s="72">
        <v>0.65574976083069014</v>
      </c>
      <c r="O138" s="72">
        <v>4.4834514553435438</v>
      </c>
      <c r="P138" s="72">
        <v>18.220027411573295</v>
      </c>
      <c r="Q138" s="72">
        <v>3.7518203647409445</v>
      </c>
      <c r="R138" s="72">
        <v>2.4513912604724339</v>
      </c>
      <c r="S138" s="72">
        <v>7.4477427583367906</v>
      </c>
      <c r="T138" s="72">
        <v>62.5335683281006</v>
      </c>
      <c r="U138" s="72">
        <v>0.607816816511346</v>
      </c>
      <c r="V138" s="72">
        <v>104.54728891627937</v>
      </c>
      <c r="W138" s="72">
        <v>9.7327093027193232</v>
      </c>
      <c r="X138" s="72">
        <v>4.0041511828452272</v>
      </c>
      <c r="Y138" s="72">
        <v>4.2580069647528775</v>
      </c>
      <c r="Z138" s="72">
        <v>3.1118329140220813</v>
      </c>
      <c r="AA138" s="72">
        <v>3.1939749014837671</v>
      </c>
      <c r="AB138" s="72">
        <v>1.5338285151007658</v>
      </c>
      <c r="AC138" s="72">
        <v>0.2471520430882122</v>
      </c>
      <c r="AD138" s="72">
        <v>0.26772630079266557</v>
      </c>
      <c r="AE138" s="72">
        <v>32542.339917807178</v>
      </c>
      <c r="AF138" s="72">
        <v>66.614890830572705</v>
      </c>
      <c r="AG138" s="72">
        <v>0.15561302401414501</v>
      </c>
      <c r="AH138" s="72">
        <v>2.2229109323005667</v>
      </c>
      <c r="AI138" s="72">
        <v>5.6712273262051324E-3</v>
      </c>
      <c r="AJ138" s="72">
        <v>0.58187979866408202</v>
      </c>
      <c r="AK138" s="72">
        <v>2.0931256510057077</v>
      </c>
      <c r="AL138" s="72">
        <v>33.431541349649258</v>
      </c>
      <c r="AM138" s="72">
        <v>74.069382572831103</v>
      </c>
      <c r="AN138" s="72">
        <v>6.8822686304977418</v>
      </c>
      <c r="AO138" s="72">
        <v>7.4902315775673367</v>
      </c>
      <c r="AP138" s="72">
        <v>822.94945328343806</v>
      </c>
      <c r="AQ138" s="72">
        <v>2.9720400040069272E-2</v>
      </c>
      <c r="AR138" s="72">
        <v>0</v>
      </c>
      <c r="AS138" s="72">
        <v>7.919710807845501</v>
      </c>
      <c r="AT138" s="72">
        <v>3.1285182284699946</v>
      </c>
      <c r="AU138" s="72">
        <v>0</v>
      </c>
      <c r="AV138" s="72">
        <v>0</v>
      </c>
      <c r="AW138" s="72">
        <v>0</v>
      </c>
      <c r="AX138" s="72">
        <v>27.303233813770962</v>
      </c>
      <c r="AY138" s="72">
        <v>0.13927917853072494</v>
      </c>
      <c r="AZ138" s="72">
        <v>4.4389449000237837</v>
      </c>
      <c r="BA138" s="72">
        <v>7.5191798921056624E-2</v>
      </c>
      <c r="BB138" s="72">
        <v>0.36669534499969686</v>
      </c>
      <c r="BC138" s="72">
        <v>5.25238853041037E-2</v>
      </c>
      <c r="BD138" s="72">
        <v>0</v>
      </c>
      <c r="BE138" s="72">
        <v>1.2855549895923086</v>
      </c>
      <c r="BF138" s="72">
        <v>1.7452959650920529E-3</v>
      </c>
      <c r="BG138" s="72">
        <v>2.5254331892023068E-2</v>
      </c>
      <c r="BH138" s="72">
        <v>0.23326637917441009</v>
      </c>
      <c r="BI138" s="72">
        <v>0.22581212716330351</v>
      </c>
      <c r="BJ138" s="72">
        <v>0.37826659367655485</v>
      </c>
      <c r="BK138" s="72">
        <v>0</v>
      </c>
      <c r="BL138" s="72">
        <v>0</v>
      </c>
      <c r="BM138" s="72">
        <v>0</v>
      </c>
      <c r="BN138" s="72">
        <v>0</v>
      </c>
      <c r="BO138" s="72">
        <v>0</v>
      </c>
      <c r="BP138" s="72">
        <v>0</v>
      </c>
      <c r="BQ138" s="72">
        <v>0</v>
      </c>
      <c r="BR138" s="72">
        <v>0</v>
      </c>
      <c r="BS138" s="72">
        <v>0</v>
      </c>
      <c r="BT138" s="72">
        <v>0</v>
      </c>
      <c r="BU138" s="72">
        <v>0</v>
      </c>
      <c r="BV138" s="72">
        <v>0</v>
      </c>
      <c r="BW138" s="72">
        <v>0</v>
      </c>
      <c r="BX138" s="72">
        <v>0</v>
      </c>
      <c r="BY138" s="72">
        <v>0</v>
      </c>
      <c r="BZ138" s="72">
        <v>0</v>
      </c>
      <c r="CA138" s="72">
        <v>0</v>
      </c>
      <c r="CB138" s="72">
        <v>0</v>
      </c>
      <c r="CC138" s="72">
        <v>0</v>
      </c>
      <c r="CD138" s="72">
        <v>0</v>
      </c>
      <c r="CE138" s="72">
        <v>0</v>
      </c>
      <c r="CF138" s="72">
        <v>0</v>
      </c>
      <c r="CG138" s="72">
        <v>0</v>
      </c>
      <c r="CH138" s="72">
        <v>0</v>
      </c>
      <c r="CI138" s="72">
        <v>0</v>
      </c>
      <c r="CJ138" s="72">
        <v>0</v>
      </c>
      <c r="CK138" s="72">
        <v>0</v>
      </c>
      <c r="CL138" s="72">
        <v>0</v>
      </c>
      <c r="CM138" s="72">
        <v>0</v>
      </c>
      <c r="CN138" s="72">
        <v>0</v>
      </c>
      <c r="CO138" s="72">
        <v>0</v>
      </c>
      <c r="CP138" s="72">
        <v>0</v>
      </c>
      <c r="CQ138" s="72">
        <v>0</v>
      </c>
      <c r="CR138" s="72">
        <v>0</v>
      </c>
      <c r="CS138" s="72">
        <v>0</v>
      </c>
      <c r="CT138" s="72">
        <v>0</v>
      </c>
      <c r="CU138" s="72">
        <v>0</v>
      </c>
      <c r="CV138" s="72">
        <v>0</v>
      </c>
      <c r="CW138" s="72">
        <v>0</v>
      </c>
      <c r="CX138" s="72">
        <v>0</v>
      </c>
      <c r="CY138" s="72">
        <v>0</v>
      </c>
      <c r="CZ138" s="72">
        <v>0</v>
      </c>
      <c r="DA138" s="72">
        <v>0</v>
      </c>
      <c r="DB138" s="72">
        <v>0</v>
      </c>
      <c r="DC138" s="72">
        <v>0</v>
      </c>
      <c r="DD138" s="72">
        <v>0</v>
      </c>
      <c r="DE138" s="72">
        <v>0</v>
      </c>
      <c r="DF138" s="72">
        <v>0</v>
      </c>
      <c r="DG138" s="72">
        <v>0</v>
      </c>
      <c r="DH138" s="72">
        <v>0</v>
      </c>
      <c r="DI138" s="72">
        <v>0</v>
      </c>
      <c r="DJ138" s="72">
        <v>0</v>
      </c>
      <c r="DK138" s="72">
        <v>0</v>
      </c>
      <c r="DL138" s="72">
        <v>0</v>
      </c>
      <c r="DM138" s="72">
        <v>0</v>
      </c>
      <c r="DN138" s="72">
        <v>0</v>
      </c>
      <c r="DO138" s="72">
        <v>0</v>
      </c>
      <c r="DP138" s="72">
        <v>0</v>
      </c>
      <c r="DQ138" s="72">
        <v>0</v>
      </c>
      <c r="DR138" s="72">
        <v>0</v>
      </c>
      <c r="DS138" s="72">
        <v>0</v>
      </c>
      <c r="DT138" s="72">
        <v>0</v>
      </c>
      <c r="DU138" s="72">
        <v>0</v>
      </c>
      <c r="DV138" s="72">
        <v>0</v>
      </c>
      <c r="DW138" s="72">
        <v>0</v>
      </c>
      <c r="DX138" s="72">
        <v>0</v>
      </c>
      <c r="DY138" s="72">
        <v>0</v>
      </c>
      <c r="DZ138" s="72">
        <v>0</v>
      </c>
      <c r="EA138" s="72">
        <v>0</v>
      </c>
      <c r="EB138" s="72">
        <v>0</v>
      </c>
      <c r="EC138" s="72">
        <v>0</v>
      </c>
      <c r="ED138" s="72">
        <v>0</v>
      </c>
      <c r="EE138" s="72">
        <v>0</v>
      </c>
      <c r="EF138" s="72">
        <v>0</v>
      </c>
      <c r="EG138" s="72">
        <v>0</v>
      </c>
      <c r="EH138" s="72">
        <v>0</v>
      </c>
      <c r="EI138" s="72">
        <v>0</v>
      </c>
      <c r="EJ138" s="72">
        <v>0</v>
      </c>
      <c r="EK138" s="72">
        <v>0</v>
      </c>
      <c r="EL138" s="72">
        <v>0</v>
      </c>
      <c r="EM138" s="72">
        <v>0</v>
      </c>
      <c r="EN138" s="72">
        <v>0</v>
      </c>
      <c r="EO138" s="72">
        <v>0</v>
      </c>
      <c r="EP138" s="72">
        <v>0</v>
      </c>
      <c r="EQ138" s="72">
        <v>0</v>
      </c>
      <c r="ER138" s="72">
        <v>0</v>
      </c>
      <c r="ES138" s="72">
        <v>0</v>
      </c>
      <c r="ET138" s="72">
        <v>0</v>
      </c>
      <c r="EU138" s="72">
        <v>0</v>
      </c>
      <c r="EV138" s="72">
        <v>0</v>
      </c>
      <c r="EW138" s="72">
        <v>0</v>
      </c>
      <c r="EX138" s="72">
        <v>0</v>
      </c>
      <c r="EY138" s="72">
        <v>0</v>
      </c>
      <c r="EZ138" s="72">
        <v>0</v>
      </c>
      <c r="FA138" s="72">
        <v>0</v>
      </c>
      <c r="FB138" s="72">
        <v>0</v>
      </c>
      <c r="FC138" s="72">
        <v>0</v>
      </c>
      <c r="FD138" s="72">
        <v>0</v>
      </c>
      <c r="FE138" s="72">
        <v>0</v>
      </c>
      <c r="FF138" s="72">
        <v>0</v>
      </c>
      <c r="FG138" s="72">
        <v>0</v>
      </c>
      <c r="FH138" s="72">
        <v>0</v>
      </c>
      <c r="FI138" s="72">
        <v>0</v>
      </c>
      <c r="FJ138" s="72">
        <v>0</v>
      </c>
      <c r="FK138" s="72">
        <v>0</v>
      </c>
      <c r="FL138" s="72">
        <v>0</v>
      </c>
      <c r="FM138" s="72">
        <v>0</v>
      </c>
      <c r="FN138" s="72">
        <v>0</v>
      </c>
      <c r="FO138" s="72">
        <v>0</v>
      </c>
      <c r="FP138" s="72">
        <v>0</v>
      </c>
      <c r="FQ138" s="72">
        <v>0</v>
      </c>
      <c r="FR138" s="72">
        <v>0</v>
      </c>
      <c r="FS138" s="72">
        <v>0</v>
      </c>
      <c r="FT138" s="72">
        <v>0</v>
      </c>
      <c r="FU138" s="72">
        <v>0</v>
      </c>
      <c r="FV138" s="74">
        <v>0.28059104907837856</v>
      </c>
      <c r="FW138" s="74">
        <v>1.4092791256143398</v>
      </c>
      <c r="FX138" s="74">
        <v>5.3521344332292475</v>
      </c>
      <c r="FY138" s="74">
        <v>9.1530774023571233</v>
      </c>
      <c r="FZ138" s="74">
        <v>12.444428059850823</v>
      </c>
      <c r="GA138" s="74">
        <v>42.068298075981609</v>
      </c>
      <c r="GB138" s="74">
        <v>89.247234846041451</v>
      </c>
      <c r="GC138" s="74">
        <v>187.72841814015203</v>
      </c>
      <c r="GD138" s="74">
        <v>528.16945204358171</v>
      </c>
      <c r="GE138" s="74">
        <v>214.34749339924016</v>
      </c>
      <c r="GF138" s="74">
        <v>250.35140398970034</v>
      </c>
      <c r="GG138" s="74">
        <v>312.67041601969538</v>
      </c>
      <c r="GH138" s="74">
        <v>291.46785851487238</v>
      </c>
      <c r="GI138" s="74">
        <v>530.63462991268023</v>
      </c>
      <c r="GJ138" s="72">
        <v>0</v>
      </c>
      <c r="GK138" s="72">
        <v>0</v>
      </c>
      <c r="GL138" s="72">
        <v>0</v>
      </c>
      <c r="GM138" s="72">
        <v>0</v>
      </c>
      <c r="GN138" s="72">
        <v>0</v>
      </c>
      <c r="GO138" s="72">
        <v>0</v>
      </c>
      <c r="GP138" s="72">
        <v>1783.3040879187199</v>
      </c>
      <c r="GQ138" s="72">
        <v>5327.0065139094659</v>
      </c>
      <c r="GR138" s="72">
        <f t="shared" si="2"/>
        <v>44006.043571451235</v>
      </c>
      <c r="GS138" s="72">
        <f>SUM(EE$5:EE$202)</f>
        <v>44006.04357145125</v>
      </c>
      <c r="GT138" s="73">
        <v>0</v>
      </c>
    </row>
    <row r="139" spans="1:202" outlineLevel="1" x14ac:dyDescent="0.2">
      <c r="A139" s="66" t="s">
        <v>1071</v>
      </c>
      <c r="B139" s="72">
        <v>0</v>
      </c>
      <c r="C139" s="72">
        <v>0</v>
      </c>
      <c r="D139" s="72">
        <v>167.02739939491471</v>
      </c>
      <c r="E139" s="72">
        <v>0</v>
      </c>
      <c r="F139" s="72">
        <v>0</v>
      </c>
      <c r="G139" s="72">
        <v>0</v>
      </c>
      <c r="H139" s="72">
        <v>0</v>
      </c>
      <c r="I139" s="72">
        <v>0</v>
      </c>
      <c r="J139" s="72">
        <v>0</v>
      </c>
      <c r="K139" s="72">
        <v>0</v>
      </c>
      <c r="L139" s="72">
        <v>0</v>
      </c>
      <c r="M139" s="72">
        <v>0</v>
      </c>
      <c r="N139" s="72">
        <v>0</v>
      </c>
      <c r="O139" s="72">
        <v>0</v>
      </c>
      <c r="P139" s="72">
        <v>0</v>
      </c>
      <c r="Q139" s="72">
        <v>0</v>
      </c>
      <c r="R139" s="72">
        <v>0</v>
      </c>
      <c r="S139" s="72">
        <v>0</v>
      </c>
      <c r="T139" s="72">
        <v>0</v>
      </c>
      <c r="U139" s="72">
        <v>0</v>
      </c>
      <c r="V139" s="72">
        <v>0</v>
      </c>
      <c r="W139" s="72">
        <v>0</v>
      </c>
      <c r="X139" s="72">
        <v>0</v>
      </c>
      <c r="Y139" s="72">
        <v>0</v>
      </c>
      <c r="Z139" s="72">
        <v>0</v>
      </c>
      <c r="AA139" s="72">
        <v>0</v>
      </c>
      <c r="AB139" s="72">
        <v>0</v>
      </c>
      <c r="AC139" s="72">
        <v>0</v>
      </c>
      <c r="AD139" s="72">
        <v>0</v>
      </c>
      <c r="AE139" s="72">
        <v>0</v>
      </c>
      <c r="AF139" s="72">
        <v>0</v>
      </c>
      <c r="AG139" s="72">
        <v>0</v>
      </c>
      <c r="AH139" s="72">
        <v>0</v>
      </c>
      <c r="AI139" s="72">
        <v>0</v>
      </c>
      <c r="AJ139" s="72">
        <v>0</v>
      </c>
      <c r="AK139" s="72">
        <v>0</v>
      </c>
      <c r="AL139" s="72">
        <v>0</v>
      </c>
      <c r="AM139" s="72">
        <v>0</v>
      </c>
      <c r="AN139" s="72">
        <v>0</v>
      </c>
      <c r="AO139" s="72">
        <v>0</v>
      </c>
      <c r="AP139" s="72">
        <v>0</v>
      </c>
      <c r="AQ139" s="72">
        <v>366.60167206345596</v>
      </c>
      <c r="AR139" s="72">
        <v>0</v>
      </c>
      <c r="AS139" s="72">
        <v>0</v>
      </c>
      <c r="AT139" s="72">
        <v>0</v>
      </c>
      <c r="AU139" s="72">
        <v>0</v>
      </c>
      <c r="AV139" s="72">
        <v>0</v>
      </c>
      <c r="AW139" s="72">
        <v>0</v>
      </c>
      <c r="AX139" s="72">
        <v>0</v>
      </c>
      <c r="AY139" s="72">
        <v>0</v>
      </c>
      <c r="AZ139" s="72">
        <v>0</v>
      </c>
      <c r="BA139" s="72">
        <v>0</v>
      </c>
      <c r="BB139" s="72">
        <v>0</v>
      </c>
      <c r="BC139" s="72">
        <v>0.13851361423417527</v>
      </c>
      <c r="BD139" s="72">
        <v>0</v>
      </c>
      <c r="BE139" s="72">
        <v>0</v>
      </c>
      <c r="BF139" s="72">
        <v>0</v>
      </c>
      <c r="BG139" s="72">
        <v>0</v>
      </c>
      <c r="BH139" s="72">
        <v>0</v>
      </c>
      <c r="BI139" s="72">
        <v>0</v>
      </c>
      <c r="BJ139" s="72">
        <v>0</v>
      </c>
      <c r="BK139" s="72">
        <v>0</v>
      </c>
      <c r="BL139" s="72">
        <v>0</v>
      </c>
      <c r="BM139" s="72">
        <v>0</v>
      </c>
      <c r="BN139" s="72">
        <v>0</v>
      </c>
      <c r="BO139" s="72">
        <v>0</v>
      </c>
      <c r="BP139" s="72">
        <v>0</v>
      </c>
      <c r="BQ139" s="72">
        <v>0</v>
      </c>
      <c r="BR139" s="72">
        <v>0</v>
      </c>
      <c r="BS139" s="72">
        <v>0</v>
      </c>
      <c r="BT139" s="72">
        <v>0</v>
      </c>
      <c r="BU139" s="72">
        <v>0</v>
      </c>
      <c r="BV139" s="72">
        <v>0</v>
      </c>
      <c r="BW139" s="72">
        <v>0</v>
      </c>
      <c r="BX139" s="72">
        <v>0</v>
      </c>
      <c r="BY139" s="72">
        <v>0</v>
      </c>
      <c r="BZ139" s="72">
        <v>0</v>
      </c>
      <c r="CA139" s="72">
        <v>0</v>
      </c>
      <c r="CB139" s="72">
        <v>0</v>
      </c>
      <c r="CC139" s="72">
        <v>0</v>
      </c>
      <c r="CD139" s="72">
        <v>0</v>
      </c>
      <c r="CE139" s="72">
        <v>0</v>
      </c>
      <c r="CF139" s="72">
        <v>0</v>
      </c>
      <c r="CG139" s="72">
        <v>0</v>
      </c>
      <c r="CH139" s="72">
        <v>0</v>
      </c>
      <c r="CI139" s="72">
        <v>0</v>
      </c>
      <c r="CJ139" s="72">
        <v>0</v>
      </c>
      <c r="CK139" s="72">
        <v>0</v>
      </c>
      <c r="CL139" s="72">
        <v>0</v>
      </c>
      <c r="CM139" s="72">
        <v>0</v>
      </c>
      <c r="CN139" s="72">
        <v>0</v>
      </c>
      <c r="CO139" s="72">
        <v>0</v>
      </c>
      <c r="CP139" s="72">
        <v>0</v>
      </c>
      <c r="CQ139" s="72">
        <v>0</v>
      </c>
      <c r="CR139" s="72">
        <v>0</v>
      </c>
      <c r="CS139" s="72">
        <v>0</v>
      </c>
      <c r="CT139" s="72">
        <v>0</v>
      </c>
      <c r="CU139" s="72">
        <v>0</v>
      </c>
      <c r="CV139" s="72">
        <v>0</v>
      </c>
      <c r="CW139" s="72">
        <v>0</v>
      </c>
      <c r="CX139" s="72">
        <v>0</v>
      </c>
      <c r="CY139" s="72">
        <v>0</v>
      </c>
      <c r="CZ139" s="72">
        <v>0</v>
      </c>
      <c r="DA139" s="72">
        <v>0</v>
      </c>
      <c r="DB139" s="72">
        <v>0</v>
      </c>
      <c r="DC139" s="72">
        <v>0</v>
      </c>
      <c r="DD139" s="72">
        <v>0</v>
      </c>
      <c r="DE139" s="72">
        <v>0</v>
      </c>
      <c r="DF139" s="72">
        <v>0</v>
      </c>
      <c r="DG139" s="72">
        <v>0</v>
      </c>
      <c r="DH139" s="72">
        <v>0</v>
      </c>
      <c r="DI139" s="72">
        <v>0</v>
      </c>
      <c r="DJ139" s="72">
        <v>0</v>
      </c>
      <c r="DK139" s="72">
        <v>0</v>
      </c>
      <c r="DL139" s="72">
        <v>0</v>
      </c>
      <c r="DM139" s="72">
        <v>0</v>
      </c>
      <c r="DN139" s="72">
        <v>0</v>
      </c>
      <c r="DO139" s="72">
        <v>0</v>
      </c>
      <c r="DP139" s="72">
        <v>0</v>
      </c>
      <c r="DQ139" s="72">
        <v>0</v>
      </c>
      <c r="DR139" s="72">
        <v>0</v>
      </c>
      <c r="DS139" s="72">
        <v>0</v>
      </c>
      <c r="DT139" s="72">
        <v>0</v>
      </c>
      <c r="DU139" s="72">
        <v>0</v>
      </c>
      <c r="DV139" s="72">
        <v>0</v>
      </c>
      <c r="DW139" s="72">
        <v>0</v>
      </c>
      <c r="DX139" s="72">
        <v>0</v>
      </c>
      <c r="DY139" s="72">
        <v>0</v>
      </c>
      <c r="DZ139" s="72">
        <v>0</v>
      </c>
      <c r="EA139" s="72">
        <v>0</v>
      </c>
      <c r="EB139" s="72">
        <v>0</v>
      </c>
      <c r="EC139" s="72">
        <v>0</v>
      </c>
      <c r="ED139" s="72">
        <v>0</v>
      </c>
      <c r="EE139" s="72">
        <v>0</v>
      </c>
      <c r="EF139" s="72">
        <v>0</v>
      </c>
      <c r="EG139" s="72">
        <v>0</v>
      </c>
      <c r="EH139" s="72">
        <v>0</v>
      </c>
      <c r="EI139" s="72">
        <v>0</v>
      </c>
      <c r="EJ139" s="72">
        <v>0</v>
      </c>
      <c r="EK139" s="72">
        <v>0</v>
      </c>
      <c r="EL139" s="72">
        <v>0</v>
      </c>
      <c r="EM139" s="72">
        <v>0</v>
      </c>
      <c r="EN139" s="72">
        <v>0</v>
      </c>
      <c r="EO139" s="72">
        <v>0</v>
      </c>
      <c r="EP139" s="72">
        <v>0</v>
      </c>
      <c r="EQ139" s="72">
        <v>0</v>
      </c>
      <c r="ER139" s="72">
        <v>0</v>
      </c>
      <c r="ES139" s="72">
        <v>0</v>
      </c>
      <c r="ET139" s="72">
        <v>0</v>
      </c>
      <c r="EU139" s="72">
        <v>0</v>
      </c>
      <c r="EV139" s="72">
        <v>0</v>
      </c>
      <c r="EW139" s="72">
        <v>0</v>
      </c>
      <c r="EX139" s="72">
        <v>0</v>
      </c>
      <c r="EY139" s="72">
        <v>0</v>
      </c>
      <c r="EZ139" s="72">
        <v>0</v>
      </c>
      <c r="FA139" s="72">
        <v>0</v>
      </c>
      <c r="FB139" s="72">
        <v>0</v>
      </c>
      <c r="FC139" s="72">
        <v>0</v>
      </c>
      <c r="FD139" s="72">
        <v>0</v>
      </c>
      <c r="FE139" s="72">
        <v>0</v>
      </c>
      <c r="FF139" s="72">
        <v>0</v>
      </c>
      <c r="FG139" s="72">
        <v>0</v>
      </c>
      <c r="FH139" s="72">
        <v>0</v>
      </c>
      <c r="FI139" s="72">
        <v>0</v>
      </c>
      <c r="FJ139" s="72">
        <v>0</v>
      </c>
      <c r="FK139" s="72">
        <v>0</v>
      </c>
      <c r="FL139" s="72">
        <v>0</v>
      </c>
      <c r="FM139" s="72">
        <v>0</v>
      </c>
      <c r="FN139" s="72">
        <v>0</v>
      </c>
      <c r="FO139" s="72">
        <v>0</v>
      </c>
      <c r="FP139" s="72">
        <v>0</v>
      </c>
      <c r="FQ139" s="72">
        <v>0</v>
      </c>
      <c r="FR139" s="72">
        <v>0</v>
      </c>
      <c r="FS139" s="72">
        <v>0</v>
      </c>
      <c r="FT139" s="72">
        <v>0</v>
      </c>
      <c r="FU139" s="72">
        <v>0</v>
      </c>
      <c r="FV139" s="74">
        <v>2.7640118700749676</v>
      </c>
      <c r="FW139" s="74">
        <v>4.9850184282721433</v>
      </c>
      <c r="FX139" s="74">
        <v>5.9397586014086965</v>
      </c>
      <c r="FY139" s="74">
        <v>4.3927430854905012</v>
      </c>
      <c r="FZ139" s="74">
        <v>5.4695173695814816</v>
      </c>
      <c r="GA139" s="74">
        <v>18.562253951975819</v>
      </c>
      <c r="GB139" s="74">
        <v>21.020895080851059</v>
      </c>
      <c r="GC139" s="74">
        <v>28.899573438173924</v>
      </c>
      <c r="GD139" s="74">
        <v>178.06551331151212</v>
      </c>
      <c r="GE139" s="74">
        <v>22.905219572185565</v>
      </c>
      <c r="GF139" s="74">
        <v>81.584773541854275</v>
      </c>
      <c r="GG139" s="74">
        <v>10.368262057505868</v>
      </c>
      <c r="GH139" s="74">
        <v>16.232281689247653</v>
      </c>
      <c r="GI139" s="74">
        <v>776.20272209151426</v>
      </c>
      <c r="GJ139" s="72">
        <v>0</v>
      </c>
      <c r="GK139" s="72">
        <v>0</v>
      </c>
      <c r="GL139" s="72">
        <v>0</v>
      </c>
      <c r="GM139" s="72">
        <v>0</v>
      </c>
      <c r="GN139" s="72">
        <v>0</v>
      </c>
      <c r="GO139" s="72">
        <v>881.636783009738</v>
      </c>
      <c r="GP139" s="72">
        <v>-325.70539994336769</v>
      </c>
      <c r="GQ139" s="72">
        <v>2887.2564816951303</v>
      </c>
      <c r="GR139" s="72">
        <f t="shared" si="2"/>
        <v>5154.3479939237532</v>
      </c>
      <c r="GS139" s="72">
        <f>SUM(EF$5:EF$202)</f>
        <v>5154.347993923755</v>
      </c>
      <c r="GT139" s="73">
        <v>0</v>
      </c>
    </row>
    <row r="140" spans="1:202" outlineLevel="1" x14ac:dyDescent="0.2">
      <c r="A140" s="66" t="s">
        <v>1076</v>
      </c>
      <c r="B140" s="72">
        <v>0</v>
      </c>
      <c r="C140" s="72">
        <v>0</v>
      </c>
      <c r="D140" s="72">
        <v>0</v>
      </c>
      <c r="E140" s="72">
        <v>0</v>
      </c>
      <c r="F140" s="72">
        <v>0</v>
      </c>
      <c r="G140" s="72">
        <v>0</v>
      </c>
      <c r="H140" s="72">
        <v>0</v>
      </c>
      <c r="I140" s="72">
        <v>0</v>
      </c>
      <c r="J140" s="72">
        <v>0</v>
      </c>
      <c r="K140" s="72">
        <v>0</v>
      </c>
      <c r="L140" s="72">
        <v>0</v>
      </c>
      <c r="M140" s="72">
        <v>0</v>
      </c>
      <c r="N140" s="72">
        <v>0</v>
      </c>
      <c r="O140" s="72">
        <v>0</v>
      </c>
      <c r="P140" s="72">
        <v>0</v>
      </c>
      <c r="Q140" s="72">
        <v>0</v>
      </c>
      <c r="R140" s="72">
        <v>0</v>
      </c>
      <c r="S140" s="72">
        <v>0</v>
      </c>
      <c r="T140" s="72">
        <v>0</v>
      </c>
      <c r="U140" s="72">
        <v>0</v>
      </c>
      <c r="V140" s="72">
        <v>0</v>
      </c>
      <c r="W140" s="72">
        <v>0</v>
      </c>
      <c r="X140" s="72">
        <v>0</v>
      </c>
      <c r="Y140" s="72">
        <v>0</v>
      </c>
      <c r="Z140" s="72">
        <v>0</v>
      </c>
      <c r="AA140" s="72">
        <v>0</v>
      </c>
      <c r="AB140" s="72">
        <v>0</v>
      </c>
      <c r="AC140" s="72">
        <v>0</v>
      </c>
      <c r="AD140" s="72">
        <v>0</v>
      </c>
      <c r="AE140" s="72">
        <v>0</v>
      </c>
      <c r="AF140" s="72">
        <v>2297.4328846572639</v>
      </c>
      <c r="AG140" s="72">
        <v>0</v>
      </c>
      <c r="AH140" s="72">
        <v>0</v>
      </c>
      <c r="AI140" s="72">
        <v>0</v>
      </c>
      <c r="AJ140" s="72">
        <v>0</v>
      </c>
      <c r="AK140" s="72">
        <v>0</v>
      </c>
      <c r="AL140" s="72">
        <v>0</v>
      </c>
      <c r="AM140" s="72">
        <v>0</v>
      </c>
      <c r="AN140" s="72">
        <v>0</v>
      </c>
      <c r="AO140" s="72">
        <v>0</v>
      </c>
      <c r="AP140" s="72">
        <v>5935.4842068864755</v>
      </c>
      <c r="AQ140" s="72">
        <v>0</v>
      </c>
      <c r="AR140" s="72">
        <v>0</v>
      </c>
      <c r="AS140" s="72">
        <v>0</v>
      </c>
      <c r="AT140" s="72">
        <v>0</v>
      </c>
      <c r="AU140" s="72">
        <v>0</v>
      </c>
      <c r="AV140" s="72">
        <v>0</v>
      </c>
      <c r="AW140" s="72">
        <v>0</v>
      </c>
      <c r="AX140" s="72">
        <v>0</v>
      </c>
      <c r="AY140" s="72">
        <v>0</v>
      </c>
      <c r="AZ140" s="72">
        <v>0</v>
      </c>
      <c r="BA140" s="72">
        <v>0</v>
      </c>
      <c r="BB140" s="72">
        <v>0</v>
      </c>
      <c r="BC140" s="72">
        <v>0</v>
      </c>
      <c r="BD140" s="72">
        <v>0</v>
      </c>
      <c r="BE140" s="72">
        <v>0</v>
      </c>
      <c r="BF140" s="72">
        <v>0</v>
      </c>
      <c r="BG140" s="72">
        <v>0</v>
      </c>
      <c r="BH140" s="72">
        <v>0</v>
      </c>
      <c r="BI140" s="72">
        <v>0</v>
      </c>
      <c r="BJ140" s="72">
        <v>0</v>
      </c>
      <c r="BK140" s="72">
        <v>0</v>
      </c>
      <c r="BL140" s="72">
        <v>0</v>
      </c>
      <c r="BM140" s="72">
        <v>0</v>
      </c>
      <c r="BN140" s="72">
        <v>0</v>
      </c>
      <c r="BO140" s="72">
        <v>0</v>
      </c>
      <c r="BP140" s="72">
        <v>0</v>
      </c>
      <c r="BQ140" s="72">
        <v>0</v>
      </c>
      <c r="BR140" s="72">
        <v>0</v>
      </c>
      <c r="BS140" s="72">
        <v>0</v>
      </c>
      <c r="BT140" s="72">
        <v>0</v>
      </c>
      <c r="BU140" s="72">
        <v>0</v>
      </c>
      <c r="BV140" s="72">
        <v>0</v>
      </c>
      <c r="BW140" s="72">
        <v>0</v>
      </c>
      <c r="BX140" s="72">
        <v>0</v>
      </c>
      <c r="BY140" s="72">
        <v>0</v>
      </c>
      <c r="BZ140" s="72">
        <v>0</v>
      </c>
      <c r="CA140" s="72">
        <v>0</v>
      </c>
      <c r="CB140" s="72">
        <v>0</v>
      </c>
      <c r="CC140" s="72">
        <v>0</v>
      </c>
      <c r="CD140" s="72">
        <v>0</v>
      </c>
      <c r="CE140" s="72">
        <v>0</v>
      </c>
      <c r="CF140" s="72">
        <v>0</v>
      </c>
      <c r="CG140" s="72">
        <v>0</v>
      </c>
      <c r="CH140" s="72">
        <v>0</v>
      </c>
      <c r="CI140" s="72">
        <v>0</v>
      </c>
      <c r="CJ140" s="72">
        <v>0</v>
      </c>
      <c r="CK140" s="72">
        <v>0</v>
      </c>
      <c r="CL140" s="72">
        <v>0</v>
      </c>
      <c r="CM140" s="72">
        <v>0</v>
      </c>
      <c r="CN140" s="72">
        <v>0</v>
      </c>
      <c r="CO140" s="72">
        <v>0</v>
      </c>
      <c r="CP140" s="72">
        <v>0</v>
      </c>
      <c r="CQ140" s="72">
        <v>0</v>
      </c>
      <c r="CR140" s="72">
        <v>0</v>
      </c>
      <c r="CS140" s="72">
        <v>0</v>
      </c>
      <c r="CT140" s="72">
        <v>0</v>
      </c>
      <c r="CU140" s="72">
        <v>0</v>
      </c>
      <c r="CV140" s="72">
        <v>0</v>
      </c>
      <c r="CW140" s="72">
        <v>0</v>
      </c>
      <c r="CX140" s="72">
        <v>0</v>
      </c>
      <c r="CY140" s="72">
        <v>0</v>
      </c>
      <c r="CZ140" s="72">
        <v>0</v>
      </c>
      <c r="DA140" s="72">
        <v>0</v>
      </c>
      <c r="DB140" s="72">
        <v>0</v>
      </c>
      <c r="DC140" s="72">
        <v>0</v>
      </c>
      <c r="DD140" s="72">
        <v>0</v>
      </c>
      <c r="DE140" s="72">
        <v>0</v>
      </c>
      <c r="DF140" s="72">
        <v>0</v>
      </c>
      <c r="DG140" s="72">
        <v>0</v>
      </c>
      <c r="DH140" s="72">
        <v>0</v>
      </c>
      <c r="DI140" s="72">
        <v>0</v>
      </c>
      <c r="DJ140" s="72">
        <v>0</v>
      </c>
      <c r="DK140" s="72">
        <v>0</v>
      </c>
      <c r="DL140" s="72">
        <v>0</v>
      </c>
      <c r="DM140" s="72">
        <v>0</v>
      </c>
      <c r="DN140" s="72">
        <v>0</v>
      </c>
      <c r="DO140" s="72">
        <v>0</v>
      </c>
      <c r="DP140" s="72">
        <v>0</v>
      </c>
      <c r="DQ140" s="72">
        <v>0</v>
      </c>
      <c r="DR140" s="72">
        <v>0</v>
      </c>
      <c r="DS140" s="72">
        <v>0</v>
      </c>
      <c r="DT140" s="72">
        <v>0</v>
      </c>
      <c r="DU140" s="72">
        <v>0</v>
      </c>
      <c r="DV140" s="72">
        <v>0</v>
      </c>
      <c r="DW140" s="72">
        <v>0</v>
      </c>
      <c r="DX140" s="72">
        <v>0</v>
      </c>
      <c r="DY140" s="72">
        <v>0</v>
      </c>
      <c r="DZ140" s="72">
        <v>0</v>
      </c>
      <c r="EA140" s="72">
        <v>0</v>
      </c>
      <c r="EB140" s="72">
        <v>0</v>
      </c>
      <c r="EC140" s="72">
        <v>0</v>
      </c>
      <c r="ED140" s="72">
        <v>0</v>
      </c>
      <c r="EE140" s="72">
        <v>0</v>
      </c>
      <c r="EF140" s="72">
        <v>0</v>
      </c>
      <c r="EG140" s="72">
        <v>0</v>
      </c>
      <c r="EH140" s="72">
        <v>0</v>
      </c>
      <c r="EI140" s="72">
        <v>0</v>
      </c>
      <c r="EJ140" s="72">
        <v>0</v>
      </c>
      <c r="EK140" s="72">
        <v>0</v>
      </c>
      <c r="EL140" s="72">
        <v>0</v>
      </c>
      <c r="EM140" s="72">
        <v>0</v>
      </c>
      <c r="EN140" s="72">
        <v>0</v>
      </c>
      <c r="EO140" s="72">
        <v>0</v>
      </c>
      <c r="EP140" s="72">
        <v>0</v>
      </c>
      <c r="EQ140" s="72">
        <v>0</v>
      </c>
      <c r="ER140" s="72">
        <v>0</v>
      </c>
      <c r="ES140" s="72">
        <v>0</v>
      </c>
      <c r="ET140" s="72">
        <v>0</v>
      </c>
      <c r="EU140" s="72">
        <v>0</v>
      </c>
      <c r="EV140" s="72">
        <v>0</v>
      </c>
      <c r="EW140" s="72">
        <v>0</v>
      </c>
      <c r="EX140" s="72">
        <v>0</v>
      </c>
      <c r="EY140" s="72">
        <v>0</v>
      </c>
      <c r="EZ140" s="72">
        <v>0</v>
      </c>
      <c r="FA140" s="72">
        <v>0</v>
      </c>
      <c r="FB140" s="72">
        <v>0</v>
      </c>
      <c r="FC140" s="72">
        <v>0</v>
      </c>
      <c r="FD140" s="72">
        <v>0</v>
      </c>
      <c r="FE140" s="72">
        <v>0</v>
      </c>
      <c r="FF140" s="72">
        <v>0</v>
      </c>
      <c r="FG140" s="72">
        <v>0</v>
      </c>
      <c r="FH140" s="72">
        <v>0</v>
      </c>
      <c r="FI140" s="72">
        <v>0</v>
      </c>
      <c r="FJ140" s="72">
        <v>0</v>
      </c>
      <c r="FK140" s="72">
        <v>0</v>
      </c>
      <c r="FL140" s="72">
        <v>0</v>
      </c>
      <c r="FM140" s="72">
        <v>0</v>
      </c>
      <c r="FN140" s="72">
        <v>0</v>
      </c>
      <c r="FO140" s="72">
        <v>0</v>
      </c>
      <c r="FP140" s="72">
        <v>0</v>
      </c>
      <c r="FQ140" s="72">
        <v>0</v>
      </c>
      <c r="FR140" s="72">
        <v>0</v>
      </c>
      <c r="FS140" s="72">
        <v>0</v>
      </c>
      <c r="FT140" s="72">
        <v>0</v>
      </c>
      <c r="FU140" s="72">
        <v>0</v>
      </c>
      <c r="FV140" s="74">
        <v>0</v>
      </c>
      <c r="FW140" s="74">
        <v>0</v>
      </c>
      <c r="FX140" s="74">
        <v>0</v>
      </c>
      <c r="FY140" s="74">
        <v>0</v>
      </c>
      <c r="FZ140" s="74">
        <v>0</v>
      </c>
      <c r="GA140" s="74">
        <v>0</v>
      </c>
      <c r="GB140" s="74">
        <v>0</v>
      </c>
      <c r="GC140" s="74">
        <v>0</v>
      </c>
      <c r="GD140" s="74">
        <v>0</v>
      </c>
      <c r="GE140" s="74">
        <v>0</v>
      </c>
      <c r="GF140" s="74">
        <v>0</v>
      </c>
      <c r="GG140" s="74">
        <v>0</v>
      </c>
      <c r="GH140" s="74">
        <v>0</v>
      </c>
      <c r="GI140" s="74">
        <v>0</v>
      </c>
      <c r="GJ140" s="72">
        <v>0</v>
      </c>
      <c r="GK140" s="72">
        <v>0</v>
      </c>
      <c r="GL140" s="72">
        <v>0</v>
      </c>
      <c r="GM140" s="72">
        <v>0</v>
      </c>
      <c r="GN140" s="72">
        <v>0</v>
      </c>
      <c r="GO140" s="72">
        <v>815.49451145652461</v>
      </c>
      <c r="GP140" s="72">
        <v>1196.4762388333459</v>
      </c>
      <c r="GQ140" s="72">
        <v>824.79878565389549</v>
      </c>
      <c r="GR140" s="72">
        <f t="shared" si="2"/>
        <v>11069.686627487505</v>
      </c>
      <c r="GS140" s="72">
        <f>SUM(EG$5:EG$202)</f>
        <v>11069.686627487506</v>
      </c>
      <c r="GT140" s="73">
        <v>0</v>
      </c>
    </row>
    <row r="141" spans="1:202" outlineLevel="1" x14ac:dyDescent="0.2">
      <c r="A141" s="66" t="s">
        <v>1081</v>
      </c>
      <c r="B141" s="72">
        <v>0</v>
      </c>
      <c r="C141" s="72">
        <v>0</v>
      </c>
      <c r="D141" s="72">
        <v>0</v>
      </c>
      <c r="E141" s="72">
        <v>0</v>
      </c>
      <c r="F141" s="72">
        <v>0</v>
      </c>
      <c r="G141" s="72">
        <v>0</v>
      </c>
      <c r="H141" s="72">
        <v>0</v>
      </c>
      <c r="I141" s="72">
        <v>0</v>
      </c>
      <c r="J141" s="72">
        <v>0</v>
      </c>
      <c r="K141" s="72">
        <v>0</v>
      </c>
      <c r="L141" s="72">
        <v>0</v>
      </c>
      <c r="M141" s="72">
        <v>0</v>
      </c>
      <c r="N141" s="72">
        <v>0</v>
      </c>
      <c r="O141" s="72">
        <v>0</v>
      </c>
      <c r="P141" s="72">
        <v>0</v>
      </c>
      <c r="Q141" s="72">
        <v>0</v>
      </c>
      <c r="R141" s="72">
        <v>0</v>
      </c>
      <c r="S141" s="72">
        <v>0</v>
      </c>
      <c r="T141" s="72">
        <v>0</v>
      </c>
      <c r="U141" s="72">
        <v>0</v>
      </c>
      <c r="V141" s="72">
        <v>0</v>
      </c>
      <c r="W141" s="72">
        <v>0</v>
      </c>
      <c r="X141" s="72">
        <v>0</v>
      </c>
      <c r="Y141" s="72">
        <v>0</v>
      </c>
      <c r="Z141" s="72">
        <v>0</v>
      </c>
      <c r="AA141" s="72">
        <v>0</v>
      </c>
      <c r="AB141" s="72">
        <v>0</v>
      </c>
      <c r="AC141" s="72">
        <v>0</v>
      </c>
      <c r="AD141" s="72">
        <v>0</v>
      </c>
      <c r="AE141" s="72">
        <v>0</v>
      </c>
      <c r="AF141" s="72">
        <v>1694.2799480968874</v>
      </c>
      <c r="AG141" s="72">
        <v>0</v>
      </c>
      <c r="AH141" s="72">
        <v>0</v>
      </c>
      <c r="AI141" s="72">
        <v>0</v>
      </c>
      <c r="AJ141" s="72">
        <v>0</v>
      </c>
      <c r="AK141" s="72">
        <v>0</v>
      </c>
      <c r="AL141" s="72">
        <v>0</v>
      </c>
      <c r="AM141" s="72">
        <v>0</v>
      </c>
      <c r="AN141" s="72">
        <v>0</v>
      </c>
      <c r="AO141" s="72">
        <v>0</v>
      </c>
      <c r="AP141" s="72">
        <v>0</v>
      </c>
      <c r="AQ141" s="72">
        <v>0</v>
      </c>
      <c r="AR141" s="72">
        <v>58.256395037385396</v>
      </c>
      <c r="AS141" s="72">
        <v>0</v>
      </c>
      <c r="AT141" s="72">
        <v>0</v>
      </c>
      <c r="AU141" s="72">
        <v>0</v>
      </c>
      <c r="AV141" s="72">
        <v>0</v>
      </c>
      <c r="AW141" s="72">
        <v>0</v>
      </c>
      <c r="AX141" s="72">
        <v>0</v>
      </c>
      <c r="AY141" s="72">
        <v>0</v>
      </c>
      <c r="AZ141" s="72">
        <v>0</v>
      </c>
      <c r="BA141" s="72">
        <v>0</v>
      </c>
      <c r="BB141" s="72">
        <v>0</v>
      </c>
      <c r="BC141" s="72">
        <v>41.452266906918616</v>
      </c>
      <c r="BD141" s="72">
        <v>0</v>
      </c>
      <c r="BE141" s="72">
        <v>0</v>
      </c>
      <c r="BF141" s="72">
        <v>0</v>
      </c>
      <c r="BG141" s="72">
        <v>0</v>
      </c>
      <c r="BH141" s="72">
        <v>0</v>
      </c>
      <c r="BI141" s="72">
        <v>0</v>
      </c>
      <c r="BJ141" s="72">
        <v>0</v>
      </c>
      <c r="BK141" s="72">
        <v>0</v>
      </c>
      <c r="BL141" s="72">
        <v>0</v>
      </c>
      <c r="BM141" s="72">
        <v>0</v>
      </c>
      <c r="BN141" s="72">
        <v>0</v>
      </c>
      <c r="BO141" s="72">
        <v>0</v>
      </c>
      <c r="BP141" s="72">
        <v>0</v>
      </c>
      <c r="BQ141" s="72">
        <v>0</v>
      </c>
      <c r="BR141" s="72">
        <v>0</v>
      </c>
      <c r="BS141" s="72">
        <v>0</v>
      </c>
      <c r="BT141" s="72">
        <v>0</v>
      </c>
      <c r="BU141" s="72">
        <v>0</v>
      </c>
      <c r="BV141" s="72">
        <v>0</v>
      </c>
      <c r="BW141" s="72">
        <v>0</v>
      </c>
      <c r="BX141" s="72">
        <v>0</v>
      </c>
      <c r="BY141" s="72">
        <v>0</v>
      </c>
      <c r="BZ141" s="72">
        <v>0</v>
      </c>
      <c r="CA141" s="72">
        <v>0</v>
      </c>
      <c r="CB141" s="72">
        <v>0</v>
      </c>
      <c r="CC141" s="72">
        <v>0</v>
      </c>
      <c r="CD141" s="72">
        <v>0</v>
      </c>
      <c r="CE141" s="72">
        <v>0</v>
      </c>
      <c r="CF141" s="72">
        <v>0</v>
      </c>
      <c r="CG141" s="72">
        <v>0</v>
      </c>
      <c r="CH141" s="72">
        <v>0</v>
      </c>
      <c r="CI141" s="72">
        <v>0</v>
      </c>
      <c r="CJ141" s="72">
        <v>0</v>
      </c>
      <c r="CK141" s="72">
        <v>0</v>
      </c>
      <c r="CL141" s="72">
        <v>0</v>
      </c>
      <c r="CM141" s="72">
        <v>0</v>
      </c>
      <c r="CN141" s="72">
        <v>0</v>
      </c>
      <c r="CO141" s="72">
        <v>0</v>
      </c>
      <c r="CP141" s="72">
        <v>0</v>
      </c>
      <c r="CQ141" s="72">
        <v>0</v>
      </c>
      <c r="CR141" s="72">
        <v>0</v>
      </c>
      <c r="CS141" s="72">
        <v>0</v>
      </c>
      <c r="CT141" s="72">
        <v>0</v>
      </c>
      <c r="CU141" s="72">
        <v>0</v>
      </c>
      <c r="CV141" s="72">
        <v>0</v>
      </c>
      <c r="CW141" s="72">
        <v>0</v>
      </c>
      <c r="CX141" s="72">
        <v>0</v>
      </c>
      <c r="CY141" s="72">
        <v>0</v>
      </c>
      <c r="CZ141" s="72">
        <v>0</v>
      </c>
      <c r="DA141" s="72">
        <v>0</v>
      </c>
      <c r="DB141" s="72">
        <v>0</v>
      </c>
      <c r="DC141" s="72">
        <v>0</v>
      </c>
      <c r="DD141" s="72">
        <v>0</v>
      </c>
      <c r="DE141" s="72">
        <v>0</v>
      </c>
      <c r="DF141" s="72">
        <v>0</v>
      </c>
      <c r="DG141" s="72">
        <v>0</v>
      </c>
      <c r="DH141" s="72">
        <v>0</v>
      </c>
      <c r="DI141" s="72">
        <v>0</v>
      </c>
      <c r="DJ141" s="72">
        <v>0</v>
      </c>
      <c r="DK141" s="72">
        <v>0</v>
      </c>
      <c r="DL141" s="72">
        <v>0</v>
      </c>
      <c r="DM141" s="72">
        <v>0</v>
      </c>
      <c r="DN141" s="72">
        <v>0</v>
      </c>
      <c r="DO141" s="72">
        <v>0</v>
      </c>
      <c r="DP141" s="72">
        <v>0</v>
      </c>
      <c r="DQ141" s="72">
        <v>0</v>
      </c>
      <c r="DR141" s="72">
        <v>0</v>
      </c>
      <c r="DS141" s="72">
        <v>0</v>
      </c>
      <c r="DT141" s="72">
        <v>0</v>
      </c>
      <c r="DU141" s="72">
        <v>0</v>
      </c>
      <c r="DV141" s="72">
        <v>0</v>
      </c>
      <c r="DW141" s="72">
        <v>0</v>
      </c>
      <c r="DX141" s="72">
        <v>0</v>
      </c>
      <c r="DY141" s="72">
        <v>0</v>
      </c>
      <c r="DZ141" s="72">
        <v>0</v>
      </c>
      <c r="EA141" s="72">
        <v>0</v>
      </c>
      <c r="EB141" s="72">
        <v>0</v>
      </c>
      <c r="EC141" s="72">
        <v>0</v>
      </c>
      <c r="ED141" s="72">
        <v>0</v>
      </c>
      <c r="EE141" s="72">
        <v>0</v>
      </c>
      <c r="EF141" s="72">
        <v>0</v>
      </c>
      <c r="EG141" s="72">
        <v>0</v>
      </c>
      <c r="EH141" s="72">
        <v>0</v>
      </c>
      <c r="EI141" s="72">
        <v>0</v>
      </c>
      <c r="EJ141" s="72">
        <v>0</v>
      </c>
      <c r="EK141" s="72">
        <v>0</v>
      </c>
      <c r="EL141" s="72">
        <v>0</v>
      </c>
      <c r="EM141" s="72">
        <v>0</v>
      </c>
      <c r="EN141" s="72">
        <v>0</v>
      </c>
      <c r="EO141" s="72">
        <v>0</v>
      </c>
      <c r="EP141" s="72">
        <v>0</v>
      </c>
      <c r="EQ141" s="72">
        <v>0</v>
      </c>
      <c r="ER141" s="72">
        <v>0</v>
      </c>
      <c r="ES141" s="72">
        <v>0</v>
      </c>
      <c r="ET141" s="72">
        <v>0</v>
      </c>
      <c r="EU141" s="72">
        <v>0</v>
      </c>
      <c r="EV141" s="72">
        <v>0</v>
      </c>
      <c r="EW141" s="72">
        <v>0</v>
      </c>
      <c r="EX141" s="72">
        <v>0</v>
      </c>
      <c r="EY141" s="72">
        <v>0</v>
      </c>
      <c r="EZ141" s="72">
        <v>0</v>
      </c>
      <c r="FA141" s="72">
        <v>0</v>
      </c>
      <c r="FB141" s="72">
        <v>0</v>
      </c>
      <c r="FC141" s="72">
        <v>0</v>
      </c>
      <c r="FD141" s="72">
        <v>0</v>
      </c>
      <c r="FE141" s="72">
        <v>0</v>
      </c>
      <c r="FF141" s="72">
        <v>0</v>
      </c>
      <c r="FG141" s="72">
        <v>0</v>
      </c>
      <c r="FH141" s="72">
        <v>0</v>
      </c>
      <c r="FI141" s="72">
        <v>0</v>
      </c>
      <c r="FJ141" s="72">
        <v>0</v>
      </c>
      <c r="FK141" s="72">
        <v>0</v>
      </c>
      <c r="FL141" s="72">
        <v>0</v>
      </c>
      <c r="FM141" s="72">
        <v>0</v>
      </c>
      <c r="FN141" s="72">
        <v>0</v>
      </c>
      <c r="FO141" s="72">
        <v>0</v>
      </c>
      <c r="FP141" s="72">
        <v>0</v>
      </c>
      <c r="FQ141" s="72">
        <v>0</v>
      </c>
      <c r="FR141" s="72">
        <v>0</v>
      </c>
      <c r="FS141" s="72">
        <v>0</v>
      </c>
      <c r="FT141" s="72">
        <v>0</v>
      </c>
      <c r="FU141" s="72">
        <v>0</v>
      </c>
      <c r="FV141" s="74">
        <v>2.9925980368924829</v>
      </c>
      <c r="FW141" s="74">
        <v>5.3972837540366436</v>
      </c>
      <c r="FX141" s="74">
        <v>6.4309817633702089</v>
      </c>
      <c r="FY141" s="74">
        <v>4.7560267293118947</v>
      </c>
      <c r="FZ141" s="74">
        <v>5.9218511758833117</v>
      </c>
      <c r="GA141" s="74">
        <v>20.097368371821037</v>
      </c>
      <c r="GB141" s="74">
        <v>22.759341243701503</v>
      </c>
      <c r="GC141" s="74">
        <v>31.289593099961511</v>
      </c>
      <c r="GD141" s="74">
        <v>192.79168492132064</v>
      </c>
      <c r="GE141" s="74">
        <v>24.799500996518745</v>
      </c>
      <c r="GF141" s="74">
        <v>88.331904716114266</v>
      </c>
      <c r="GG141" s="74">
        <v>11.225726276796818</v>
      </c>
      <c r="GH141" s="74">
        <v>17.574705392350861</v>
      </c>
      <c r="GI141" s="74">
        <v>840.39535702090325</v>
      </c>
      <c r="GJ141" s="72">
        <v>0</v>
      </c>
      <c r="GK141" s="72">
        <v>0</v>
      </c>
      <c r="GL141" s="72">
        <v>0</v>
      </c>
      <c r="GM141" s="72">
        <v>0</v>
      </c>
      <c r="GN141" s="72">
        <v>0</v>
      </c>
      <c r="GO141" s="72">
        <v>11976.863385443809</v>
      </c>
      <c r="GP141" s="72">
        <v>-154.89331856315204</v>
      </c>
      <c r="GQ141" s="72">
        <v>5589.4082237670182</v>
      </c>
      <c r="GR141" s="72">
        <f t="shared" si="2"/>
        <v>20480.130824187851</v>
      </c>
      <c r="GS141" s="72">
        <f>SUM(EH$5:EH$202)</f>
        <v>20480.130824187854</v>
      </c>
      <c r="GT141" s="73">
        <v>0</v>
      </c>
    </row>
    <row r="142" spans="1:202" outlineLevel="1" x14ac:dyDescent="0.2">
      <c r="A142" s="66" t="s">
        <v>1089</v>
      </c>
      <c r="B142" s="72">
        <v>0</v>
      </c>
      <c r="C142" s="72">
        <v>0</v>
      </c>
      <c r="D142" s="72">
        <v>0</v>
      </c>
      <c r="E142" s="72">
        <v>0</v>
      </c>
      <c r="F142" s="72">
        <v>0</v>
      </c>
      <c r="G142" s="72">
        <v>0</v>
      </c>
      <c r="H142" s="72">
        <v>0</v>
      </c>
      <c r="I142" s="72">
        <v>0</v>
      </c>
      <c r="J142" s="72">
        <v>0</v>
      </c>
      <c r="K142" s="72">
        <v>0</v>
      </c>
      <c r="L142" s="72">
        <v>0</v>
      </c>
      <c r="M142" s="72">
        <v>0</v>
      </c>
      <c r="N142" s="72">
        <v>0</v>
      </c>
      <c r="O142" s="72">
        <v>0</v>
      </c>
      <c r="P142" s="72">
        <v>0</v>
      </c>
      <c r="Q142" s="72">
        <v>0</v>
      </c>
      <c r="R142" s="72">
        <v>0</v>
      </c>
      <c r="S142" s="72">
        <v>0</v>
      </c>
      <c r="T142" s="72">
        <v>0</v>
      </c>
      <c r="U142" s="72">
        <v>0</v>
      </c>
      <c r="V142" s="72">
        <v>0</v>
      </c>
      <c r="W142" s="72">
        <v>0</v>
      </c>
      <c r="X142" s="72">
        <v>0</v>
      </c>
      <c r="Y142" s="72">
        <v>0</v>
      </c>
      <c r="Z142" s="72">
        <v>0</v>
      </c>
      <c r="AA142" s="72">
        <v>0</v>
      </c>
      <c r="AB142" s="72">
        <v>0</v>
      </c>
      <c r="AC142" s="72">
        <v>0</v>
      </c>
      <c r="AD142" s="72">
        <v>0</v>
      </c>
      <c r="AE142" s="72">
        <v>0</v>
      </c>
      <c r="AF142" s="72">
        <v>168.22231549519859</v>
      </c>
      <c r="AG142" s="72">
        <v>0</v>
      </c>
      <c r="AH142" s="72">
        <v>0</v>
      </c>
      <c r="AI142" s="72">
        <v>0</v>
      </c>
      <c r="AJ142" s="72">
        <v>0</v>
      </c>
      <c r="AK142" s="72">
        <v>0</v>
      </c>
      <c r="AL142" s="72">
        <v>0</v>
      </c>
      <c r="AM142" s="72">
        <v>0</v>
      </c>
      <c r="AN142" s="72">
        <v>0</v>
      </c>
      <c r="AO142" s="72">
        <v>0</v>
      </c>
      <c r="AP142" s="72">
        <v>0</v>
      </c>
      <c r="AQ142" s="72">
        <v>0</v>
      </c>
      <c r="AR142" s="72">
        <v>0</v>
      </c>
      <c r="AS142" s="72">
        <v>0</v>
      </c>
      <c r="AT142" s="72">
        <v>0</v>
      </c>
      <c r="AU142" s="72">
        <v>0</v>
      </c>
      <c r="AV142" s="72">
        <v>0</v>
      </c>
      <c r="AW142" s="72">
        <v>0</v>
      </c>
      <c r="AX142" s="72">
        <v>0</v>
      </c>
      <c r="AY142" s="72">
        <v>0</v>
      </c>
      <c r="AZ142" s="72">
        <v>0</v>
      </c>
      <c r="BA142" s="72">
        <v>0</v>
      </c>
      <c r="BB142" s="72">
        <v>0</v>
      </c>
      <c r="BC142" s="72">
        <v>6.5734361768004096E-2</v>
      </c>
      <c r="BD142" s="72">
        <v>0</v>
      </c>
      <c r="BE142" s="72">
        <v>263.35548210231383</v>
      </c>
      <c r="BF142" s="72">
        <v>120.71236299600469</v>
      </c>
      <c r="BG142" s="72">
        <v>0</v>
      </c>
      <c r="BH142" s="72">
        <v>10.318012236317848</v>
      </c>
      <c r="BI142" s="72">
        <v>0</v>
      </c>
      <c r="BJ142" s="72">
        <v>1674.5486516367446</v>
      </c>
      <c r="BK142" s="72">
        <v>0</v>
      </c>
      <c r="BL142" s="72">
        <v>0</v>
      </c>
      <c r="BM142" s="72">
        <v>0</v>
      </c>
      <c r="BN142" s="72">
        <v>0</v>
      </c>
      <c r="BO142" s="72">
        <v>0</v>
      </c>
      <c r="BP142" s="72">
        <v>0</v>
      </c>
      <c r="BQ142" s="72">
        <v>0</v>
      </c>
      <c r="BR142" s="72">
        <v>0</v>
      </c>
      <c r="BS142" s="72">
        <v>0</v>
      </c>
      <c r="BT142" s="72">
        <v>0</v>
      </c>
      <c r="BU142" s="72">
        <v>0</v>
      </c>
      <c r="BV142" s="72">
        <v>0</v>
      </c>
      <c r="BW142" s="72">
        <v>0</v>
      </c>
      <c r="BX142" s="72">
        <v>0</v>
      </c>
      <c r="BY142" s="72">
        <v>0</v>
      </c>
      <c r="BZ142" s="72">
        <v>0</v>
      </c>
      <c r="CA142" s="72">
        <v>0</v>
      </c>
      <c r="CB142" s="72">
        <v>0</v>
      </c>
      <c r="CC142" s="72">
        <v>0</v>
      </c>
      <c r="CD142" s="72">
        <v>0</v>
      </c>
      <c r="CE142" s="72">
        <v>0</v>
      </c>
      <c r="CF142" s="72">
        <v>0</v>
      </c>
      <c r="CG142" s="72">
        <v>0</v>
      </c>
      <c r="CH142" s="72">
        <v>0</v>
      </c>
      <c r="CI142" s="72">
        <v>0</v>
      </c>
      <c r="CJ142" s="72">
        <v>0</v>
      </c>
      <c r="CK142" s="72">
        <v>0</v>
      </c>
      <c r="CL142" s="72">
        <v>0</v>
      </c>
      <c r="CM142" s="72">
        <v>0</v>
      </c>
      <c r="CN142" s="72">
        <v>0</v>
      </c>
      <c r="CO142" s="72">
        <v>0</v>
      </c>
      <c r="CP142" s="72">
        <v>0</v>
      </c>
      <c r="CQ142" s="72">
        <v>0</v>
      </c>
      <c r="CR142" s="72">
        <v>0</v>
      </c>
      <c r="CS142" s="72">
        <v>0</v>
      </c>
      <c r="CT142" s="72">
        <v>0</v>
      </c>
      <c r="CU142" s="72">
        <v>0</v>
      </c>
      <c r="CV142" s="72">
        <v>0</v>
      </c>
      <c r="CW142" s="72">
        <v>0</v>
      </c>
      <c r="CX142" s="72">
        <v>0</v>
      </c>
      <c r="CY142" s="72">
        <v>0</v>
      </c>
      <c r="CZ142" s="72">
        <v>0</v>
      </c>
      <c r="DA142" s="72">
        <v>0</v>
      </c>
      <c r="DB142" s="72">
        <v>0</v>
      </c>
      <c r="DC142" s="72">
        <v>0</v>
      </c>
      <c r="DD142" s="72">
        <v>0</v>
      </c>
      <c r="DE142" s="72">
        <v>0</v>
      </c>
      <c r="DF142" s="72">
        <v>0</v>
      </c>
      <c r="DG142" s="72">
        <v>0</v>
      </c>
      <c r="DH142" s="72">
        <v>0</v>
      </c>
      <c r="DI142" s="72">
        <v>0</v>
      </c>
      <c r="DJ142" s="72">
        <v>0</v>
      </c>
      <c r="DK142" s="72">
        <v>0</v>
      </c>
      <c r="DL142" s="72">
        <v>0</v>
      </c>
      <c r="DM142" s="72">
        <v>0</v>
      </c>
      <c r="DN142" s="72">
        <v>0</v>
      </c>
      <c r="DO142" s="72">
        <v>0</v>
      </c>
      <c r="DP142" s="72">
        <v>0</v>
      </c>
      <c r="DQ142" s="72">
        <v>0</v>
      </c>
      <c r="DR142" s="72">
        <v>0</v>
      </c>
      <c r="DS142" s="72">
        <v>0</v>
      </c>
      <c r="DT142" s="72">
        <v>0</v>
      </c>
      <c r="DU142" s="72">
        <v>0</v>
      </c>
      <c r="DV142" s="72">
        <v>0</v>
      </c>
      <c r="DW142" s="72">
        <v>0</v>
      </c>
      <c r="DX142" s="72">
        <v>0</v>
      </c>
      <c r="DY142" s="72">
        <v>0</v>
      </c>
      <c r="DZ142" s="72">
        <v>0</v>
      </c>
      <c r="EA142" s="72">
        <v>0</v>
      </c>
      <c r="EB142" s="72">
        <v>0</v>
      </c>
      <c r="EC142" s="72">
        <v>0</v>
      </c>
      <c r="ED142" s="72">
        <v>0</v>
      </c>
      <c r="EE142" s="72">
        <v>0</v>
      </c>
      <c r="EF142" s="72">
        <v>0</v>
      </c>
      <c r="EG142" s="72">
        <v>0</v>
      </c>
      <c r="EH142" s="72">
        <v>0</v>
      </c>
      <c r="EI142" s="72">
        <v>0</v>
      </c>
      <c r="EJ142" s="72">
        <v>0</v>
      </c>
      <c r="EK142" s="72">
        <v>0</v>
      </c>
      <c r="EL142" s="72">
        <v>0</v>
      </c>
      <c r="EM142" s="72">
        <v>0</v>
      </c>
      <c r="EN142" s="72">
        <v>0</v>
      </c>
      <c r="EO142" s="72">
        <v>0</v>
      </c>
      <c r="EP142" s="72">
        <v>0</v>
      </c>
      <c r="EQ142" s="72">
        <v>0</v>
      </c>
      <c r="ER142" s="72">
        <v>0</v>
      </c>
      <c r="ES142" s="72">
        <v>0</v>
      </c>
      <c r="ET142" s="72">
        <v>0</v>
      </c>
      <c r="EU142" s="72">
        <v>0</v>
      </c>
      <c r="EV142" s="72">
        <v>0</v>
      </c>
      <c r="EW142" s="72">
        <v>0</v>
      </c>
      <c r="EX142" s="72">
        <v>0</v>
      </c>
      <c r="EY142" s="72">
        <v>0</v>
      </c>
      <c r="EZ142" s="72">
        <v>0</v>
      </c>
      <c r="FA142" s="72">
        <v>0</v>
      </c>
      <c r="FB142" s="72">
        <v>0</v>
      </c>
      <c r="FC142" s="72">
        <v>0</v>
      </c>
      <c r="FD142" s="72">
        <v>0</v>
      </c>
      <c r="FE142" s="72">
        <v>0</v>
      </c>
      <c r="FF142" s="72">
        <v>0</v>
      </c>
      <c r="FG142" s="72">
        <v>0</v>
      </c>
      <c r="FH142" s="72">
        <v>0</v>
      </c>
      <c r="FI142" s="72">
        <v>0</v>
      </c>
      <c r="FJ142" s="72">
        <v>0</v>
      </c>
      <c r="FK142" s="72">
        <v>0</v>
      </c>
      <c r="FL142" s="72">
        <v>0</v>
      </c>
      <c r="FM142" s="72">
        <v>0</v>
      </c>
      <c r="FN142" s="72">
        <v>0</v>
      </c>
      <c r="FO142" s="72">
        <v>0</v>
      </c>
      <c r="FP142" s="72">
        <v>0</v>
      </c>
      <c r="FQ142" s="72">
        <v>0</v>
      </c>
      <c r="FR142" s="72">
        <v>0</v>
      </c>
      <c r="FS142" s="72">
        <v>0</v>
      </c>
      <c r="FT142" s="72">
        <v>0</v>
      </c>
      <c r="FU142" s="72">
        <v>0</v>
      </c>
      <c r="FV142" s="74">
        <v>18.38237287051313</v>
      </c>
      <c r="FW142" s="74">
        <v>33.153427634300435</v>
      </c>
      <c r="FX142" s="74">
        <v>39.503034901572541</v>
      </c>
      <c r="FY142" s="74">
        <v>29.214433626750161</v>
      </c>
      <c r="FZ142" s="74">
        <v>36.375642520908556</v>
      </c>
      <c r="GA142" s="74">
        <v>123.45036472405621</v>
      </c>
      <c r="GB142" s="74">
        <v>139.80183501804527</v>
      </c>
      <c r="GC142" s="74">
        <v>192.19987457032209</v>
      </c>
      <c r="GD142" s="74">
        <v>1184.2447916053106</v>
      </c>
      <c r="GE142" s="74">
        <v>152.33374770039254</v>
      </c>
      <c r="GF142" s="74">
        <v>542.58874357224192</v>
      </c>
      <c r="GG142" s="74">
        <v>68.95529690872749</v>
      </c>
      <c r="GH142" s="74">
        <v>107.95462124511786</v>
      </c>
      <c r="GI142" s="74">
        <v>5162.2238005101235</v>
      </c>
      <c r="GJ142" s="72">
        <v>0</v>
      </c>
      <c r="GK142" s="72">
        <v>0</v>
      </c>
      <c r="GL142" s="72">
        <v>0</v>
      </c>
      <c r="GM142" s="72">
        <v>0</v>
      </c>
      <c r="GN142" s="72">
        <v>0</v>
      </c>
      <c r="GO142" s="72">
        <v>3568.744089206939</v>
      </c>
      <c r="GP142" s="72">
        <v>583.49612127905584</v>
      </c>
      <c r="GQ142" s="72">
        <v>546.85185546469597</v>
      </c>
      <c r="GR142" s="72">
        <f t="shared" si="2"/>
        <v>14766.696612187419</v>
      </c>
      <c r="GS142" s="72">
        <f>SUM(EI$5:EI$202)</f>
        <v>14766.696612187421</v>
      </c>
      <c r="GT142" s="73">
        <v>0</v>
      </c>
    </row>
    <row r="143" spans="1:202" outlineLevel="1" x14ac:dyDescent="0.2">
      <c r="A143" s="66" t="s">
        <v>1095</v>
      </c>
      <c r="B143" s="72">
        <v>0</v>
      </c>
      <c r="C143" s="72">
        <v>0</v>
      </c>
      <c r="D143" s="72">
        <v>26.917843034524882</v>
      </c>
      <c r="E143" s="72">
        <v>2627.8529447253823</v>
      </c>
      <c r="F143" s="72">
        <v>2081.5709551881746</v>
      </c>
      <c r="G143" s="72">
        <v>11625.832340958614</v>
      </c>
      <c r="H143" s="72">
        <v>1299.6589871791564</v>
      </c>
      <c r="I143" s="72">
        <v>864.56389722301401</v>
      </c>
      <c r="J143" s="72">
        <v>250.87358200187282</v>
      </c>
      <c r="K143" s="72">
        <v>57.619536878849019</v>
      </c>
      <c r="L143" s="72">
        <v>66.586125035461464</v>
      </c>
      <c r="M143" s="72">
        <v>10.388860221213395</v>
      </c>
      <c r="N143" s="72">
        <v>24.685048269844181</v>
      </c>
      <c r="O143" s="72">
        <v>62.083436851551568</v>
      </c>
      <c r="P143" s="72">
        <v>482.45510371241886</v>
      </c>
      <c r="Q143" s="72">
        <v>248.96705847287342</v>
      </c>
      <c r="R143" s="72">
        <v>196.87018531534233</v>
      </c>
      <c r="S143" s="72">
        <v>212.61515530862803</v>
      </c>
      <c r="T143" s="72">
        <v>461.81860883601871</v>
      </c>
      <c r="U143" s="72">
        <v>62.695033333608357</v>
      </c>
      <c r="V143" s="72">
        <v>115.02196453009728</v>
      </c>
      <c r="W143" s="72">
        <v>13.07578428249921</v>
      </c>
      <c r="X143" s="72">
        <v>304.91891581302963</v>
      </c>
      <c r="Y143" s="72">
        <v>154.55928200229246</v>
      </c>
      <c r="Z143" s="72">
        <v>145.85675500486133</v>
      </c>
      <c r="AA143" s="72">
        <v>256.37762572409798</v>
      </c>
      <c r="AB143" s="72">
        <v>88.094696373795259</v>
      </c>
      <c r="AC143" s="72">
        <v>30.732035473180577</v>
      </c>
      <c r="AD143" s="72">
        <v>40.328119279286938</v>
      </c>
      <c r="AE143" s="72">
        <v>296.87719107897885</v>
      </c>
      <c r="AF143" s="72">
        <v>55.012893933048758</v>
      </c>
      <c r="AG143" s="72">
        <v>54.559222124088514</v>
      </c>
      <c r="AH143" s="72">
        <v>52.064577150074285</v>
      </c>
      <c r="AI143" s="72">
        <v>210.56815021629262</v>
      </c>
      <c r="AJ143" s="72">
        <v>64.802595036407297</v>
      </c>
      <c r="AK143" s="72">
        <v>1028.9345904310214</v>
      </c>
      <c r="AL143" s="72">
        <v>3980.377447457457</v>
      </c>
      <c r="AM143" s="72">
        <v>1770.569217168545</v>
      </c>
      <c r="AN143" s="72">
        <v>1577.8547504169348</v>
      </c>
      <c r="AO143" s="72">
        <v>1158.1077021206095</v>
      </c>
      <c r="AP143" s="72">
        <v>553.80121253420657</v>
      </c>
      <c r="AQ143" s="72">
        <v>19.815687823633485</v>
      </c>
      <c r="AR143" s="72">
        <v>488.91297959872071</v>
      </c>
      <c r="AS143" s="72">
        <v>578.48611372054665</v>
      </c>
      <c r="AT143" s="72">
        <v>3148.6291751098961</v>
      </c>
      <c r="AU143" s="72">
        <v>1195.3286334639802</v>
      </c>
      <c r="AV143" s="72">
        <v>1955.941152594781</v>
      </c>
      <c r="AW143" s="72">
        <v>2820.8617270878517</v>
      </c>
      <c r="AX143" s="72">
        <v>28157.069979767079</v>
      </c>
      <c r="AY143" s="72">
        <v>106.25581554782744</v>
      </c>
      <c r="AZ143" s="72">
        <v>386.77526655312647</v>
      </c>
      <c r="BA143" s="72">
        <v>154.27553639714122</v>
      </c>
      <c r="BB143" s="72">
        <v>1762.168061199623</v>
      </c>
      <c r="BC143" s="72">
        <v>20212.747778323086</v>
      </c>
      <c r="BD143" s="72">
        <v>7661.4058532326544</v>
      </c>
      <c r="BE143" s="72">
        <v>5180.9536561051609</v>
      </c>
      <c r="BF143" s="72">
        <v>342.75198441097177</v>
      </c>
      <c r="BG143" s="72">
        <v>167.8292328143711</v>
      </c>
      <c r="BH143" s="72">
        <v>800.44057185809595</v>
      </c>
      <c r="BI143" s="72">
        <v>22.864839834529594</v>
      </c>
      <c r="BJ143" s="72">
        <v>656.32425191553921</v>
      </c>
      <c r="BK143" s="72">
        <v>0</v>
      </c>
      <c r="BL143" s="72">
        <v>0</v>
      </c>
      <c r="BM143" s="72">
        <v>0</v>
      </c>
      <c r="BN143" s="72">
        <v>0</v>
      </c>
      <c r="BO143" s="72">
        <v>0</v>
      </c>
      <c r="BP143" s="72">
        <v>0</v>
      </c>
      <c r="BQ143" s="72">
        <v>0</v>
      </c>
      <c r="BR143" s="72">
        <v>0</v>
      </c>
      <c r="BS143" s="72">
        <v>0</v>
      </c>
      <c r="BT143" s="72">
        <v>0</v>
      </c>
      <c r="BU143" s="72">
        <v>0</v>
      </c>
      <c r="BV143" s="72">
        <v>0</v>
      </c>
      <c r="BW143" s="72">
        <v>0</v>
      </c>
      <c r="BX143" s="72">
        <v>0</v>
      </c>
      <c r="BY143" s="72">
        <v>0</v>
      </c>
      <c r="BZ143" s="72">
        <v>0</v>
      </c>
      <c r="CA143" s="72">
        <v>0</v>
      </c>
      <c r="CB143" s="72">
        <v>0</v>
      </c>
      <c r="CC143" s="72">
        <v>0</v>
      </c>
      <c r="CD143" s="72">
        <v>0</v>
      </c>
      <c r="CE143" s="72">
        <v>0</v>
      </c>
      <c r="CF143" s="72">
        <v>0</v>
      </c>
      <c r="CG143" s="72">
        <v>0</v>
      </c>
      <c r="CH143" s="72">
        <v>0</v>
      </c>
      <c r="CI143" s="72">
        <v>0</v>
      </c>
      <c r="CJ143" s="72">
        <v>0</v>
      </c>
      <c r="CK143" s="72">
        <v>0</v>
      </c>
      <c r="CL143" s="72">
        <v>0</v>
      </c>
      <c r="CM143" s="72">
        <v>0</v>
      </c>
      <c r="CN143" s="72">
        <v>0</v>
      </c>
      <c r="CO143" s="72">
        <v>0</v>
      </c>
      <c r="CP143" s="72">
        <v>0</v>
      </c>
      <c r="CQ143" s="72">
        <v>0</v>
      </c>
      <c r="CR143" s="72">
        <v>0</v>
      </c>
      <c r="CS143" s="72">
        <v>0</v>
      </c>
      <c r="CT143" s="72">
        <v>0</v>
      </c>
      <c r="CU143" s="72">
        <v>0</v>
      </c>
      <c r="CV143" s="72">
        <v>0</v>
      </c>
      <c r="CW143" s="72">
        <v>0</v>
      </c>
      <c r="CX143" s="72">
        <v>0</v>
      </c>
      <c r="CY143" s="72">
        <v>0</v>
      </c>
      <c r="CZ143" s="72">
        <v>0</v>
      </c>
      <c r="DA143" s="72">
        <v>0</v>
      </c>
      <c r="DB143" s="72">
        <v>0</v>
      </c>
      <c r="DC143" s="72">
        <v>0</v>
      </c>
      <c r="DD143" s="72">
        <v>0</v>
      </c>
      <c r="DE143" s="72">
        <v>0</v>
      </c>
      <c r="DF143" s="72">
        <v>0</v>
      </c>
      <c r="DG143" s="72">
        <v>0</v>
      </c>
      <c r="DH143" s="72">
        <v>0</v>
      </c>
      <c r="DI143" s="72">
        <v>0</v>
      </c>
      <c r="DJ143" s="72">
        <v>0</v>
      </c>
      <c r="DK143" s="72">
        <v>0</v>
      </c>
      <c r="DL143" s="72">
        <v>0</v>
      </c>
      <c r="DM143" s="72">
        <v>0</v>
      </c>
      <c r="DN143" s="72">
        <v>0</v>
      </c>
      <c r="DO143" s="72">
        <v>0</v>
      </c>
      <c r="DP143" s="72">
        <v>0</v>
      </c>
      <c r="DQ143" s="72">
        <v>0</v>
      </c>
      <c r="DR143" s="72">
        <v>0</v>
      </c>
      <c r="DS143" s="72">
        <v>0</v>
      </c>
      <c r="DT143" s="72">
        <v>0</v>
      </c>
      <c r="DU143" s="72">
        <v>0</v>
      </c>
      <c r="DV143" s="72">
        <v>0</v>
      </c>
      <c r="DW143" s="72">
        <v>0</v>
      </c>
      <c r="DX143" s="72">
        <v>0</v>
      </c>
      <c r="DY143" s="72">
        <v>0</v>
      </c>
      <c r="DZ143" s="72">
        <v>0</v>
      </c>
      <c r="EA143" s="72">
        <v>0</v>
      </c>
      <c r="EB143" s="72">
        <v>0</v>
      </c>
      <c r="EC143" s="72">
        <v>0</v>
      </c>
      <c r="ED143" s="72">
        <v>0</v>
      </c>
      <c r="EE143" s="72">
        <v>0</v>
      </c>
      <c r="EF143" s="72">
        <v>0</v>
      </c>
      <c r="EG143" s="72">
        <v>0</v>
      </c>
      <c r="EH143" s="72">
        <v>0</v>
      </c>
      <c r="EI143" s="72">
        <v>0</v>
      </c>
      <c r="EJ143" s="72">
        <v>0</v>
      </c>
      <c r="EK143" s="72">
        <v>0</v>
      </c>
      <c r="EL143" s="72">
        <v>0</v>
      </c>
      <c r="EM143" s="72">
        <v>0</v>
      </c>
      <c r="EN143" s="72">
        <v>0</v>
      </c>
      <c r="EO143" s="72">
        <v>0</v>
      </c>
      <c r="EP143" s="72">
        <v>0</v>
      </c>
      <c r="EQ143" s="72">
        <v>0</v>
      </c>
      <c r="ER143" s="72">
        <v>0</v>
      </c>
      <c r="ES143" s="72">
        <v>0</v>
      </c>
      <c r="ET143" s="72">
        <v>0</v>
      </c>
      <c r="EU143" s="72">
        <v>0</v>
      </c>
      <c r="EV143" s="72">
        <v>0</v>
      </c>
      <c r="EW143" s="72">
        <v>0</v>
      </c>
      <c r="EX143" s="72">
        <v>0</v>
      </c>
      <c r="EY143" s="72">
        <v>0</v>
      </c>
      <c r="EZ143" s="72">
        <v>0</v>
      </c>
      <c r="FA143" s="72">
        <v>0</v>
      </c>
      <c r="FB143" s="72">
        <v>0</v>
      </c>
      <c r="FC143" s="72">
        <v>0</v>
      </c>
      <c r="FD143" s="72">
        <v>0</v>
      </c>
      <c r="FE143" s="72">
        <v>0</v>
      </c>
      <c r="FF143" s="72">
        <v>0</v>
      </c>
      <c r="FG143" s="72">
        <v>0</v>
      </c>
      <c r="FH143" s="72">
        <v>0</v>
      </c>
      <c r="FI143" s="72">
        <v>0</v>
      </c>
      <c r="FJ143" s="72">
        <v>0</v>
      </c>
      <c r="FK143" s="72">
        <v>0</v>
      </c>
      <c r="FL143" s="72">
        <v>0</v>
      </c>
      <c r="FM143" s="72">
        <v>0</v>
      </c>
      <c r="FN143" s="72">
        <v>0</v>
      </c>
      <c r="FO143" s="72">
        <v>0</v>
      </c>
      <c r="FP143" s="72">
        <v>0</v>
      </c>
      <c r="FQ143" s="72">
        <v>0</v>
      </c>
      <c r="FR143" s="72">
        <v>0</v>
      </c>
      <c r="FS143" s="72">
        <v>0</v>
      </c>
      <c r="FT143" s="72">
        <v>0</v>
      </c>
      <c r="FU143" s="72">
        <v>0</v>
      </c>
      <c r="FV143" s="74">
        <v>35.974315593360934</v>
      </c>
      <c r="FW143" s="74">
        <v>63.982043338165226</v>
      </c>
      <c r="FX143" s="74">
        <v>82.435622396270176</v>
      </c>
      <c r="FY143" s="74">
        <v>94.301779816351754</v>
      </c>
      <c r="FZ143" s="74">
        <v>149.56515184272936</v>
      </c>
      <c r="GA143" s="74">
        <v>181.03517010679283</v>
      </c>
      <c r="GB143" s="74">
        <v>352.87695459890614</v>
      </c>
      <c r="GC143" s="74">
        <v>484.77402275901312</v>
      </c>
      <c r="GD143" s="74">
        <v>1071.3703232217167</v>
      </c>
      <c r="GE143" s="74">
        <v>419.29516778197132</v>
      </c>
      <c r="GF143" s="74">
        <v>354.38337687981334</v>
      </c>
      <c r="GG143" s="74">
        <v>186.2322546102977</v>
      </c>
      <c r="GH143" s="74">
        <v>528.38611199342233</v>
      </c>
      <c r="GI143" s="74">
        <v>645.08102197156654</v>
      </c>
      <c r="GJ143" s="72">
        <v>0</v>
      </c>
      <c r="GK143" s="72">
        <v>0</v>
      </c>
      <c r="GL143" s="72">
        <v>0</v>
      </c>
      <c r="GM143" s="72">
        <v>0</v>
      </c>
      <c r="GN143" s="72">
        <v>0</v>
      </c>
      <c r="GO143" s="72">
        <v>385007.76165369054</v>
      </c>
      <c r="GP143" s="72">
        <v>3.9581209421157837E-9</v>
      </c>
      <c r="GQ143" s="72">
        <v>297.37817894545435</v>
      </c>
      <c r="GR143" s="72">
        <f t="shared" si="2"/>
        <v>498391.22087760631</v>
      </c>
      <c r="GS143" s="72">
        <f>SUM(EJ$5:EJ$202)</f>
        <v>498391.22087760642</v>
      </c>
      <c r="GT143" s="73">
        <v>0</v>
      </c>
    </row>
    <row r="144" spans="1:202" outlineLevel="1" x14ac:dyDescent="0.2">
      <c r="A144" s="66" t="s">
        <v>1509</v>
      </c>
      <c r="B144" s="72">
        <v>0</v>
      </c>
      <c r="C144" s="72">
        <v>0</v>
      </c>
      <c r="D144" s="72">
        <v>0</v>
      </c>
      <c r="E144" s="72">
        <v>0</v>
      </c>
      <c r="F144" s="72">
        <v>0</v>
      </c>
      <c r="G144" s="72">
        <v>0</v>
      </c>
      <c r="H144" s="72">
        <v>0</v>
      </c>
      <c r="I144" s="72">
        <v>0</v>
      </c>
      <c r="J144" s="72">
        <v>0</v>
      </c>
      <c r="K144" s="72">
        <v>0</v>
      </c>
      <c r="L144" s="72">
        <v>0</v>
      </c>
      <c r="M144" s="72">
        <v>0</v>
      </c>
      <c r="N144" s="72">
        <v>0</v>
      </c>
      <c r="O144" s="72">
        <v>0</v>
      </c>
      <c r="P144" s="72">
        <v>0</v>
      </c>
      <c r="Q144" s="72">
        <v>0</v>
      </c>
      <c r="R144" s="72">
        <v>0</v>
      </c>
      <c r="S144" s="72">
        <v>0</v>
      </c>
      <c r="T144" s="72">
        <v>0</v>
      </c>
      <c r="U144" s="72">
        <v>0</v>
      </c>
      <c r="V144" s="72">
        <v>0</v>
      </c>
      <c r="W144" s="72">
        <v>0</v>
      </c>
      <c r="X144" s="72">
        <v>0</v>
      </c>
      <c r="Y144" s="72">
        <v>0</v>
      </c>
      <c r="Z144" s="72">
        <v>0</v>
      </c>
      <c r="AA144" s="72">
        <v>0</v>
      </c>
      <c r="AB144" s="72">
        <v>0</v>
      </c>
      <c r="AC144" s="72">
        <v>0</v>
      </c>
      <c r="AD144" s="72">
        <v>0</v>
      </c>
      <c r="AE144" s="72">
        <v>0</v>
      </c>
      <c r="AF144" s="72">
        <v>0</v>
      </c>
      <c r="AG144" s="72">
        <v>0</v>
      </c>
      <c r="AH144" s="72">
        <v>0</v>
      </c>
      <c r="AI144" s="72">
        <v>0</v>
      </c>
      <c r="AJ144" s="72">
        <v>0</v>
      </c>
      <c r="AK144" s="72">
        <v>0</v>
      </c>
      <c r="AL144" s="72">
        <v>0</v>
      </c>
      <c r="AM144" s="72">
        <v>0</v>
      </c>
      <c r="AN144" s="72">
        <v>0</v>
      </c>
      <c r="AO144" s="72">
        <v>0</v>
      </c>
      <c r="AP144" s="72">
        <v>0</v>
      </c>
      <c r="AQ144" s="72">
        <v>0</v>
      </c>
      <c r="AR144" s="72">
        <v>0</v>
      </c>
      <c r="AS144" s="72">
        <v>0</v>
      </c>
      <c r="AT144" s="72">
        <v>0</v>
      </c>
      <c r="AU144" s="72">
        <v>0</v>
      </c>
      <c r="AV144" s="72">
        <v>0</v>
      </c>
      <c r="AW144" s="72">
        <v>0</v>
      </c>
      <c r="AX144" s="72">
        <v>0</v>
      </c>
      <c r="AY144" s="72">
        <v>0</v>
      </c>
      <c r="AZ144" s="72">
        <v>0</v>
      </c>
      <c r="BA144" s="72">
        <v>0</v>
      </c>
      <c r="BB144" s="72">
        <v>0</v>
      </c>
      <c r="BC144" s="72">
        <v>0</v>
      </c>
      <c r="BD144" s="72">
        <v>0</v>
      </c>
      <c r="BE144" s="72">
        <v>0</v>
      </c>
      <c r="BF144" s="72">
        <v>0</v>
      </c>
      <c r="BG144" s="72">
        <v>0</v>
      </c>
      <c r="BH144" s="72">
        <v>0</v>
      </c>
      <c r="BI144" s="72">
        <v>0</v>
      </c>
      <c r="BJ144" s="72">
        <v>0</v>
      </c>
      <c r="BK144" s="72">
        <v>0</v>
      </c>
      <c r="BL144" s="72">
        <v>0</v>
      </c>
      <c r="BM144" s="72">
        <v>0</v>
      </c>
      <c r="BN144" s="72">
        <v>0</v>
      </c>
      <c r="BO144" s="72">
        <v>0</v>
      </c>
      <c r="BP144" s="72">
        <v>0</v>
      </c>
      <c r="BQ144" s="72">
        <v>0</v>
      </c>
      <c r="BR144" s="72">
        <v>0</v>
      </c>
      <c r="BS144" s="72">
        <v>0</v>
      </c>
      <c r="BT144" s="72">
        <v>0</v>
      </c>
      <c r="BU144" s="72">
        <v>0</v>
      </c>
      <c r="BV144" s="72">
        <v>0</v>
      </c>
      <c r="BW144" s="72">
        <v>0</v>
      </c>
      <c r="BX144" s="72">
        <v>0</v>
      </c>
      <c r="BY144" s="72">
        <v>0</v>
      </c>
      <c r="BZ144" s="72">
        <v>0</v>
      </c>
      <c r="CA144" s="72">
        <v>0</v>
      </c>
      <c r="CB144" s="72">
        <v>0</v>
      </c>
      <c r="CC144" s="72">
        <v>0</v>
      </c>
      <c r="CD144" s="72">
        <v>0</v>
      </c>
      <c r="CE144" s="72">
        <v>0</v>
      </c>
      <c r="CF144" s="72">
        <v>0</v>
      </c>
      <c r="CG144" s="72">
        <v>0</v>
      </c>
      <c r="CH144" s="72">
        <v>0</v>
      </c>
      <c r="CI144" s="72">
        <v>0</v>
      </c>
      <c r="CJ144" s="72">
        <v>0</v>
      </c>
      <c r="CK144" s="72">
        <v>0</v>
      </c>
      <c r="CL144" s="72">
        <v>0</v>
      </c>
      <c r="CM144" s="72">
        <v>0</v>
      </c>
      <c r="CN144" s="72">
        <v>0</v>
      </c>
      <c r="CO144" s="72">
        <v>0</v>
      </c>
      <c r="CP144" s="72">
        <v>0</v>
      </c>
      <c r="CQ144" s="72">
        <v>0</v>
      </c>
      <c r="CR144" s="72">
        <v>0</v>
      </c>
      <c r="CS144" s="72">
        <v>0</v>
      </c>
      <c r="CT144" s="72">
        <v>0</v>
      </c>
      <c r="CU144" s="72">
        <v>0</v>
      </c>
      <c r="CV144" s="72">
        <v>0</v>
      </c>
      <c r="CW144" s="72">
        <v>0</v>
      </c>
      <c r="CX144" s="72">
        <v>0</v>
      </c>
      <c r="CY144" s="72">
        <v>0</v>
      </c>
      <c r="CZ144" s="72">
        <v>0</v>
      </c>
      <c r="DA144" s="72">
        <v>0</v>
      </c>
      <c r="DB144" s="72">
        <v>0</v>
      </c>
      <c r="DC144" s="72">
        <v>0</v>
      </c>
      <c r="DD144" s="72">
        <v>0</v>
      </c>
      <c r="DE144" s="72">
        <v>0</v>
      </c>
      <c r="DF144" s="72">
        <v>0</v>
      </c>
      <c r="DG144" s="72">
        <v>0</v>
      </c>
      <c r="DH144" s="72">
        <v>0</v>
      </c>
      <c r="DI144" s="72">
        <v>0</v>
      </c>
      <c r="DJ144" s="72">
        <v>0</v>
      </c>
      <c r="DK144" s="72">
        <v>0</v>
      </c>
      <c r="DL144" s="72">
        <v>0</v>
      </c>
      <c r="DM144" s="72">
        <v>0</v>
      </c>
      <c r="DN144" s="72">
        <v>0</v>
      </c>
      <c r="DO144" s="72">
        <v>0</v>
      </c>
      <c r="DP144" s="72">
        <v>0</v>
      </c>
      <c r="DQ144" s="72">
        <v>0</v>
      </c>
      <c r="DR144" s="72">
        <v>0</v>
      </c>
      <c r="DS144" s="72">
        <v>0</v>
      </c>
      <c r="DT144" s="72">
        <v>0</v>
      </c>
      <c r="DU144" s="72">
        <v>0</v>
      </c>
      <c r="DV144" s="72">
        <v>0</v>
      </c>
      <c r="DW144" s="72">
        <v>0</v>
      </c>
      <c r="DX144" s="72">
        <v>0</v>
      </c>
      <c r="DY144" s="72">
        <v>0</v>
      </c>
      <c r="DZ144" s="72">
        <v>0</v>
      </c>
      <c r="EA144" s="72">
        <v>0</v>
      </c>
      <c r="EB144" s="72">
        <v>0</v>
      </c>
      <c r="EC144" s="72">
        <v>0</v>
      </c>
      <c r="ED144" s="72">
        <v>0</v>
      </c>
      <c r="EE144" s="72">
        <v>0</v>
      </c>
      <c r="EF144" s="72">
        <v>0</v>
      </c>
      <c r="EG144" s="72">
        <v>0</v>
      </c>
      <c r="EH144" s="72">
        <v>0</v>
      </c>
      <c r="EI144" s="72">
        <v>0</v>
      </c>
      <c r="EJ144" s="72">
        <v>0</v>
      </c>
      <c r="EK144" s="72">
        <v>0</v>
      </c>
      <c r="EL144" s="72">
        <v>0</v>
      </c>
      <c r="EM144" s="72">
        <v>0</v>
      </c>
      <c r="EN144" s="72">
        <v>0</v>
      </c>
      <c r="EO144" s="72">
        <v>0</v>
      </c>
      <c r="EP144" s="72">
        <v>0</v>
      </c>
      <c r="EQ144" s="72">
        <v>0</v>
      </c>
      <c r="ER144" s="72">
        <v>0</v>
      </c>
      <c r="ES144" s="72">
        <v>0</v>
      </c>
      <c r="ET144" s="72">
        <v>0</v>
      </c>
      <c r="EU144" s="72">
        <v>0</v>
      </c>
      <c r="EV144" s="72">
        <v>0</v>
      </c>
      <c r="EW144" s="72">
        <v>0</v>
      </c>
      <c r="EX144" s="72">
        <v>0</v>
      </c>
      <c r="EY144" s="72">
        <v>0</v>
      </c>
      <c r="EZ144" s="72">
        <v>0</v>
      </c>
      <c r="FA144" s="72">
        <v>0</v>
      </c>
      <c r="FB144" s="72">
        <v>0</v>
      </c>
      <c r="FC144" s="72">
        <v>0</v>
      </c>
      <c r="FD144" s="72">
        <v>0</v>
      </c>
      <c r="FE144" s="72">
        <v>0</v>
      </c>
      <c r="FF144" s="72">
        <v>0</v>
      </c>
      <c r="FG144" s="72">
        <v>0</v>
      </c>
      <c r="FH144" s="72">
        <v>0</v>
      </c>
      <c r="FI144" s="72">
        <v>0</v>
      </c>
      <c r="FJ144" s="72">
        <v>0</v>
      </c>
      <c r="FK144" s="72">
        <v>0</v>
      </c>
      <c r="FL144" s="72">
        <v>0</v>
      </c>
      <c r="FM144" s="72">
        <v>0</v>
      </c>
      <c r="FN144" s="72">
        <v>0</v>
      </c>
      <c r="FO144" s="72">
        <v>395158.36594525469</v>
      </c>
      <c r="FP144" s="72">
        <v>0</v>
      </c>
      <c r="FQ144" s="72">
        <v>0</v>
      </c>
      <c r="FR144" s="72">
        <v>0</v>
      </c>
      <c r="FS144" s="72">
        <v>0</v>
      </c>
      <c r="FT144" s="72">
        <v>0</v>
      </c>
      <c r="FU144" s="72">
        <v>0</v>
      </c>
      <c r="FV144" s="74">
        <v>0</v>
      </c>
      <c r="FW144" s="74">
        <v>0</v>
      </c>
      <c r="FX144" s="74">
        <v>0</v>
      </c>
      <c r="FY144" s="74">
        <v>0</v>
      </c>
      <c r="FZ144" s="74">
        <v>0</v>
      </c>
      <c r="GA144" s="74">
        <v>0</v>
      </c>
      <c r="GB144" s="74">
        <v>0</v>
      </c>
      <c r="GC144" s="74">
        <v>0</v>
      </c>
      <c r="GD144" s="74">
        <v>0</v>
      </c>
      <c r="GE144" s="74">
        <v>0</v>
      </c>
      <c r="GF144" s="74">
        <v>0</v>
      </c>
      <c r="GG144" s="74">
        <v>0</v>
      </c>
      <c r="GH144" s="74">
        <v>0</v>
      </c>
      <c r="GI144" s="74">
        <v>0</v>
      </c>
      <c r="GJ144" s="72">
        <v>0</v>
      </c>
      <c r="GK144" s="72">
        <v>0</v>
      </c>
      <c r="GL144" s="72">
        <v>0</v>
      </c>
      <c r="GM144" s="72">
        <v>0</v>
      </c>
      <c r="GN144" s="72">
        <v>0</v>
      </c>
      <c r="GO144" s="72">
        <v>0</v>
      </c>
      <c r="GP144" s="72">
        <v>0</v>
      </c>
      <c r="GQ144" s="72">
        <v>0</v>
      </c>
      <c r="GR144" s="72">
        <f t="shared" si="2"/>
        <v>395158.36594525469</v>
      </c>
      <c r="GS144" s="72">
        <f>SUM(EK$5:EK$202)</f>
        <v>395158.36594525463</v>
      </c>
      <c r="GT144" s="73">
        <v>0</v>
      </c>
    </row>
    <row r="145" spans="1:202" outlineLevel="1" x14ac:dyDescent="0.2">
      <c r="A145" s="66" t="s">
        <v>1510</v>
      </c>
      <c r="B145" s="72">
        <v>0</v>
      </c>
      <c r="C145" s="72">
        <v>0</v>
      </c>
      <c r="D145" s="72">
        <v>0</v>
      </c>
      <c r="E145" s="72">
        <v>0</v>
      </c>
      <c r="F145" s="72">
        <v>0</v>
      </c>
      <c r="G145" s="72">
        <v>0</v>
      </c>
      <c r="H145" s="72">
        <v>0</v>
      </c>
      <c r="I145" s="72">
        <v>0</v>
      </c>
      <c r="J145" s="72">
        <v>0</v>
      </c>
      <c r="K145" s="72">
        <v>0</v>
      </c>
      <c r="L145" s="72">
        <v>0</v>
      </c>
      <c r="M145" s="72">
        <v>0</v>
      </c>
      <c r="N145" s="72">
        <v>0</v>
      </c>
      <c r="O145" s="72">
        <v>0</v>
      </c>
      <c r="P145" s="72">
        <v>0</v>
      </c>
      <c r="Q145" s="72">
        <v>0</v>
      </c>
      <c r="R145" s="72">
        <v>0</v>
      </c>
      <c r="S145" s="72">
        <v>0</v>
      </c>
      <c r="T145" s="72">
        <v>0</v>
      </c>
      <c r="U145" s="72">
        <v>0</v>
      </c>
      <c r="V145" s="72">
        <v>0</v>
      </c>
      <c r="W145" s="72">
        <v>0</v>
      </c>
      <c r="X145" s="72">
        <v>0</v>
      </c>
      <c r="Y145" s="72">
        <v>0</v>
      </c>
      <c r="Z145" s="72">
        <v>0</v>
      </c>
      <c r="AA145" s="72">
        <v>0</v>
      </c>
      <c r="AB145" s="72">
        <v>0</v>
      </c>
      <c r="AC145" s="72">
        <v>0</v>
      </c>
      <c r="AD145" s="72">
        <v>0</v>
      </c>
      <c r="AE145" s="72">
        <v>0</v>
      </c>
      <c r="AF145" s="72">
        <v>0</v>
      </c>
      <c r="AG145" s="72">
        <v>0</v>
      </c>
      <c r="AH145" s="72">
        <v>0</v>
      </c>
      <c r="AI145" s="72">
        <v>0</v>
      </c>
      <c r="AJ145" s="72">
        <v>0</v>
      </c>
      <c r="AK145" s="72">
        <v>0</v>
      </c>
      <c r="AL145" s="72">
        <v>0</v>
      </c>
      <c r="AM145" s="72">
        <v>0</v>
      </c>
      <c r="AN145" s="72">
        <v>0</v>
      </c>
      <c r="AO145" s="72">
        <v>0</v>
      </c>
      <c r="AP145" s="72">
        <v>0</v>
      </c>
      <c r="AQ145" s="72">
        <v>0</v>
      </c>
      <c r="AR145" s="72">
        <v>0</v>
      </c>
      <c r="AS145" s="72">
        <v>0</v>
      </c>
      <c r="AT145" s="72">
        <v>0</v>
      </c>
      <c r="AU145" s="72">
        <v>0</v>
      </c>
      <c r="AV145" s="72">
        <v>0</v>
      </c>
      <c r="AW145" s="72">
        <v>0</v>
      </c>
      <c r="AX145" s="72">
        <v>0</v>
      </c>
      <c r="AY145" s="72">
        <v>0</v>
      </c>
      <c r="AZ145" s="72">
        <v>0</v>
      </c>
      <c r="BA145" s="72">
        <v>0</v>
      </c>
      <c r="BB145" s="72">
        <v>0</v>
      </c>
      <c r="BC145" s="72">
        <v>0</v>
      </c>
      <c r="BD145" s="72">
        <v>0</v>
      </c>
      <c r="BE145" s="72">
        <v>0</v>
      </c>
      <c r="BF145" s="72">
        <v>0</v>
      </c>
      <c r="BG145" s="72">
        <v>0</v>
      </c>
      <c r="BH145" s="72">
        <v>0</v>
      </c>
      <c r="BI145" s="72">
        <v>0</v>
      </c>
      <c r="BJ145" s="72">
        <v>0</v>
      </c>
      <c r="BK145" s="72">
        <v>0</v>
      </c>
      <c r="BL145" s="72">
        <v>0</v>
      </c>
      <c r="BM145" s="72">
        <v>0</v>
      </c>
      <c r="BN145" s="72">
        <v>0</v>
      </c>
      <c r="BO145" s="72">
        <v>0</v>
      </c>
      <c r="BP145" s="72">
        <v>0</v>
      </c>
      <c r="BQ145" s="72">
        <v>0</v>
      </c>
      <c r="BR145" s="72">
        <v>0</v>
      </c>
      <c r="BS145" s="72">
        <v>0</v>
      </c>
      <c r="BT145" s="72">
        <v>0</v>
      </c>
      <c r="BU145" s="72">
        <v>0</v>
      </c>
      <c r="BV145" s="72">
        <v>0</v>
      </c>
      <c r="BW145" s="72">
        <v>0</v>
      </c>
      <c r="BX145" s="72">
        <v>0</v>
      </c>
      <c r="BY145" s="72">
        <v>0</v>
      </c>
      <c r="BZ145" s="72">
        <v>0</v>
      </c>
      <c r="CA145" s="72">
        <v>0</v>
      </c>
      <c r="CB145" s="72">
        <v>0</v>
      </c>
      <c r="CC145" s="72">
        <v>0</v>
      </c>
      <c r="CD145" s="72">
        <v>0</v>
      </c>
      <c r="CE145" s="72">
        <v>0</v>
      </c>
      <c r="CF145" s="72">
        <v>0</v>
      </c>
      <c r="CG145" s="72">
        <v>0</v>
      </c>
      <c r="CH145" s="72">
        <v>0</v>
      </c>
      <c r="CI145" s="72">
        <v>0</v>
      </c>
      <c r="CJ145" s="72">
        <v>0</v>
      </c>
      <c r="CK145" s="72">
        <v>0</v>
      </c>
      <c r="CL145" s="72">
        <v>0</v>
      </c>
      <c r="CM145" s="72">
        <v>0</v>
      </c>
      <c r="CN145" s="72">
        <v>0</v>
      </c>
      <c r="CO145" s="72">
        <v>0</v>
      </c>
      <c r="CP145" s="72">
        <v>0</v>
      </c>
      <c r="CQ145" s="72">
        <v>0</v>
      </c>
      <c r="CR145" s="72">
        <v>0</v>
      </c>
      <c r="CS145" s="72">
        <v>0</v>
      </c>
      <c r="CT145" s="72">
        <v>0</v>
      </c>
      <c r="CU145" s="72">
        <v>0</v>
      </c>
      <c r="CV145" s="72">
        <v>0</v>
      </c>
      <c r="CW145" s="72">
        <v>0</v>
      </c>
      <c r="CX145" s="72">
        <v>0</v>
      </c>
      <c r="CY145" s="72">
        <v>0</v>
      </c>
      <c r="CZ145" s="72">
        <v>0</v>
      </c>
      <c r="DA145" s="72">
        <v>0</v>
      </c>
      <c r="DB145" s="72">
        <v>0</v>
      </c>
      <c r="DC145" s="72">
        <v>0</v>
      </c>
      <c r="DD145" s="72">
        <v>0</v>
      </c>
      <c r="DE145" s="72">
        <v>0</v>
      </c>
      <c r="DF145" s="72">
        <v>0</v>
      </c>
      <c r="DG145" s="72">
        <v>0</v>
      </c>
      <c r="DH145" s="72">
        <v>0</v>
      </c>
      <c r="DI145" s="72">
        <v>0</v>
      </c>
      <c r="DJ145" s="72">
        <v>0</v>
      </c>
      <c r="DK145" s="72">
        <v>0</v>
      </c>
      <c r="DL145" s="72">
        <v>0</v>
      </c>
      <c r="DM145" s="72">
        <v>0</v>
      </c>
      <c r="DN145" s="72">
        <v>0</v>
      </c>
      <c r="DO145" s="72">
        <v>0</v>
      </c>
      <c r="DP145" s="72">
        <v>0</v>
      </c>
      <c r="DQ145" s="72">
        <v>0</v>
      </c>
      <c r="DR145" s="72">
        <v>0</v>
      </c>
      <c r="DS145" s="72">
        <v>0</v>
      </c>
      <c r="DT145" s="72">
        <v>0</v>
      </c>
      <c r="DU145" s="72">
        <v>0</v>
      </c>
      <c r="DV145" s="72">
        <v>0</v>
      </c>
      <c r="DW145" s="72">
        <v>0</v>
      </c>
      <c r="DX145" s="72">
        <v>0</v>
      </c>
      <c r="DY145" s="72">
        <v>0</v>
      </c>
      <c r="DZ145" s="72">
        <v>0</v>
      </c>
      <c r="EA145" s="72">
        <v>0</v>
      </c>
      <c r="EB145" s="72">
        <v>0</v>
      </c>
      <c r="EC145" s="72">
        <v>0</v>
      </c>
      <c r="ED145" s="72">
        <v>0</v>
      </c>
      <c r="EE145" s="72">
        <v>0</v>
      </c>
      <c r="EF145" s="72">
        <v>0</v>
      </c>
      <c r="EG145" s="72">
        <v>0</v>
      </c>
      <c r="EH145" s="72">
        <v>0</v>
      </c>
      <c r="EI145" s="72">
        <v>0</v>
      </c>
      <c r="EJ145" s="72">
        <v>0</v>
      </c>
      <c r="EK145" s="72">
        <v>0</v>
      </c>
      <c r="EL145" s="72">
        <v>0</v>
      </c>
      <c r="EM145" s="72">
        <v>0</v>
      </c>
      <c r="EN145" s="72">
        <v>0</v>
      </c>
      <c r="EO145" s="72">
        <v>0</v>
      </c>
      <c r="EP145" s="72">
        <v>0</v>
      </c>
      <c r="EQ145" s="72">
        <v>0</v>
      </c>
      <c r="ER145" s="72">
        <v>0</v>
      </c>
      <c r="ES145" s="72">
        <v>0</v>
      </c>
      <c r="ET145" s="72">
        <v>0</v>
      </c>
      <c r="EU145" s="72">
        <v>0</v>
      </c>
      <c r="EV145" s="72">
        <v>0</v>
      </c>
      <c r="EW145" s="72">
        <v>0</v>
      </c>
      <c r="EX145" s="72">
        <v>0</v>
      </c>
      <c r="EY145" s="72">
        <v>0</v>
      </c>
      <c r="EZ145" s="72">
        <v>0</v>
      </c>
      <c r="FA145" s="72">
        <v>0</v>
      </c>
      <c r="FB145" s="72">
        <v>0</v>
      </c>
      <c r="FC145" s="72">
        <v>0</v>
      </c>
      <c r="FD145" s="72">
        <v>0</v>
      </c>
      <c r="FE145" s="72">
        <v>0</v>
      </c>
      <c r="FF145" s="72">
        <v>0</v>
      </c>
      <c r="FG145" s="72">
        <v>0</v>
      </c>
      <c r="FH145" s="72">
        <v>0</v>
      </c>
      <c r="FI145" s="72">
        <v>0</v>
      </c>
      <c r="FJ145" s="72">
        <v>0</v>
      </c>
      <c r="FK145" s="72">
        <v>0</v>
      </c>
      <c r="FL145" s="72">
        <v>0</v>
      </c>
      <c r="FM145" s="72">
        <v>0</v>
      </c>
      <c r="FN145" s="72">
        <v>0</v>
      </c>
      <c r="FO145" s="72">
        <v>378643.97227170214</v>
      </c>
      <c r="FP145" s="72">
        <v>0</v>
      </c>
      <c r="FQ145" s="72">
        <v>0</v>
      </c>
      <c r="FR145" s="72">
        <v>0</v>
      </c>
      <c r="FS145" s="72">
        <v>0</v>
      </c>
      <c r="FT145" s="72">
        <v>0</v>
      </c>
      <c r="FU145" s="72">
        <v>0</v>
      </c>
      <c r="FV145" s="74">
        <v>66.958960509504124</v>
      </c>
      <c r="FW145" s="74">
        <v>104.10757796188815</v>
      </c>
      <c r="FX145" s="74">
        <v>216.76496832239698</v>
      </c>
      <c r="FY145" s="74">
        <v>684.99970301986525</v>
      </c>
      <c r="FZ145" s="74">
        <v>674.86443694696277</v>
      </c>
      <c r="GA145" s="74">
        <v>547.55753015576954</v>
      </c>
      <c r="GB145" s="74">
        <v>644.11974819725003</v>
      </c>
      <c r="GC145" s="74">
        <v>910.46488736308822</v>
      </c>
      <c r="GD145" s="74">
        <v>5264.3666736712094</v>
      </c>
      <c r="GE145" s="74">
        <v>643.19168159825574</v>
      </c>
      <c r="GF145" s="74">
        <v>1663.4891010382889</v>
      </c>
      <c r="GG145" s="74">
        <v>1041.4466868501945</v>
      </c>
      <c r="GH145" s="74">
        <v>1028.7392199297951</v>
      </c>
      <c r="GI145" s="74">
        <v>4299.2378333417983</v>
      </c>
      <c r="GJ145" s="72">
        <v>0</v>
      </c>
      <c r="GK145" s="72">
        <v>0</v>
      </c>
      <c r="GL145" s="72">
        <v>0</v>
      </c>
      <c r="GM145" s="72">
        <v>0</v>
      </c>
      <c r="GN145" s="72">
        <v>0</v>
      </c>
      <c r="GO145" s="72">
        <v>0</v>
      </c>
      <c r="GP145" s="72">
        <v>-0.31343577012739843</v>
      </c>
      <c r="GQ145" s="72">
        <v>0</v>
      </c>
      <c r="GR145" s="72">
        <f t="shared" si="2"/>
        <v>396433.96784483839</v>
      </c>
      <c r="GS145" s="72">
        <f>SUM(EL$5:EL$202)</f>
        <v>396433.96784483822</v>
      </c>
      <c r="GT145" s="73">
        <v>0</v>
      </c>
    </row>
    <row r="146" spans="1:202" outlineLevel="1" x14ac:dyDescent="0.2">
      <c r="A146" s="66" t="s">
        <v>1511</v>
      </c>
      <c r="B146" s="72">
        <v>0</v>
      </c>
      <c r="C146" s="72">
        <v>10.403605029529423</v>
      </c>
      <c r="D146" s="72">
        <v>4.1506394434721088</v>
      </c>
      <c r="E146" s="72">
        <v>287.16236444868457</v>
      </c>
      <c r="F146" s="72">
        <v>27.931149269525516</v>
      </c>
      <c r="G146" s="72">
        <v>98.878100098980255</v>
      </c>
      <c r="H146" s="72">
        <v>262.49904524541029</v>
      </c>
      <c r="I146" s="72">
        <v>117.6026109247268</v>
      </c>
      <c r="J146" s="72">
        <v>68.245677026855986</v>
      </c>
      <c r="K146" s="72">
        <v>23.347856399422671</v>
      </c>
      <c r="L146" s="72">
        <v>36.347397486848365</v>
      </c>
      <c r="M146" s="72">
        <v>4.6126273678588099</v>
      </c>
      <c r="N146" s="72">
        <v>5.7276876025066388</v>
      </c>
      <c r="O146" s="72">
        <v>23.887505485157959</v>
      </c>
      <c r="P146" s="72">
        <v>46.422814565053542</v>
      </c>
      <c r="Q146" s="72">
        <v>72.229766787850707</v>
      </c>
      <c r="R146" s="72">
        <v>39.694935828601736</v>
      </c>
      <c r="S146" s="72">
        <v>50.703771578408379</v>
      </c>
      <c r="T146" s="72">
        <v>171.53237322047227</v>
      </c>
      <c r="U146" s="72">
        <v>25.525147535350818</v>
      </c>
      <c r="V146" s="72">
        <v>55.504906618746801</v>
      </c>
      <c r="W146" s="72">
        <v>13.681279423356173</v>
      </c>
      <c r="X146" s="72">
        <v>38.633687667459775</v>
      </c>
      <c r="Y146" s="72">
        <v>19.422751090271163</v>
      </c>
      <c r="Z146" s="72">
        <v>59.795517997510011</v>
      </c>
      <c r="AA146" s="72">
        <v>154.09086095612705</v>
      </c>
      <c r="AB146" s="72">
        <v>42.118223042820944</v>
      </c>
      <c r="AC146" s="72">
        <v>19.293134580925642</v>
      </c>
      <c r="AD146" s="72">
        <v>33.11872029998338</v>
      </c>
      <c r="AE146" s="72">
        <v>57.584311235407029</v>
      </c>
      <c r="AF146" s="72">
        <v>20.925021824220138</v>
      </c>
      <c r="AG146" s="72">
        <v>11.457957999439376</v>
      </c>
      <c r="AH146" s="72">
        <v>25.566337835130913</v>
      </c>
      <c r="AI146" s="72">
        <v>487.12406881056722</v>
      </c>
      <c r="AJ146" s="72">
        <v>30.668878697416361</v>
      </c>
      <c r="AK146" s="72">
        <v>589.07561281548885</v>
      </c>
      <c r="AL146" s="72">
        <v>1315.542673109956</v>
      </c>
      <c r="AM146" s="72">
        <v>387.30088329848348</v>
      </c>
      <c r="AN146" s="72">
        <v>313.8681532368899</v>
      </c>
      <c r="AO146" s="72">
        <v>361.26894981863353</v>
      </c>
      <c r="AP146" s="72">
        <v>313.32265270877002</v>
      </c>
      <c r="AQ146" s="72">
        <v>6.9927699726937131</v>
      </c>
      <c r="AR146" s="72">
        <v>1085.3425327988036</v>
      </c>
      <c r="AS146" s="72">
        <v>3124.701880137121</v>
      </c>
      <c r="AT146" s="72">
        <v>281.87649971332468</v>
      </c>
      <c r="AU146" s="72">
        <v>438.67559833784264</v>
      </c>
      <c r="AV146" s="72">
        <v>397.30980734037223</v>
      </c>
      <c r="AW146" s="72">
        <v>374.15154679260371</v>
      </c>
      <c r="AX146" s="72">
        <v>59.231109804988009</v>
      </c>
      <c r="AY146" s="72">
        <v>37.76465148556597</v>
      </c>
      <c r="AZ146" s="72">
        <v>269.98366004419927</v>
      </c>
      <c r="BA146" s="72">
        <v>133.90865099508866</v>
      </c>
      <c r="BB146" s="72">
        <v>1079.5474079022022</v>
      </c>
      <c r="BC146" s="72">
        <v>5618.4542144271591</v>
      </c>
      <c r="BD146" s="72">
        <v>1256.4809432457489</v>
      </c>
      <c r="BE146" s="72">
        <v>1064.8166847803873</v>
      </c>
      <c r="BF146" s="72">
        <v>44.873170294455413</v>
      </c>
      <c r="BG146" s="72">
        <v>97.54216518678416</v>
      </c>
      <c r="BH146" s="72">
        <v>134.33247463888605</v>
      </c>
      <c r="BI146" s="72">
        <v>9.5520583180239615</v>
      </c>
      <c r="BJ146" s="72">
        <v>126.98563779462623</v>
      </c>
      <c r="BK146" s="72">
        <v>0</v>
      </c>
      <c r="BL146" s="72">
        <v>0</v>
      </c>
      <c r="BM146" s="72">
        <v>0</v>
      </c>
      <c r="BN146" s="72">
        <v>0</v>
      </c>
      <c r="BO146" s="72">
        <v>0</v>
      </c>
      <c r="BP146" s="72">
        <v>0</v>
      </c>
      <c r="BQ146" s="72">
        <v>0</v>
      </c>
      <c r="BR146" s="72">
        <v>0</v>
      </c>
      <c r="BS146" s="72">
        <v>0</v>
      </c>
      <c r="BT146" s="72">
        <v>0</v>
      </c>
      <c r="BU146" s="72">
        <v>0</v>
      </c>
      <c r="BV146" s="72">
        <v>0</v>
      </c>
      <c r="BW146" s="72">
        <v>0</v>
      </c>
      <c r="BX146" s="72">
        <v>0</v>
      </c>
      <c r="BY146" s="72">
        <v>0</v>
      </c>
      <c r="BZ146" s="72">
        <v>0</v>
      </c>
      <c r="CA146" s="72">
        <v>0</v>
      </c>
      <c r="CB146" s="72">
        <v>0</v>
      </c>
      <c r="CC146" s="72">
        <v>0</v>
      </c>
      <c r="CD146" s="72">
        <v>0</v>
      </c>
      <c r="CE146" s="72">
        <v>0</v>
      </c>
      <c r="CF146" s="72">
        <v>0</v>
      </c>
      <c r="CG146" s="72">
        <v>0</v>
      </c>
      <c r="CH146" s="72">
        <v>0</v>
      </c>
      <c r="CI146" s="72">
        <v>0</v>
      </c>
      <c r="CJ146" s="72">
        <v>0</v>
      </c>
      <c r="CK146" s="72">
        <v>0</v>
      </c>
      <c r="CL146" s="72">
        <v>0</v>
      </c>
      <c r="CM146" s="72">
        <v>0</v>
      </c>
      <c r="CN146" s="72">
        <v>0</v>
      </c>
      <c r="CO146" s="72">
        <v>0</v>
      </c>
      <c r="CP146" s="72">
        <v>0</v>
      </c>
      <c r="CQ146" s="72">
        <v>0</v>
      </c>
      <c r="CR146" s="72">
        <v>0</v>
      </c>
      <c r="CS146" s="72">
        <v>0</v>
      </c>
      <c r="CT146" s="72">
        <v>0</v>
      </c>
      <c r="CU146" s="72">
        <v>0</v>
      </c>
      <c r="CV146" s="72">
        <v>0</v>
      </c>
      <c r="CW146" s="72">
        <v>0</v>
      </c>
      <c r="CX146" s="72">
        <v>0</v>
      </c>
      <c r="CY146" s="72">
        <v>0</v>
      </c>
      <c r="CZ146" s="72">
        <v>0</v>
      </c>
      <c r="DA146" s="72">
        <v>0</v>
      </c>
      <c r="DB146" s="72">
        <v>0</v>
      </c>
      <c r="DC146" s="72">
        <v>0</v>
      </c>
      <c r="DD146" s="72">
        <v>0</v>
      </c>
      <c r="DE146" s="72">
        <v>0</v>
      </c>
      <c r="DF146" s="72">
        <v>0</v>
      </c>
      <c r="DG146" s="72">
        <v>0</v>
      </c>
      <c r="DH146" s="72">
        <v>0</v>
      </c>
      <c r="DI146" s="72">
        <v>0</v>
      </c>
      <c r="DJ146" s="72">
        <v>0</v>
      </c>
      <c r="DK146" s="72">
        <v>0</v>
      </c>
      <c r="DL146" s="72">
        <v>0</v>
      </c>
      <c r="DM146" s="72">
        <v>0</v>
      </c>
      <c r="DN146" s="72">
        <v>0</v>
      </c>
      <c r="DO146" s="72">
        <v>0</v>
      </c>
      <c r="DP146" s="72">
        <v>0</v>
      </c>
      <c r="DQ146" s="72">
        <v>0</v>
      </c>
      <c r="DR146" s="72">
        <v>0</v>
      </c>
      <c r="DS146" s="72">
        <v>0</v>
      </c>
      <c r="DT146" s="72">
        <v>0</v>
      </c>
      <c r="DU146" s="72">
        <v>0</v>
      </c>
      <c r="DV146" s="72">
        <v>0</v>
      </c>
      <c r="DW146" s="72">
        <v>0</v>
      </c>
      <c r="DX146" s="72">
        <v>0</v>
      </c>
      <c r="DY146" s="72">
        <v>0</v>
      </c>
      <c r="DZ146" s="72">
        <v>0</v>
      </c>
      <c r="EA146" s="72">
        <v>0</v>
      </c>
      <c r="EB146" s="72">
        <v>0</v>
      </c>
      <c r="EC146" s="72">
        <v>0</v>
      </c>
      <c r="ED146" s="72">
        <v>0</v>
      </c>
      <c r="EE146" s="72">
        <v>0</v>
      </c>
      <c r="EF146" s="72">
        <v>0</v>
      </c>
      <c r="EG146" s="72">
        <v>0</v>
      </c>
      <c r="EH146" s="72">
        <v>0</v>
      </c>
      <c r="EI146" s="72">
        <v>0</v>
      </c>
      <c r="EJ146" s="72">
        <v>0</v>
      </c>
      <c r="EK146" s="72">
        <v>0</v>
      </c>
      <c r="EL146" s="72">
        <v>0</v>
      </c>
      <c r="EM146" s="72">
        <v>0</v>
      </c>
      <c r="EN146" s="72">
        <v>0</v>
      </c>
      <c r="EO146" s="72">
        <v>0</v>
      </c>
      <c r="EP146" s="72">
        <v>0</v>
      </c>
      <c r="EQ146" s="72">
        <v>0</v>
      </c>
      <c r="ER146" s="72">
        <v>0</v>
      </c>
      <c r="ES146" s="72">
        <v>0</v>
      </c>
      <c r="ET146" s="72">
        <v>0</v>
      </c>
      <c r="EU146" s="72">
        <v>0</v>
      </c>
      <c r="EV146" s="72">
        <v>0</v>
      </c>
      <c r="EW146" s="72">
        <v>0</v>
      </c>
      <c r="EX146" s="72">
        <v>0</v>
      </c>
      <c r="EY146" s="72">
        <v>0</v>
      </c>
      <c r="EZ146" s="72">
        <v>0</v>
      </c>
      <c r="FA146" s="72">
        <v>0</v>
      </c>
      <c r="FB146" s="72">
        <v>0</v>
      </c>
      <c r="FC146" s="72">
        <v>0</v>
      </c>
      <c r="FD146" s="72">
        <v>0</v>
      </c>
      <c r="FE146" s="72">
        <v>0</v>
      </c>
      <c r="FF146" s="72">
        <v>0</v>
      </c>
      <c r="FG146" s="72">
        <v>0</v>
      </c>
      <c r="FH146" s="72">
        <v>0</v>
      </c>
      <c r="FI146" s="72">
        <v>0</v>
      </c>
      <c r="FJ146" s="72">
        <v>0</v>
      </c>
      <c r="FK146" s="72">
        <v>0</v>
      </c>
      <c r="FL146" s="72">
        <v>0</v>
      </c>
      <c r="FM146" s="72">
        <v>0</v>
      </c>
      <c r="FN146" s="72">
        <v>0</v>
      </c>
      <c r="FO146" s="72">
        <v>0</v>
      </c>
      <c r="FP146" s="72">
        <v>0</v>
      </c>
      <c r="FQ146" s="72">
        <v>0</v>
      </c>
      <c r="FR146" s="72">
        <v>0</v>
      </c>
      <c r="FS146" s="72">
        <v>0</v>
      </c>
      <c r="FT146" s="72">
        <v>0</v>
      </c>
      <c r="FU146" s="72">
        <v>0</v>
      </c>
      <c r="FV146" s="74">
        <v>154.41561178048269</v>
      </c>
      <c r="FW146" s="74">
        <v>231.21878746239614</v>
      </c>
      <c r="FX146" s="74">
        <v>390.92598998072026</v>
      </c>
      <c r="FY146" s="74">
        <v>285.72369333780864</v>
      </c>
      <c r="FZ146" s="74">
        <v>842.2437585030226</v>
      </c>
      <c r="GA146" s="74">
        <v>865.58866769870269</v>
      </c>
      <c r="GB146" s="74">
        <v>1332.0308657936923</v>
      </c>
      <c r="GC146" s="74">
        <v>2756.1621943790424</v>
      </c>
      <c r="GD146" s="74">
        <v>7900.0390346371087</v>
      </c>
      <c r="GE146" s="74">
        <v>4247.6910558797963</v>
      </c>
      <c r="GF146" s="74">
        <v>2514.1458465437699</v>
      </c>
      <c r="GG146" s="74">
        <v>4356.0656252633498</v>
      </c>
      <c r="GH146" s="74">
        <v>6772.4546259301451</v>
      </c>
      <c r="GI146" s="74">
        <v>11929.968687540029</v>
      </c>
      <c r="GJ146" s="72">
        <v>0</v>
      </c>
      <c r="GK146" s="72">
        <v>0</v>
      </c>
      <c r="GL146" s="72">
        <v>0</v>
      </c>
      <c r="GM146" s="72">
        <v>0</v>
      </c>
      <c r="GN146" s="72">
        <v>0</v>
      </c>
      <c r="GO146" s="72">
        <v>0</v>
      </c>
      <c r="GP146" s="72">
        <v>0.31343577285588253</v>
      </c>
      <c r="GQ146" s="72">
        <v>27496.550176404362</v>
      </c>
      <c r="GR146" s="72">
        <f t="shared" si="2"/>
        <v>93444.331179330475</v>
      </c>
      <c r="GS146" s="72">
        <f>SUM(EM$5:EM$202)</f>
        <v>93444.331179330475</v>
      </c>
      <c r="GT146" s="73">
        <v>0</v>
      </c>
    </row>
    <row r="147" spans="1:202" outlineLevel="1" x14ac:dyDescent="0.2">
      <c r="A147" s="66" t="s">
        <v>1512</v>
      </c>
      <c r="B147" s="72">
        <v>0</v>
      </c>
      <c r="C147" s="72">
        <v>6.3290489319860015</v>
      </c>
      <c r="D147" s="72">
        <v>2.5907426483160716</v>
      </c>
      <c r="E147" s="72">
        <v>158.28598272559904</v>
      </c>
      <c r="F147" s="72">
        <v>10.209531800875641</v>
      </c>
      <c r="G147" s="72">
        <v>44.082131150176401</v>
      </c>
      <c r="H147" s="72">
        <v>106.57304332281817</v>
      </c>
      <c r="I147" s="72">
        <v>59.756453551744649</v>
      </c>
      <c r="J147" s="72">
        <v>37.994806623127928</v>
      </c>
      <c r="K147" s="72">
        <v>10.133264561481258</v>
      </c>
      <c r="L147" s="72">
        <v>21.078100632919782</v>
      </c>
      <c r="M147" s="72">
        <v>2.2979136056765204</v>
      </c>
      <c r="N147" s="72">
        <v>3.3222794396823412</v>
      </c>
      <c r="O147" s="72">
        <v>12.126800513780717</v>
      </c>
      <c r="P147" s="72">
        <v>22.422340897986786</v>
      </c>
      <c r="Q147" s="72">
        <v>33.440996678480644</v>
      </c>
      <c r="R147" s="72">
        <v>18.612987084666685</v>
      </c>
      <c r="S147" s="72">
        <v>23.540249257443953</v>
      </c>
      <c r="T147" s="72">
        <v>78.479758927768927</v>
      </c>
      <c r="U147" s="72">
        <v>11.758175815034884</v>
      </c>
      <c r="V147" s="72">
        <v>29.89816152919693</v>
      </c>
      <c r="W147" s="72">
        <v>5.2754607095629167</v>
      </c>
      <c r="X147" s="72">
        <v>17.976446858630919</v>
      </c>
      <c r="Y147" s="72">
        <v>11.143481267676911</v>
      </c>
      <c r="Z147" s="72">
        <v>34.606935376081651</v>
      </c>
      <c r="AA147" s="72">
        <v>76.504554740548869</v>
      </c>
      <c r="AB147" s="72">
        <v>24.700276304751004</v>
      </c>
      <c r="AC147" s="72">
        <v>10.093155784634991</v>
      </c>
      <c r="AD147" s="72">
        <v>17.925494053236108</v>
      </c>
      <c r="AE147" s="72">
        <v>32.593414380820761</v>
      </c>
      <c r="AF147" s="72">
        <v>12.476700469064298</v>
      </c>
      <c r="AG147" s="72">
        <v>6.1866852984060614</v>
      </c>
      <c r="AH147" s="72">
        <v>14.708097988913302</v>
      </c>
      <c r="AI147" s="72">
        <v>166.60685420022091</v>
      </c>
      <c r="AJ147" s="72">
        <v>13.28804496742163</v>
      </c>
      <c r="AK147" s="72">
        <v>271.79967949957256</v>
      </c>
      <c r="AL147" s="72">
        <v>701.95932028792504</v>
      </c>
      <c r="AM147" s="72">
        <v>203.90332090907518</v>
      </c>
      <c r="AN147" s="72">
        <v>173.8553948317041</v>
      </c>
      <c r="AO147" s="72">
        <v>99.315111771426544</v>
      </c>
      <c r="AP147" s="72">
        <v>93.451367353284923</v>
      </c>
      <c r="AQ147" s="72">
        <v>4.232536929940192</v>
      </c>
      <c r="AR147" s="72">
        <v>185.51027710447252</v>
      </c>
      <c r="AS147" s="72">
        <v>259.51778367933969</v>
      </c>
      <c r="AT147" s="72">
        <v>144.6939738523746</v>
      </c>
      <c r="AU147" s="72">
        <v>365.07542145567817</v>
      </c>
      <c r="AV147" s="72">
        <v>179.1783011650412</v>
      </c>
      <c r="AW147" s="72">
        <v>498.56527813137433</v>
      </c>
      <c r="AX147" s="72">
        <v>31.769025564497355</v>
      </c>
      <c r="AY147" s="72">
        <v>21.341384484782367</v>
      </c>
      <c r="AZ147" s="72">
        <v>147.36612134416509</v>
      </c>
      <c r="BA147" s="72">
        <v>44.207547433670349</v>
      </c>
      <c r="BB147" s="72">
        <v>595.7233992635023</v>
      </c>
      <c r="BC147" s="72">
        <v>4972.0299996947033</v>
      </c>
      <c r="BD147" s="72">
        <v>21404.461321126641</v>
      </c>
      <c r="BE147" s="72">
        <v>1285.3171423586316</v>
      </c>
      <c r="BF147" s="72">
        <v>27.771688345407689</v>
      </c>
      <c r="BG147" s="72">
        <v>50.085286051579011</v>
      </c>
      <c r="BH147" s="72">
        <v>76.684588394692213</v>
      </c>
      <c r="BI147" s="72">
        <v>4.8802373724374597</v>
      </c>
      <c r="BJ147" s="72">
        <v>38.439896704395807</v>
      </c>
      <c r="BK147" s="72">
        <v>0</v>
      </c>
      <c r="BL147" s="72">
        <v>0</v>
      </c>
      <c r="BM147" s="72">
        <v>0</v>
      </c>
      <c r="BN147" s="72">
        <v>0</v>
      </c>
      <c r="BO147" s="72">
        <v>0</v>
      </c>
      <c r="BP147" s="72">
        <v>0</v>
      </c>
      <c r="BQ147" s="72">
        <v>0</v>
      </c>
      <c r="BR147" s="72">
        <v>0</v>
      </c>
      <c r="BS147" s="72">
        <v>0</v>
      </c>
      <c r="BT147" s="72">
        <v>0</v>
      </c>
      <c r="BU147" s="72">
        <v>0</v>
      </c>
      <c r="BV147" s="72">
        <v>0</v>
      </c>
      <c r="BW147" s="72">
        <v>0</v>
      </c>
      <c r="BX147" s="72">
        <v>0</v>
      </c>
      <c r="BY147" s="72">
        <v>0</v>
      </c>
      <c r="BZ147" s="72">
        <v>0</v>
      </c>
      <c r="CA147" s="72">
        <v>0</v>
      </c>
      <c r="CB147" s="72">
        <v>0</v>
      </c>
      <c r="CC147" s="72">
        <v>0</v>
      </c>
      <c r="CD147" s="72">
        <v>0</v>
      </c>
      <c r="CE147" s="72">
        <v>0</v>
      </c>
      <c r="CF147" s="72">
        <v>0</v>
      </c>
      <c r="CG147" s="72">
        <v>0</v>
      </c>
      <c r="CH147" s="72">
        <v>0</v>
      </c>
      <c r="CI147" s="72">
        <v>0</v>
      </c>
      <c r="CJ147" s="72">
        <v>0</v>
      </c>
      <c r="CK147" s="72">
        <v>0</v>
      </c>
      <c r="CL147" s="72">
        <v>0</v>
      </c>
      <c r="CM147" s="72">
        <v>0</v>
      </c>
      <c r="CN147" s="72">
        <v>0</v>
      </c>
      <c r="CO147" s="72">
        <v>0</v>
      </c>
      <c r="CP147" s="72">
        <v>0</v>
      </c>
      <c r="CQ147" s="72">
        <v>0</v>
      </c>
      <c r="CR147" s="72">
        <v>0</v>
      </c>
      <c r="CS147" s="72">
        <v>0</v>
      </c>
      <c r="CT147" s="72">
        <v>0</v>
      </c>
      <c r="CU147" s="72">
        <v>0</v>
      </c>
      <c r="CV147" s="72">
        <v>0</v>
      </c>
      <c r="CW147" s="72">
        <v>0</v>
      </c>
      <c r="CX147" s="72">
        <v>0</v>
      </c>
      <c r="CY147" s="72">
        <v>0</v>
      </c>
      <c r="CZ147" s="72">
        <v>0</v>
      </c>
      <c r="DA147" s="72">
        <v>0</v>
      </c>
      <c r="DB147" s="72">
        <v>0</v>
      </c>
      <c r="DC147" s="72">
        <v>0</v>
      </c>
      <c r="DD147" s="72">
        <v>0</v>
      </c>
      <c r="DE147" s="72">
        <v>0</v>
      </c>
      <c r="DF147" s="72">
        <v>0</v>
      </c>
      <c r="DG147" s="72">
        <v>0</v>
      </c>
      <c r="DH147" s="72">
        <v>0</v>
      </c>
      <c r="DI147" s="72">
        <v>0</v>
      </c>
      <c r="DJ147" s="72">
        <v>0</v>
      </c>
      <c r="DK147" s="72">
        <v>0</v>
      </c>
      <c r="DL147" s="72">
        <v>0</v>
      </c>
      <c r="DM147" s="72">
        <v>0</v>
      </c>
      <c r="DN147" s="72">
        <v>0</v>
      </c>
      <c r="DO147" s="72">
        <v>0</v>
      </c>
      <c r="DP147" s="72">
        <v>0</v>
      </c>
      <c r="DQ147" s="72">
        <v>0</v>
      </c>
      <c r="DR147" s="72">
        <v>0</v>
      </c>
      <c r="DS147" s="72">
        <v>0</v>
      </c>
      <c r="DT147" s="72">
        <v>0</v>
      </c>
      <c r="DU147" s="72">
        <v>0</v>
      </c>
      <c r="DV147" s="72">
        <v>0</v>
      </c>
      <c r="DW147" s="72">
        <v>0</v>
      </c>
      <c r="DX147" s="72">
        <v>0</v>
      </c>
      <c r="DY147" s="72">
        <v>0</v>
      </c>
      <c r="DZ147" s="72">
        <v>0</v>
      </c>
      <c r="EA147" s="72">
        <v>0</v>
      </c>
      <c r="EB147" s="72">
        <v>0</v>
      </c>
      <c r="EC147" s="72">
        <v>0</v>
      </c>
      <c r="ED147" s="72">
        <v>0</v>
      </c>
      <c r="EE147" s="72">
        <v>0</v>
      </c>
      <c r="EF147" s="72">
        <v>0</v>
      </c>
      <c r="EG147" s="72">
        <v>0</v>
      </c>
      <c r="EH147" s="72">
        <v>0</v>
      </c>
      <c r="EI147" s="72">
        <v>0</v>
      </c>
      <c r="EJ147" s="72">
        <v>0</v>
      </c>
      <c r="EK147" s="72">
        <v>0</v>
      </c>
      <c r="EL147" s="72">
        <v>0</v>
      </c>
      <c r="EM147" s="72">
        <v>0</v>
      </c>
      <c r="EN147" s="72">
        <v>0</v>
      </c>
      <c r="EO147" s="72">
        <v>0</v>
      </c>
      <c r="EP147" s="72">
        <v>0</v>
      </c>
      <c r="EQ147" s="72">
        <v>0</v>
      </c>
      <c r="ER147" s="72">
        <v>0</v>
      </c>
      <c r="ES147" s="72">
        <v>0</v>
      </c>
      <c r="ET147" s="72">
        <v>0</v>
      </c>
      <c r="EU147" s="72">
        <v>0</v>
      </c>
      <c r="EV147" s="72">
        <v>0</v>
      </c>
      <c r="EW147" s="72">
        <v>0</v>
      </c>
      <c r="EX147" s="72">
        <v>0</v>
      </c>
      <c r="EY147" s="72">
        <v>0</v>
      </c>
      <c r="EZ147" s="72">
        <v>0</v>
      </c>
      <c r="FA147" s="72">
        <v>0</v>
      </c>
      <c r="FB147" s="72">
        <v>0</v>
      </c>
      <c r="FC147" s="72">
        <v>0</v>
      </c>
      <c r="FD147" s="72">
        <v>0</v>
      </c>
      <c r="FE147" s="72">
        <v>0</v>
      </c>
      <c r="FF147" s="72">
        <v>0</v>
      </c>
      <c r="FG147" s="72">
        <v>0</v>
      </c>
      <c r="FH147" s="72">
        <v>0</v>
      </c>
      <c r="FI147" s="72">
        <v>0</v>
      </c>
      <c r="FJ147" s="72">
        <v>0</v>
      </c>
      <c r="FK147" s="72">
        <v>0</v>
      </c>
      <c r="FL147" s="72">
        <v>0</v>
      </c>
      <c r="FM147" s="72">
        <v>0</v>
      </c>
      <c r="FN147" s="72">
        <v>0</v>
      </c>
      <c r="FO147" s="72">
        <v>0</v>
      </c>
      <c r="FP147" s="72">
        <v>0</v>
      </c>
      <c r="FQ147" s="72">
        <v>0</v>
      </c>
      <c r="FR147" s="72">
        <v>0</v>
      </c>
      <c r="FS147" s="72">
        <v>0</v>
      </c>
      <c r="FT147" s="72">
        <v>0</v>
      </c>
      <c r="FU147" s="72">
        <v>0</v>
      </c>
      <c r="FV147" s="74">
        <v>1958.6066526747286</v>
      </c>
      <c r="FW147" s="74">
        <v>3679.4276901792764</v>
      </c>
      <c r="FX147" s="74">
        <v>5013.553635479645</v>
      </c>
      <c r="FY147" s="74">
        <v>6372.3128629358798</v>
      </c>
      <c r="FZ147" s="74">
        <v>7168.2657524718725</v>
      </c>
      <c r="GA147" s="74">
        <v>9230.0288766027643</v>
      </c>
      <c r="GB147" s="74">
        <v>11220.205114099799</v>
      </c>
      <c r="GC147" s="74">
        <v>16815.970976933888</v>
      </c>
      <c r="GD147" s="74">
        <v>21758.865217607032</v>
      </c>
      <c r="GE147" s="74">
        <v>6028.2676967290536</v>
      </c>
      <c r="GF147" s="74">
        <v>7323.9481798479492</v>
      </c>
      <c r="GG147" s="74">
        <v>7841.0482778517417</v>
      </c>
      <c r="GH147" s="74">
        <v>11910.631881515781</v>
      </c>
      <c r="GI147" s="74">
        <v>16755.495684724596</v>
      </c>
      <c r="GJ147" s="72">
        <v>0</v>
      </c>
      <c r="GK147" s="72">
        <v>0</v>
      </c>
      <c r="GL147" s="72">
        <v>0</v>
      </c>
      <c r="GM147" s="72">
        <v>0</v>
      </c>
      <c r="GN147" s="72">
        <v>0</v>
      </c>
      <c r="GO147" s="72">
        <v>0</v>
      </c>
      <c r="GP147" s="72">
        <v>-1.2951204553246498E-8</v>
      </c>
      <c r="GQ147" s="72">
        <v>18953.701959281767</v>
      </c>
      <c r="GR147" s="72">
        <f t="shared" si="2"/>
        <v>185048.48423613183</v>
      </c>
      <c r="GS147" s="72">
        <f>SUM(EN$5:EN$202)</f>
        <v>185048.48423613186</v>
      </c>
      <c r="GT147" s="73">
        <v>0</v>
      </c>
    </row>
    <row r="148" spans="1:202" outlineLevel="1" x14ac:dyDescent="0.2">
      <c r="A148" s="66" t="s">
        <v>1128</v>
      </c>
      <c r="B148" s="72">
        <v>0</v>
      </c>
      <c r="C148" s="72">
        <v>58.779906145128962</v>
      </c>
      <c r="D148" s="72">
        <v>29.138839556552227</v>
      </c>
      <c r="E148" s="72">
        <v>1351.2556742728509</v>
      </c>
      <c r="F148" s="72">
        <v>72.809476952116626</v>
      </c>
      <c r="G148" s="72">
        <v>345.25201828756212</v>
      </c>
      <c r="H148" s="72">
        <v>818.81770272665631</v>
      </c>
      <c r="I148" s="72">
        <v>523.99446380409154</v>
      </c>
      <c r="J148" s="72">
        <v>309.89545404702261</v>
      </c>
      <c r="K148" s="72">
        <v>72.898062131405823</v>
      </c>
      <c r="L148" s="72">
        <v>176.09867778090754</v>
      </c>
      <c r="M148" s="72">
        <v>16.868661975257268</v>
      </c>
      <c r="N148" s="72">
        <v>26.505960908502505</v>
      </c>
      <c r="O148" s="72">
        <v>98.353980612396413</v>
      </c>
      <c r="P148" s="72">
        <v>165.51479039141637</v>
      </c>
      <c r="Q148" s="72">
        <v>243.19019207743844</v>
      </c>
      <c r="R148" s="72">
        <v>164.26510047538255</v>
      </c>
      <c r="S148" s="72">
        <v>173.42305328511486</v>
      </c>
      <c r="T148" s="72">
        <v>581.82473759265645</v>
      </c>
      <c r="U148" s="72">
        <v>91.218111961089406</v>
      </c>
      <c r="V148" s="72">
        <v>223.48357639162037</v>
      </c>
      <c r="W148" s="72">
        <v>36.53319920113924</v>
      </c>
      <c r="X148" s="72">
        <v>128.61500158089197</v>
      </c>
      <c r="Y148" s="72">
        <v>124.07120804725464</v>
      </c>
      <c r="Z148" s="72">
        <v>294.35817770047629</v>
      </c>
      <c r="AA148" s="72">
        <v>622.85816246438424</v>
      </c>
      <c r="AB148" s="72">
        <v>223.5688560301285</v>
      </c>
      <c r="AC148" s="72">
        <v>81.763313783784355</v>
      </c>
      <c r="AD148" s="72">
        <v>150.07198244781512</v>
      </c>
      <c r="AE148" s="72">
        <v>319.46403152673383</v>
      </c>
      <c r="AF148" s="72">
        <v>109.12235642875531</v>
      </c>
      <c r="AG148" s="72">
        <v>49.835796754137561</v>
      </c>
      <c r="AH148" s="72">
        <v>130.24869220935418</v>
      </c>
      <c r="AI148" s="72">
        <v>1124.3059553189473</v>
      </c>
      <c r="AJ148" s="72">
        <v>155.24931788651801</v>
      </c>
      <c r="AK148" s="72">
        <v>1995.8614481506497</v>
      </c>
      <c r="AL148" s="72">
        <v>6135.1057294937045</v>
      </c>
      <c r="AM148" s="72">
        <v>1725.8653563565772</v>
      </c>
      <c r="AN148" s="72">
        <v>1528.556343317191</v>
      </c>
      <c r="AO148" s="72">
        <v>798.75862529318374</v>
      </c>
      <c r="AP148" s="72">
        <v>755.32888106570636</v>
      </c>
      <c r="AQ148" s="72">
        <v>39.37309165981705</v>
      </c>
      <c r="AR148" s="72">
        <v>653.4193644124498</v>
      </c>
      <c r="AS148" s="72">
        <v>1291.483572507359</v>
      </c>
      <c r="AT148" s="72">
        <v>1167.2367511547691</v>
      </c>
      <c r="AU148" s="72">
        <v>703.32631782606984</v>
      </c>
      <c r="AV148" s="72">
        <v>2422.3504676800849</v>
      </c>
      <c r="AW148" s="72">
        <v>1125.1331477138694</v>
      </c>
      <c r="AX148" s="72">
        <v>283.20501191298769</v>
      </c>
      <c r="AY148" s="72">
        <v>194.48822034275713</v>
      </c>
      <c r="AZ148" s="72">
        <v>1308.2589112526452</v>
      </c>
      <c r="BA148" s="72">
        <v>300.89621380996601</v>
      </c>
      <c r="BB148" s="72">
        <v>11856.359970255588</v>
      </c>
      <c r="BC148" s="72">
        <v>6295.7542366262905</v>
      </c>
      <c r="BD148" s="72">
        <v>635.48426530575182</v>
      </c>
      <c r="BE148" s="72">
        <v>1953.4868392692654</v>
      </c>
      <c r="BF148" s="72">
        <v>166.44464508530555</v>
      </c>
      <c r="BG148" s="72">
        <v>431.22203509700705</v>
      </c>
      <c r="BH148" s="72">
        <v>663.83287683577282</v>
      </c>
      <c r="BI148" s="72">
        <v>40.556842778846857</v>
      </c>
      <c r="BJ148" s="72">
        <v>642.11660874035749</v>
      </c>
      <c r="BK148" s="72">
        <v>0</v>
      </c>
      <c r="BL148" s="72">
        <v>0</v>
      </c>
      <c r="BM148" s="72">
        <v>0</v>
      </c>
      <c r="BN148" s="72">
        <v>0</v>
      </c>
      <c r="BO148" s="72">
        <v>0</v>
      </c>
      <c r="BP148" s="72">
        <v>0</v>
      </c>
      <c r="BQ148" s="72">
        <v>0</v>
      </c>
      <c r="BR148" s="72">
        <v>0</v>
      </c>
      <c r="BS148" s="72">
        <v>0</v>
      </c>
      <c r="BT148" s="72">
        <v>0</v>
      </c>
      <c r="BU148" s="72">
        <v>0</v>
      </c>
      <c r="BV148" s="72">
        <v>0</v>
      </c>
      <c r="BW148" s="72">
        <v>0</v>
      </c>
      <c r="BX148" s="72">
        <v>0</v>
      </c>
      <c r="BY148" s="72">
        <v>0</v>
      </c>
      <c r="BZ148" s="72">
        <v>0</v>
      </c>
      <c r="CA148" s="72">
        <v>0</v>
      </c>
      <c r="CB148" s="72">
        <v>0</v>
      </c>
      <c r="CC148" s="72">
        <v>0</v>
      </c>
      <c r="CD148" s="72">
        <v>0</v>
      </c>
      <c r="CE148" s="72">
        <v>0</v>
      </c>
      <c r="CF148" s="72">
        <v>0</v>
      </c>
      <c r="CG148" s="72">
        <v>0</v>
      </c>
      <c r="CH148" s="72">
        <v>0</v>
      </c>
      <c r="CI148" s="72">
        <v>0</v>
      </c>
      <c r="CJ148" s="72">
        <v>0</v>
      </c>
      <c r="CK148" s="72">
        <v>0</v>
      </c>
      <c r="CL148" s="72">
        <v>0</v>
      </c>
      <c r="CM148" s="72">
        <v>0</v>
      </c>
      <c r="CN148" s="72">
        <v>0</v>
      </c>
      <c r="CO148" s="72">
        <v>0</v>
      </c>
      <c r="CP148" s="72">
        <v>0</v>
      </c>
      <c r="CQ148" s="72">
        <v>0</v>
      </c>
      <c r="CR148" s="72">
        <v>0</v>
      </c>
      <c r="CS148" s="72">
        <v>0</v>
      </c>
      <c r="CT148" s="72">
        <v>0</v>
      </c>
      <c r="CU148" s="72">
        <v>0</v>
      </c>
      <c r="CV148" s="72">
        <v>0</v>
      </c>
      <c r="CW148" s="72">
        <v>0</v>
      </c>
      <c r="CX148" s="72">
        <v>0</v>
      </c>
      <c r="CY148" s="72">
        <v>0</v>
      </c>
      <c r="CZ148" s="72">
        <v>0</v>
      </c>
      <c r="DA148" s="72">
        <v>0</v>
      </c>
      <c r="DB148" s="72">
        <v>0</v>
      </c>
      <c r="DC148" s="72">
        <v>0</v>
      </c>
      <c r="DD148" s="72">
        <v>0</v>
      </c>
      <c r="DE148" s="72">
        <v>0</v>
      </c>
      <c r="DF148" s="72">
        <v>0</v>
      </c>
      <c r="DG148" s="72">
        <v>0</v>
      </c>
      <c r="DH148" s="72">
        <v>0</v>
      </c>
      <c r="DI148" s="72">
        <v>0</v>
      </c>
      <c r="DJ148" s="72">
        <v>0</v>
      </c>
      <c r="DK148" s="72">
        <v>0</v>
      </c>
      <c r="DL148" s="72">
        <v>0</v>
      </c>
      <c r="DM148" s="72">
        <v>0</v>
      </c>
      <c r="DN148" s="72">
        <v>0</v>
      </c>
      <c r="DO148" s="72">
        <v>0</v>
      </c>
      <c r="DP148" s="72">
        <v>0</v>
      </c>
      <c r="DQ148" s="72">
        <v>0</v>
      </c>
      <c r="DR148" s="72">
        <v>0</v>
      </c>
      <c r="DS148" s="72">
        <v>0</v>
      </c>
      <c r="DT148" s="72">
        <v>0</v>
      </c>
      <c r="DU148" s="72">
        <v>0</v>
      </c>
      <c r="DV148" s="72">
        <v>0</v>
      </c>
      <c r="DW148" s="72">
        <v>0</v>
      </c>
      <c r="DX148" s="72">
        <v>0</v>
      </c>
      <c r="DY148" s="72">
        <v>0</v>
      </c>
      <c r="DZ148" s="72">
        <v>0</v>
      </c>
      <c r="EA148" s="72">
        <v>0</v>
      </c>
      <c r="EB148" s="72">
        <v>0</v>
      </c>
      <c r="EC148" s="72">
        <v>0</v>
      </c>
      <c r="ED148" s="72">
        <v>0</v>
      </c>
      <c r="EE148" s="72">
        <v>0</v>
      </c>
      <c r="EF148" s="72">
        <v>0</v>
      </c>
      <c r="EG148" s="72">
        <v>0</v>
      </c>
      <c r="EH148" s="72">
        <v>0</v>
      </c>
      <c r="EI148" s="72">
        <v>0</v>
      </c>
      <c r="EJ148" s="72">
        <v>0</v>
      </c>
      <c r="EK148" s="72">
        <v>0</v>
      </c>
      <c r="EL148" s="72">
        <v>0</v>
      </c>
      <c r="EM148" s="72">
        <v>0</v>
      </c>
      <c r="EN148" s="72">
        <v>0</v>
      </c>
      <c r="EO148" s="72">
        <v>0</v>
      </c>
      <c r="EP148" s="72">
        <v>0</v>
      </c>
      <c r="EQ148" s="72">
        <v>0</v>
      </c>
      <c r="ER148" s="72">
        <v>0</v>
      </c>
      <c r="ES148" s="72">
        <v>0</v>
      </c>
      <c r="ET148" s="72">
        <v>0</v>
      </c>
      <c r="EU148" s="72">
        <v>0</v>
      </c>
      <c r="EV148" s="72">
        <v>0</v>
      </c>
      <c r="EW148" s="72">
        <v>0</v>
      </c>
      <c r="EX148" s="72">
        <v>0</v>
      </c>
      <c r="EY148" s="72">
        <v>0</v>
      </c>
      <c r="EZ148" s="72">
        <v>0</v>
      </c>
      <c r="FA148" s="72">
        <v>0</v>
      </c>
      <c r="FB148" s="72">
        <v>0</v>
      </c>
      <c r="FC148" s="72">
        <v>0</v>
      </c>
      <c r="FD148" s="72">
        <v>0</v>
      </c>
      <c r="FE148" s="72">
        <v>0</v>
      </c>
      <c r="FF148" s="72">
        <v>0</v>
      </c>
      <c r="FG148" s="72">
        <v>0</v>
      </c>
      <c r="FH148" s="72">
        <v>0</v>
      </c>
      <c r="FI148" s="72">
        <v>0</v>
      </c>
      <c r="FJ148" s="72">
        <v>0</v>
      </c>
      <c r="FK148" s="72">
        <v>0</v>
      </c>
      <c r="FL148" s="72">
        <v>0</v>
      </c>
      <c r="FM148" s="72">
        <v>0</v>
      </c>
      <c r="FN148" s="72">
        <v>0</v>
      </c>
      <c r="FO148" s="72">
        <v>0</v>
      </c>
      <c r="FP148" s="72">
        <v>0</v>
      </c>
      <c r="FQ148" s="72">
        <v>0</v>
      </c>
      <c r="FR148" s="72">
        <v>0</v>
      </c>
      <c r="FS148" s="72">
        <v>0</v>
      </c>
      <c r="FT148" s="72">
        <v>0</v>
      </c>
      <c r="FU148" s="72">
        <v>0</v>
      </c>
      <c r="FV148" s="74">
        <v>7969.6078865116278</v>
      </c>
      <c r="FW148" s="74">
        <v>10679.356079897947</v>
      </c>
      <c r="FX148" s="74">
        <v>13844.062157009064</v>
      </c>
      <c r="FY148" s="74">
        <v>16142.654208346037</v>
      </c>
      <c r="FZ148" s="74">
        <v>17388.383667067654</v>
      </c>
      <c r="GA148" s="74">
        <v>22853.766461227624</v>
      </c>
      <c r="GB148" s="74">
        <v>22526.758107055386</v>
      </c>
      <c r="GC148" s="74">
        <v>22127.576801414056</v>
      </c>
      <c r="GD148" s="74">
        <v>18082.352881910116</v>
      </c>
      <c r="GE148" s="74">
        <v>4931.2381928753184</v>
      </c>
      <c r="GF148" s="74">
        <v>2454.5060550554681</v>
      </c>
      <c r="GG148" s="74">
        <v>3169.5235638583345</v>
      </c>
      <c r="GH148" s="74">
        <v>4959.8648117317362</v>
      </c>
      <c r="GI148" s="74">
        <v>6084.1320716176651</v>
      </c>
      <c r="GJ148" s="72">
        <v>0</v>
      </c>
      <c r="GK148" s="72">
        <v>0</v>
      </c>
      <c r="GL148" s="72">
        <v>0</v>
      </c>
      <c r="GM148" s="72">
        <v>0</v>
      </c>
      <c r="GN148" s="72">
        <v>0</v>
      </c>
      <c r="GO148" s="72">
        <v>0</v>
      </c>
      <c r="GP148" s="72">
        <v>1.1408701539039612E-8</v>
      </c>
      <c r="GQ148" s="72">
        <v>42906.370915222447</v>
      </c>
      <c r="GR148" s="72">
        <f t="shared" si="2"/>
        <v>270327.71412751137</v>
      </c>
      <c r="GS148" s="72">
        <f>SUM(EO$5:EO$202)</f>
        <v>270327.71412751143</v>
      </c>
      <c r="GT148" s="73">
        <v>0</v>
      </c>
    </row>
    <row r="149" spans="1:202" outlineLevel="1" x14ac:dyDescent="0.2">
      <c r="A149" s="66" t="s">
        <v>1135</v>
      </c>
      <c r="B149" s="72">
        <v>7026.7466028469098</v>
      </c>
      <c r="C149" s="72">
        <v>464.68998232481516</v>
      </c>
      <c r="D149" s="72">
        <v>135.5097972078633</v>
      </c>
      <c r="E149" s="72">
        <v>16472.655604518899</v>
      </c>
      <c r="F149" s="72">
        <v>647.27840349013945</v>
      </c>
      <c r="G149" s="72">
        <v>17435.158239228866</v>
      </c>
      <c r="H149" s="72">
        <v>4335.2069001236005</v>
      </c>
      <c r="I149" s="72">
        <v>6495.8752049763116</v>
      </c>
      <c r="J149" s="72">
        <v>2713.3266288372993</v>
      </c>
      <c r="K149" s="72">
        <v>366.40443753275986</v>
      </c>
      <c r="L149" s="72">
        <v>285.65173701056153</v>
      </c>
      <c r="M149" s="72">
        <v>158.75290355208588</v>
      </c>
      <c r="N149" s="72">
        <v>44.939854444037863</v>
      </c>
      <c r="O149" s="72">
        <v>735.96518050597717</v>
      </c>
      <c r="P149" s="72">
        <v>4023.7367239149871</v>
      </c>
      <c r="Q149" s="72">
        <v>1102.391352546083</v>
      </c>
      <c r="R149" s="72">
        <v>2767.5143416986061</v>
      </c>
      <c r="S149" s="72">
        <v>2523.7725588697549</v>
      </c>
      <c r="T149" s="72">
        <v>4120.8410489724802</v>
      </c>
      <c r="U149" s="72">
        <v>640.43656603590364</v>
      </c>
      <c r="V149" s="72">
        <v>1088.3209456397453</v>
      </c>
      <c r="W149" s="72">
        <v>590.23880507364674</v>
      </c>
      <c r="X149" s="72">
        <v>3221.9400656167968</v>
      </c>
      <c r="Y149" s="72">
        <v>1446.4249484313527</v>
      </c>
      <c r="Z149" s="72">
        <v>454.99397028909391</v>
      </c>
      <c r="AA149" s="72">
        <v>795.27639826791938</v>
      </c>
      <c r="AB149" s="72">
        <v>300.00880243266931</v>
      </c>
      <c r="AC149" s="72">
        <v>25.669409759880317</v>
      </c>
      <c r="AD149" s="72">
        <v>71.013244565500031</v>
      </c>
      <c r="AE149" s="72">
        <v>726.11662298672377</v>
      </c>
      <c r="AF149" s="72">
        <v>235.337741308121</v>
      </c>
      <c r="AG149" s="72">
        <v>362.78627354610262</v>
      </c>
      <c r="AH149" s="72">
        <v>455.42788385918152</v>
      </c>
      <c r="AI149" s="72">
        <v>204.93989611803917</v>
      </c>
      <c r="AJ149" s="72">
        <v>16.806954359676517</v>
      </c>
      <c r="AK149" s="72">
        <v>880.27100492919567</v>
      </c>
      <c r="AL149" s="72">
        <v>15065.451857041779</v>
      </c>
      <c r="AM149" s="72">
        <v>3347.6348826590984</v>
      </c>
      <c r="AN149" s="72">
        <v>2346.5798425162934</v>
      </c>
      <c r="AO149" s="72">
        <v>286.08262211565932</v>
      </c>
      <c r="AP149" s="72">
        <v>9905.8733217500667</v>
      </c>
      <c r="AQ149" s="72">
        <v>0.83585518176250628</v>
      </c>
      <c r="AR149" s="72">
        <v>2071.2540644949204</v>
      </c>
      <c r="AS149" s="72">
        <v>17710.820412213503</v>
      </c>
      <c r="AT149" s="72">
        <v>3888.8620295038663</v>
      </c>
      <c r="AU149" s="72">
        <v>0</v>
      </c>
      <c r="AV149" s="72">
        <v>97.630939247956292</v>
      </c>
      <c r="AW149" s="72">
        <v>14.682700585922577</v>
      </c>
      <c r="AX149" s="72">
        <v>7.5528954377924578</v>
      </c>
      <c r="AY149" s="72">
        <v>201.04115689947832</v>
      </c>
      <c r="AZ149" s="72">
        <v>85.706650528878214</v>
      </c>
      <c r="BA149" s="72">
        <v>4.1187808827458117</v>
      </c>
      <c r="BB149" s="72">
        <v>475.51735721895562</v>
      </c>
      <c r="BC149" s="72">
        <v>201.80669353397985</v>
      </c>
      <c r="BD149" s="72">
        <v>225.31126559870222</v>
      </c>
      <c r="BE149" s="72">
        <v>540.10303871449707</v>
      </c>
      <c r="BF149" s="72">
        <v>19.060267913860073</v>
      </c>
      <c r="BG149" s="72">
        <v>12.05113180581116</v>
      </c>
      <c r="BH149" s="72">
        <v>62.80055796909069</v>
      </c>
      <c r="BI149" s="72">
        <v>18.753714506066267</v>
      </c>
      <c r="BJ149" s="72">
        <v>1221.26913123907</v>
      </c>
      <c r="BK149" s="72">
        <v>0</v>
      </c>
      <c r="BL149" s="72">
        <v>0</v>
      </c>
      <c r="BM149" s="72">
        <v>0</v>
      </c>
      <c r="BN149" s="72">
        <v>0</v>
      </c>
      <c r="BO149" s="72">
        <v>0</v>
      </c>
      <c r="BP149" s="72">
        <v>0</v>
      </c>
      <c r="BQ149" s="72">
        <v>0</v>
      </c>
      <c r="BR149" s="72">
        <v>0</v>
      </c>
      <c r="BS149" s="72">
        <v>0</v>
      </c>
      <c r="BT149" s="72">
        <v>0</v>
      </c>
      <c r="BU149" s="72">
        <v>0</v>
      </c>
      <c r="BV149" s="72">
        <v>0</v>
      </c>
      <c r="BW149" s="72">
        <v>0</v>
      </c>
      <c r="BX149" s="72">
        <v>0</v>
      </c>
      <c r="BY149" s="72">
        <v>0</v>
      </c>
      <c r="BZ149" s="72">
        <v>0</v>
      </c>
      <c r="CA149" s="72">
        <v>0</v>
      </c>
      <c r="CB149" s="72">
        <v>0</v>
      </c>
      <c r="CC149" s="72">
        <v>0</v>
      </c>
      <c r="CD149" s="72">
        <v>0</v>
      </c>
      <c r="CE149" s="72">
        <v>0</v>
      </c>
      <c r="CF149" s="72">
        <v>0</v>
      </c>
      <c r="CG149" s="72">
        <v>0</v>
      </c>
      <c r="CH149" s="72">
        <v>0</v>
      </c>
      <c r="CI149" s="72">
        <v>0</v>
      </c>
      <c r="CJ149" s="72">
        <v>0</v>
      </c>
      <c r="CK149" s="72">
        <v>0</v>
      </c>
      <c r="CL149" s="72">
        <v>0</v>
      </c>
      <c r="CM149" s="72">
        <v>0</v>
      </c>
      <c r="CN149" s="72">
        <v>0</v>
      </c>
      <c r="CO149" s="72">
        <v>0</v>
      </c>
      <c r="CP149" s="72">
        <v>0</v>
      </c>
      <c r="CQ149" s="72">
        <v>0</v>
      </c>
      <c r="CR149" s="72">
        <v>0</v>
      </c>
      <c r="CS149" s="72">
        <v>0</v>
      </c>
      <c r="CT149" s="72">
        <v>0</v>
      </c>
      <c r="CU149" s="72">
        <v>0</v>
      </c>
      <c r="CV149" s="72">
        <v>0</v>
      </c>
      <c r="CW149" s="72">
        <v>0</v>
      </c>
      <c r="CX149" s="72">
        <v>0</v>
      </c>
      <c r="CY149" s="72">
        <v>0</v>
      </c>
      <c r="CZ149" s="72">
        <v>0</v>
      </c>
      <c r="DA149" s="72">
        <v>0</v>
      </c>
      <c r="DB149" s="72">
        <v>0</v>
      </c>
      <c r="DC149" s="72">
        <v>0</v>
      </c>
      <c r="DD149" s="72">
        <v>0</v>
      </c>
      <c r="DE149" s="72">
        <v>0</v>
      </c>
      <c r="DF149" s="72">
        <v>0</v>
      </c>
      <c r="DG149" s="72">
        <v>0</v>
      </c>
      <c r="DH149" s="72">
        <v>0</v>
      </c>
      <c r="DI149" s="72">
        <v>0</v>
      </c>
      <c r="DJ149" s="72">
        <v>0</v>
      </c>
      <c r="DK149" s="72">
        <v>0</v>
      </c>
      <c r="DL149" s="72">
        <v>0</v>
      </c>
      <c r="DM149" s="72">
        <v>0</v>
      </c>
      <c r="DN149" s="72">
        <v>0</v>
      </c>
      <c r="DO149" s="72">
        <v>0</v>
      </c>
      <c r="DP149" s="72">
        <v>0</v>
      </c>
      <c r="DQ149" s="72">
        <v>0</v>
      </c>
      <c r="DR149" s="72">
        <v>0</v>
      </c>
      <c r="DS149" s="72">
        <v>0</v>
      </c>
      <c r="DT149" s="72">
        <v>0</v>
      </c>
      <c r="DU149" s="72">
        <v>0</v>
      </c>
      <c r="DV149" s="72">
        <v>0</v>
      </c>
      <c r="DW149" s="72">
        <v>0</v>
      </c>
      <c r="DX149" s="72">
        <v>0</v>
      </c>
      <c r="DY149" s="72">
        <v>0</v>
      </c>
      <c r="DZ149" s="72">
        <v>0</v>
      </c>
      <c r="EA149" s="72">
        <v>0</v>
      </c>
      <c r="EB149" s="72">
        <v>0</v>
      </c>
      <c r="EC149" s="72">
        <v>0</v>
      </c>
      <c r="ED149" s="72">
        <v>0</v>
      </c>
      <c r="EE149" s="72">
        <v>0</v>
      </c>
      <c r="EF149" s="72">
        <v>0</v>
      </c>
      <c r="EG149" s="72">
        <v>0</v>
      </c>
      <c r="EH149" s="72">
        <v>0</v>
      </c>
      <c r="EI149" s="72">
        <v>0</v>
      </c>
      <c r="EJ149" s="72">
        <v>0</v>
      </c>
      <c r="EK149" s="72">
        <v>0</v>
      </c>
      <c r="EL149" s="72">
        <v>0</v>
      </c>
      <c r="EM149" s="72">
        <v>0</v>
      </c>
      <c r="EN149" s="72">
        <v>0</v>
      </c>
      <c r="EO149" s="72">
        <v>0</v>
      </c>
      <c r="EP149" s="72">
        <v>0</v>
      </c>
      <c r="EQ149" s="72">
        <v>0</v>
      </c>
      <c r="ER149" s="72">
        <v>0</v>
      </c>
      <c r="ES149" s="72">
        <v>0</v>
      </c>
      <c r="ET149" s="72">
        <v>0</v>
      </c>
      <c r="EU149" s="72">
        <v>0</v>
      </c>
      <c r="EV149" s="72">
        <v>0</v>
      </c>
      <c r="EW149" s="72">
        <v>0</v>
      </c>
      <c r="EX149" s="72">
        <v>0</v>
      </c>
      <c r="EY149" s="72">
        <v>0</v>
      </c>
      <c r="EZ149" s="72">
        <v>0</v>
      </c>
      <c r="FA149" s="72">
        <v>0</v>
      </c>
      <c r="FB149" s="72">
        <v>0</v>
      </c>
      <c r="FC149" s="72">
        <v>0</v>
      </c>
      <c r="FD149" s="72">
        <v>0</v>
      </c>
      <c r="FE149" s="72">
        <v>0</v>
      </c>
      <c r="FF149" s="72">
        <v>0</v>
      </c>
      <c r="FG149" s="72">
        <v>0</v>
      </c>
      <c r="FH149" s="72">
        <v>0</v>
      </c>
      <c r="FI149" s="72">
        <v>0</v>
      </c>
      <c r="FJ149" s="72">
        <v>0</v>
      </c>
      <c r="FK149" s="72">
        <v>0</v>
      </c>
      <c r="FL149" s="72">
        <v>0</v>
      </c>
      <c r="FM149" s="72">
        <v>0</v>
      </c>
      <c r="FN149" s="72">
        <v>0</v>
      </c>
      <c r="FO149" s="72">
        <v>65960.038473564215</v>
      </c>
      <c r="FP149" s="72">
        <v>0</v>
      </c>
      <c r="FQ149" s="72">
        <v>0</v>
      </c>
      <c r="FR149" s="72">
        <v>0</v>
      </c>
      <c r="FS149" s="72">
        <v>0</v>
      </c>
      <c r="FT149" s="72">
        <v>0</v>
      </c>
      <c r="FU149" s="72">
        <v>0</v>
      </c>
      <c r="FV149" s="74">
        <v>326.56554694490188</v>
      </c>
      <c r="FW149" s="74">
        <v>309.84343134645013</v>
      </c>
      <c r="FX149" s="74">
        <v>259.62126591009337</v>
      </c>
      <c r="FY149" s="74">
        <v>1407.3412259065217</v>
      </c>
      <c r="FZ149" s="74">
        <v>585.44931479019783</v>
      </c>
      <c r="GA149" s="74">
        <v>2450.8517593848574</v>
      </c>
      <c r="GB149" s="74">
        <v>2861.3406649955832</v>
      </c>
      <c r="GC149" s="74">
        <v>758.74146083500398</v>
      </c>
      <c r="GD149" s="74">
        <v>509.28358556379885</v>
      </c>
      <c r="GE149" s="74">
        <v>70.571005882346583</v>
      </c>
      <c r="GF149" s="74">
        <v>118.59766579200283</v>
      </c>
      <c r="GG149" s="74">
        <v>91.17504490868761</v>
      </c>
      <c r="GH149" s="74">
        <v>5.5264209072564041</v>
      </c>
      <c r="GI149" s="74">
        <v>359.87193360100127</v>
      </c>
      <c r="GJ149" s="72">
        <v>0</v>
      </c>
      <c r="GK149" s="72">
        <v>0</v>
      </c>
      <c r="GL149" s="72">
        <v>0</v>
      </c>
      <c r="GM149" s="72">
        <v>0</v>
      </c>
      <c r="GN149" s="72">
        <v>0</v>
      </c>
      <c r="GO149" s="72">
        <v>0</v>
      </c>
      <c r="GP149" s="72">
        <v>-4.0745362639427185E-10</v>
      </c>
      <c r="GQ149" s="72">
        <v>28848.269254917297</v>
      </c>
      <c r="GR149" s="72">
        <f t="shared" si="2"/>
        <v>246106.31626063111</v>
      </c>
      <c r="GS149" s="72">
        <f>SUM(EP$5:EP$202)</f>
        <v>246106.3162606312</v>
      </c>
      <c r="GT149" s="73">
        <v>0</v>
      </c>
    </row>
    <row r="150" spans="1:202" outlineLevel="1" x14ac:dyDescent="0.2">
      <c r="A150" s="66" t="s">
        <v>1140</v>
      </c>
      <c r="B150" s="72">
        <v>0</v>
      </c>
      <c r="C150" s="72">
        <v>80.295140338641787</v>
      </c>
      <c r="D150" s="72">
        <v>126.06917655005182</v>
      </c>
      <c r="E150" s="72">
        <v>2567.1715229241518</v>
      </c>
      <c r="F150" s="72">
        <v>668.16182149179099</v>
      </c>
      <c r="G150" s="72">
        <v>1491.7301032055148</v>
      </c>
      <c r="H150" s="72">
        <v>2671.5757334968448</v>
      </c>
      <c r="I150" s="72">
        <v>3963.5058682309368</v>
      </c>
      <c r="J150" s="72">
        <v>1235.8721518398054</v>
      </c>
      <c r="K150" s="72">
        <v>212.29854599983446</v>
      </c>
      <c r="L150" s="72">
        <v>355.18018357670383</v>
      </c>
      <c r="M150" s="72">
        <v>53.529588197183713</v>
      </c>
      <c r="N150" s="72">
        <v>88.906364956988796</v>
      </c>
      <c r="O150" s="72">
        <v>410.77752679459172</v>
      </c>
      <c r="P150" s="72">
        <v>1583.3152371827894</v>
      </c>
      <c r="Q150" s="72">
        <v>845.89169987423747</v>
      </c>
      <c r="R150" s="72">
        <v>1055.0897633734151</v>
      </c>
      <c r="S150" s="72">
        <v>1352.0017141977874</v>
      </c>
      <c r="T150" s="72">
        <v>1742.8403617042152</v>
      </c>
      <c r="U150" s="72">
        <v>274.12842007901168</v>
      </c>
      <c r="V150" s="72">
        <v>437.82731702407364</v>
      </c>
      <c r="W150" s="72">
        <v>59.314744318416743</v>
      </c>
      <c r="X150" s="72">
        <v>1165.8594994834627</v>
      </c>
      <c r="Y150" s="72">
        <v>748.27267022538217</v>
      </c>
      <c r="Z150" s="72">
        <v>754.95153633965913</v>
      </c>
      <c r="AA150" s="72">
        <v>1291.6296656889315</v>
      </c>
      <c r="AB150" s="72">
        <v>449.7620897164162</v>
      </c>
      <c r="AC150" s="72">
        <v>148.70170536264538</v>
      </c>
      <c r="AD150" s="72">
        <v>168.92150249748079</v>
      </c>
      <c r="AE150" s="72">
        <v>1244.9370470433309</v>
      </c>
      <c r="AF150" s="72">
        <v>206.22436488026773</v>
      </c>
      <c r="AG150" s="72">
        <v>248.61034508843591</v>
      </c>
      <c r="AH150" s="72">
        <v>418.82421585610314</v>
      </c>
      <c r="AI150" s="72">
        <v>692.26239094376706</v>
      </c>
      <c r="AJ150" s="72">
        <v>158.79428004593947</v>
      </c>
      <c r="AK150" s="72">
        <v>8456.6381032237932</v>
      </c>
      <c r="AL150" s="72">
        <v>15687.517008839546</v>
      </c>
      <c r="AM150" s="72">
        <v>7104.1107792586281</v>
      </c>
      <c r="AN150" s="72">
        <v>6341.6528477340617</v>
      </c>
      <c r="AO150" s="72">
        <v>5943.6097788642692</v>
      </c>
      <c r="AP150" s="72">
        <v>5981.297170437103</v>
      </c>
      <c r="AQ150" s="72">
        <v>184.1051253327945</v>
      </c>
      <c r="AR150" s="72">
        <v>9207.1646104677857</v>
      </c>
      <c r="AS150" s="72">
        <v>19199.047695996385</v>
      </c>
      <c r="AT150" s="72">
        <v>13169.056231095905</v>
      </c>
      <c r="AU150" s="72">
        <v>0</v>
      </c>
      <c r="AV150" s="72">
        <v>0</v>
      </c>
      <c r="AW150" s="72">
        <v>0</v>
      </c>
      <c r="AX150" s="72">
        <v>9376.4449635299516</v>
      </c>
      <c r="AY150" s="72">
        <v>3003.6007134789375</v>
      </c>
      <c r="AZ150" s="72">
        <v>6832.0168110186833</v>
      </c>
      <c r="BA150" s="72">
        <v>785.65874661605005</v>
      </c>
      <c r="BB150" s="72">
        <v>41496.24973609177</v>
      </c>
      <c r="BC150" s="72">
        <v>2177.3041880531841</v>
      </c>
      <c r="BD150" s="72">
        <v>8615.1925082734979</v>
      </c>
      <c r="BE150" s="72">
        <v>5296.3833266899837</v>
      </c>
      <c r="BF150" s="72">
        <v>336.90356552451033</v>
      </c>
      <c r="BG150" s="72">
        <v>620.37791869033754</v>
      </c>
      <c r="BH150" s="72">
        <v>2988.8889528918526</v>
      </c>
      <c r="BI150" s="72">
        <v>185.76069334715362</v>
      </c>
      <c r="BJ150" s="72">
        <v>3378.3448837816318</v>
      </c>
      <c r="BK150" s="72">
        <v>0</v>
      </c>
      <c r="BL150" s="72">
        <v>0</v>
      </c>
      <c r="BM150" s="72">
        <v>0</v>
      </c>
      <c r="BN150" s="72">
        <v>0</v>
      </c>
      <c r="BO150" s="72">
        <v>0</v>
      </c>
      <c r="BP150" s="72">
        <v>0</v>
      </c>
      <c r="BQ150" s="72">
        <v>0</v>
      </c>
      <c r="BR150" s="72">
        <v>0</v>
      </c>
      <c r="BS150" s="72">
        <v>0</v>
      </c>
      <c r="BT150" s="72">
        <v>0</v>
      </c>
      <c r="BU150" s="72">
        <v>0</v>
      </c>
      <c r="BV150" s="72">
        <v>0</v>
      </c>
      <c r="BW150" s="72">
        <v>0</v>
      </c>
      <c r="BX150" s="72">
        <v>0</v>
      </c>
      <c r="BY150" s="72">
        <v>0</v>
      </c>
      <c r="BZ150" s="72">
        <v>0</v>
      </c>
      <c r="CA150" s="72">
        <v>0</v>
      </c>
      <c r="CB150" s="72">
        <v>0</v>
      </c>
      <c r="CC150" s="72">
        <v>0</v>
      </c>
      <c r="CD150" s="72">
        <v>0</v>
      </c>
      <c r="CE150" s="72">
        <v>0</v>
      </c>
      <c r="CF150" s="72">
        <v>0</v>
      </c>
      <c r="CG150" s="72">
        <v>0</v>
      </c>
      <c r="CH150" s="72">
        <v>0</v>
      </c>
      <c r="CI150" s="72">
        <v>0</v>
      </c>
      <c r="CJ150" s="72">
        <v>0</v>
      </c>
      <c r="CK150" s="72">
        <v>0</v>
      </c>
      <c r="CL150" s="72">
        <v>0</v>
      </c>
      <c r="CM150" s="72">
        <v>0</v>
      </c>
      <c r="CN150" s="72">
        <v>0</v>
      </c>
      <c r="CO150" s="72">
        <v>0</v>
      </c>
      <c r="CP150" s="72">
        <v>0</v>
      </c>
      <c r="CQ150" s="72">
        <v>0</v>
      </c>
      <c r="CR150" s="72">
        <v>0</v>
      </c>
      <c r="CS150" s="72">
        <v>0</v>
      </c>
      <c r="CT150" s="72">
        <v>0</v>
      </c>
      <c r="CU150" s="72">
        <v>0</v>
      </c>
      <c r="CV150" s="72">
        <v>0</v>
      </c>
      <c r="CW150" s="72">
        <v>0</v>
      </c>
      <c r="CX150" s="72">
        <v>0</v>
      </c>
      <c r="CY150" s="72">
        <v>0</v>
      </c>
      <c r="CZ150" s="72">
        <v>0</v>
      </c>
      <c r="DA150" s="72">
        <v>0</v>
      </c>
      <c r="DB150" s="72">
        <v>0</v>
      </c>
      <c r="DC150" s="72">
        <v>0</v>
      </c>
      <c r="DD150" s="72">
        <v>0</v>
      </c>
      <c r="DE150" s="72">
        <v>0</v>
      </c>
      <c r="DF150" s="72">
        <v>0</v>
      </c>
      <c r="DG150" s="72">
        <v>0</v>
      </c>
      <c r="DH150" s="72">
        <v>0</v>
      </c>
      <c r="DI150" s="72">
        <v>0</v>
      </c>
      <c r="DJ150" s="72">
        <v>0</v>
      </c>
      <c r="DK150" s="72">
        <v>0</v>
      </c>
      <c r="DL150" s="72">
        <v>0</v>
      </c>
      <c r="DM150" s="72">
        <v>0</v>
      </c>
      <c r="DN150" s="72">
        <v>0</v>
      </c>
      <c r="DO150" s="72">
        <v>0</v>
      </c>
      <c r="DP150" s="72">
        <v>0</v>
      </c>
      <c r="DQ150" s="72">
        <v>0</v>
      </c>
      <c r="DR150" s="72">
        <v>0</v>
      </c>
      <c r="DS150" s="72">
        <v>0</v>
      </c>
      <c r="DT150" s="72">
        <v>0</v>
      </c>
      <c r="DU150" s="72">
        <v>0</v>
      </c>
      <c r="DV150" s="72">
        <v>0</v>
      </c>
      <c r="DW150" s="72">
        <v>0</v>
      </c>
      <c r="DX150" s="72">
        <v>0</v>
      </c>
      <c r="DY150" s="72">
        <v>0</v>
      </c>
      <c r="DZ150" s="72">
        <v>0</v>
      </c>
      <c r="EA150" s="72">
        <v>0</v>
      </c>
      <c r="EB150" s="72">
        <v>0</v>
      </c>
      <c r="EC150" s="72">
        <v>0</v>
      </c>
      <c r="ED150" s="72">
        <v>0</v>
      </c>
      <c r="EE150" s="72">
        <v>0</v>
      </c>
      <c r="EF150" s="72">
        <v>0</v>
      </c>
      <c r="EG150" s="72">
        <v>0</v>
      </c>
      <c r="EH150" s="72">
        <v>0</v>
      </c>
      <c r="EI150" s="72">
        <v>0</v>
      </c>
      <c r="EJ150" s="72">
        <v>0</v>
      </c>
      <c r="EK150" s="72">
        <v>0</v>
      </c>
      <c r="EL150" s="72">
        <v>0</v>
      </c>
      <c r="EM150" s="72">
        <v>0</v>
      </c>
      <c r="EN150" s="72">
        <v>0</v>
      </c>
      <c r="EO150" s="72">
        <v>0</v>
      </c>
      <c r="EP150" s="72">
        <v>0</v>
      </c>
      <c r="EQ150" s="72">
        <v>0</v>
      </c>
      <c r="ER150" s="72">
        <v>0</v>
      </c>
      <c r="ES150" s="72">
        <v>0</v>
      </c>
      <c r="ET150" s="72">
        <v>0</v>
      </c>
      <c r="EU150" s="72">
        <v>0</v>
      </c>
      <c r="EV150" s="72">
        <v>0</v>
      </c>
      <c r="EW150" s="72">
        <v>0</v>
      </c>
      <c r="EX150" s="72">
        <v>0</v>
      </c>
      <c r="EY150" s="72">
        <v>0</v>
      </c>
      <c r="EZ150" s="72">
        <v>0</v>
      </c>
      <c r="FA150" s="72">
        <v>0</v>
      </c>
      <c r="FB150" s="72">
        <v>0</v>
      </c>
      <c r="FC150" s="72">
        <v>0</v>
      </c>
      <c r="FD150" s="72">
        <v>0</v>
      </c>
      <c r="FE150" s="72">
        <v>0</v>
      </c>
      <c r="FF150" s="72">
        <v>0</v>
      </c>
      <c r="FG150" s="72">
        <v>0</v>
      </c>
      <c r="FH150" s="72">
        <v>0</v>
      </c>
      <c r="FI150" s="72">
        <v>0</v>
      </c>
      <c r="FJ150" s="72">
        <v>0</v>
      </c>
      <c r="FK150" s="72">
        <v>0</v>
      </c>
      <c r="FL150" s="72">
        <v>0</v>
      </c>
      <c r="FM150" s="72">
        <v>0</v>
      </c>
      <c r="FN150" s="72">
        <v>0</v>
      </c>
      <c r="FO150" s="72">
        <v>0</v>
      </c>
      <c r="FP150" s="72">
        <v>0</v>
      </c>
      <c r="FQ150" s="72">
        <v>0</v>
      </c>
      <c r="FR150" s="72">
        <v>0</v>
      </c>
      <c r="FS150" s="72">
        <v>0</v>
      </c>
      <c r="FT150" s="72">
        <v>0</v>
      </c>
      <c r="FU150" s="72">
        <v>0</v>
      </c>
      <c r="FV150" s="74">
        <v>14.422178279183692</v>
      </c>
      <c r="FW150" s="74">
        <v>13.709466144145054</v>
      </c>
      <c r="FX150" s="74">
        <v>23.411034149811233</v>
      </c>
      <c r="FY150" s="74">
        <v>35.688867893877472</v>
      </c>
      <c r="FZ150" s="74">
        <v>37.445262980826676</v>
      </c>
      <c r="GA150" s="74">
        <v>56.658887147621357</v>
      </c>
      <c r="GB150" s="74">
        <v>86.675884275505055</v>
      </c>
      <c r="GC150" s="74">
        <v>140.06427306048599</v>
      </c>
      <c r="GD150" s="74">
        <v>224.10830312350112</v>
      </c>
      <c r="GE150" s="74">
        <v>69.824966260311953</v>
      </c>
      <c r="GF150" s="74">
        <v>62.232554594168349</v>
      </c>
      <c r="GG150" s="74">
        <v>83.079649987151825</v>
      </c>
      <c r="GH150" s="74">
        <v>123.7062455353376</v>
      </c>
      <c r="GI150" s="74">
        <v>161.31069833304025</v>
      </c>
      <c r="GJ150" s="72">
        <v>0</v>
      </c>
      <c r="GK150" s="72">
        <v>0</v>
      </c>
      <c r="GL150" s="72">
        <v>0</v>
      </c>
      <c r="GM150" s="72">
        <v>0</v>
      </c>
      <c r="GN150" s="72">
        <v>0</v>
      </c>
      <c r="GO150" s="72">
        <v>0</v>
      </c>
      <c r="GP150" s="72">
        <v>-3.4924596548080444E-9</v>
      </c>
      <c r="GQ150" s="72">
        <v>0</v>
      </c>
      <c r="GR150" s="72">
        <f t="shared" si="2"/>
        <v>206472.89892952808</v>
      </c>
      <c r="GS150" s="72">
        <f>SUM(EQ$5:EQ$202)</f>
        <v>206472.89892952814</v>
      </c>
      <c r="GT150" s="73">
        <v>0</v>
      </c>
    </row>
    <row r="151" spans="1:202" outlineLevel="1" x14ac:dyDescent="0.2">
      <c r="A151" s="66" t="s">
        <v>1145</v>
      </c>
      <c r="B151" s="72">
        <v>0</v>
      </c>
      <c r="C151" s="72">
        <v>10.155505345880247</v>
      </c>
      <c r="D151" s="72">
        <v>5.8395173241287734</v>
      </c>
      <c r="E151" s="72">
        <v>18.739835643084845</v>
      </c>
      <c r="F151" s="72">
        <v>1.9629219163148166</v>
      </c>
      <c r="G151" s="72">
        <v>12.834795288103289</v>
      </c>
      <c r="H151" s="72">
        <v>102.91541862491343</v>
      </c>
      <c r="I151" s="72">
        <v>564.26786819011431</v>
      </c>
      <c r="J151" s="72">
        <v>16.670325222441026</v>
      </c>
      <c r="K151" s="72">
        <v>85.849532959062373</v>
      </c>
      <c r="L151" s="72">
        <v>127.39675303947836</v>
      </c>
      <c r="M151" s="72">
        <v>8.7698305722685053</v>
      </c>
      <c r="N151" s="72">
        <v>31.272514519476246</v>
      </c>
      <c r="O151" s="72">
        <v>11.516356495961137</v>
      </c>
      <c r="P151" s="72">
        <v>48.488201434707307</v>
      </c>
      <c r="Q151" s="72">
        <v>189.34577974854335</v>
      </c>
      <c r="R151" s="72">
        <v>11.216863024086056</v>
      </c>
      <c r="S151" s="72">
        <v>38.520327291324129</v>
      </c>
      <c r="T151" s="72">
        <v>82.825494434463593</v>
      </c>
      <c r="U151" s="72">
        <v>19.22379282138521</v>
      </c>
      <c r="V151" s="72">
        <v>41.57748115329634</v>
      </c>
      <c r="W151" s="72">
        <v>3.779318517517448</v>
      </c>
      <c r="X151" s="72">
        <v>43.829507196497801</v>
      </c>
      <c r="Y151" s="72">
        <v>20.497213641251097</v>
      </c>
      <c r="Z151" s="72">
        <v>25.69111859436217</v>
      </c>
      <c r="AA151" s="72">
        <v>98.641745619498948</v>
      </c>
      <c r="AB151" s="72">
        <v>53.911961260259261</v>
      </c>
      <c r="AC151" s="72">
        <v>47.562241044063398</v>
      </c>
      <c r="AD151" s="72">
        <v>30.945940006911531</v>
      </c>
      <c r="AE151" s="72">
        <v>104.48286153407476</v>
      </c>
      <c r="AF151" s="72">
        <v>14.88194170968292</v>
      </c>
      <c r="AG151" s="72">
        <v>5.8034587478152577</v>
      </c>
      <c r="AH151" s="72">
        <v>102.8638988565867</v>
      </c>
      <c r="AI151" s="72">
        <v>69.155078563518316</v>
      </c>
      <c r="AJ151" s="72">
        <v>18.897294150892765</v>
      </c>
      <c r="AK151" s="72">
        <v>101.46135521616024</v>
      </c>
      <c r="AL151" s="72">
        <v>2310.4454926503722</v>
      </c>
      <c r="AM151" s="72">
        <v>1878.9539969926577</v>
      </c>
      <c r="AN151" s="72">
        <v>323.42357975657745</v>
      </c>
      <c r="AO151" s="72">
        <v>99.922596070795692</v>
      </c>
      <c r="AP151" s="72">
        <v>88.01600674999743</v>
      </c>
      <c r="AQ151" s="72">
        <v>6.2834478644742013</v>
      </c>
      <c r="AR151" s="72">
        <v>17.506554400661138</v>
      </c>
      <c r="AS151" s="72">
        <v>1544.6839996659353</v>
      </c>
      <c r="AT151" s="72">
        <v>1677.2922427873527</v>
      </c>
      <c r="AU151" s="72">
        <v>456.04285497668923</v>
      </c>
      <c r="AV151" s="72">
        <v>117.14111276095917</v>
      </c>
      <c r="AW151" s="72">
        <v>388.61170438337115</v>
      </c>
      <c r="AX151" s="72">
        <v>137.48265119975946</v>
      </c>
      <c r="AY151" s="72">
        <v>109.34627533437856</v>
      </c>
      <c r="AZ151" s="72">
        <v>143.92298629196222</v>
      </c>
      <c r="BA151" s="72">
        <v>95.349668342370009</v>
      </c>
      <c r="BB151" s="72">
        <v>8580.5196953090726</v>
      </c>
      <c r="BC151" s="72">
        <v>264.90936251802776</v>
      </c>
      <c r="BD151" s="72">
        <v>0.24192742082078897</v>
      </c>
      <c r="BE151" s="72">
        <v>276.95329846525834</v>
      </c>
      <c r="BF151" s="72">
        <v>15.612580040629396</v>
      </c>
      <c r="BG151" s="72">
        <v>54.599102834301718</v>
      </c>
      <c r="BH151" s="72">
        <v>86.348929634950395</v>
      </c>
      <c r="BI151" s="72">
        <v>12.064112894190165</v>
      </c>
      <c r="BJ151" s="72">
        <v>1537.4774288164454</v>
      </c>
      <c r="BK151" s="72">
        <v>0</v>
      </c>
      <c r="BL151" s="72">
        <v>0</v>
      </c>
      <c r="BM151" s="72">
        <v>0</v>
      </c>
      <c r="BN151" s="72">
        <v>0</v>
      </c>
      <c r="BO151" s="72">
        <v>0</v>
      </c>
      <c r="BP151" s="72">
        <v>0</v>
      </c>
      <c r="BQ151" s="72">
        <v>0</v>
      </c>
      <c r="BR151" s="72">
        <v>0</v>
      </c>
      <c r="BS151" s="72">
        <v>0</v>
      </c>
      <c r="BT151" s="72">
        <v>0</v>
      </c>
      <c r="BU151" s="72">
        <v>0</v>
      </c>
      <c r="BV151" s="72">
        <v>0</v>
      </c>
      <c r="BW151" s="72">
        <v>0</v>
      </c>
      <c r="BX151" s="72">
        <v>0</v>
      </c>
      <c r="BY151" s="72">
        <v>0</v>
      </c>
      <c r="BZ151" s="72">
        <v>0</v>
      </c>
      <c r="CA151" s="72">
        <v>0</v>
      </c>
      <c r="CB151" s="72">
        <v>0</v>
      </c>
      <c r="CC151" s="72">
        <v>0</v>
      </c>
      <c r="CD151" s="72">
        <v>0</v>
      </c>
      <c r="CE151" s="72">
        <v>0</v>
      </c>
      <c r="CF151" s="72">
        <v>0</v>
      </c>
      <c r="CG151" s="72">
        <v>0</v>
      </c>
      <c r="CH151" s="72">
        <v>0</v>
      </c>
      <c r="CI151" s="72">
        <v>0</v>
      </c>
      <c r="CJ151" s="72">
        <v>0</v>
      </c>
      <c r="CK151" s="72">
        <v>0</v>
      </c>
      <c r="CL151" s="72">
        <v>0</v>
      </c>
      <c r="CM151" s="72">
        <v>0</v>
      </c>
      <c r="CN151" s="72">
        <v>0</v>
      </c>
      <c r="CO151" s="72">
        <v>0</v>
      </c>
      <c r="CP151" s="72">
        <v>0</v>
      </c>
      <c r="CQ151" s="72">
        <v>0</v>
      </c>
      <c r="CR151" s="72">
        <v>0</v>
      </c>
      <c r="CS151" s="72">
        <v>0</v>
      </c>
      <c r="CT151" s="72">
        <v>0</v>
      </c>
      <c r="CU151" s="72">
        <v>0</v>
      </c>
      <c r="CV151" s="72">
        <v>0</v>
      </c>
      <c r="CW151" s="72">
        <v>0</v>
      </c>
      <c r="CX151" s="72">
        <v>0</v>
      </c>
      <c r="CY151" s="72">
        <v>0</v>
      </c>
      <c r="CZ151" s="72">
        <v>0</v>
      </c>
      <c r="DA151" s="72">
        <v>0</v>
      </c>
      <c r="DB151" s="72">
        <v>0</v>
      </c>
      <c r="DC151" s="72">
        <v>0</v>
      </c>
      <c r="DD151" s="72">
        <v>0</v>
      </c>
      <c r="DE151" s="72">
        <v>0</v>
      </c>
      <c r="DF151" s="72">
        <v>0</v>
      </c>
      <c r="DG151" s="72">
        <v>0</v>
      </c>
      <c r="DH151" s="72">
        <v>0</v>
      </c>
      <c r="DI151" s="72">
        <v>0</v>
      </c>
      <c r="DJ151" s="72">
        <v>0</v>
      </c>
      <c r="DK151" s="72">
        <v>0</v>
      </c>
      <c r="DL151" s="72">
        <v>0</v>
      </c>
      <c r="DM151" s="72">
        <v>0</v>
      </c>
      <c r="DN151" s="72">
        <v>0</v>
      </c>
      <c r="DO151" s="72">
        <v>0</v>
      </c>
      <c r="DP151" s="72">
        <v>0</v>
      </c>
      <c r="DQ151" s="72">
        <v>0</v>
      </c>
      <c r="DR151" s="72">
        <v>0</v>
      </c>
      <c r="DS151" s="72">
        <v>0</v>
      </c>
      <c r="DT151" s="72">
        <v>0</v>
      </c>
      <c r="DU151" s="72">
        <v>0</v>
      </c>
      <c r="DV151" s="72">
        <v>0</v>
      </c>
      <c r="DW151" s="72">
        <v>0</v>
      </c>
      <c r="DX151" s="72">
        <v>0</v>
      </c>
      <c r="DY151" s="72">
        <v>0</v>
      </c>
      <c r="DZ151" s="72">
        <v>0</v>
      </c>
      <c r="EA151" s="72">
        <v>0</v>
      </c>
      <c r="EB151" s="72">
        <v>0</v>
      </c>
      <c r="EC151" s="72">
        <v>0</v>
      </c>
      <c r="ED151" s="72">
        <v>0</v>
      </c>
      <c r="EE151" s="72">
        <v>0</v>
      </c>
      <c r="EF151" s="72">
        <v>0</v>
      </c>
      <c r="EG151" s="72">
        <v>0</v>
      </c>
      <c r="EH151" s="72">
        <v>0</v>
      </c>
      <c r="EI151" s="72">
        <v>0</v>
      </c>
      <c r="EJ151" s="72">
        <v>0</v>
      </c>
      <c r="EK151" s="72">
        <v>0</v>
      </c>
      <c r="EL151" s="72">
        <v>0</v>
      </c>
      <c r="EM151" s="72">
        <v>0</v>
      </c>
      <c r="EN151" s="72">
        <v>0</v>
      </c>
      <c r="EO151" s="72">
        <v>0</v>
      </c>
      <c r="EP151" s="72">
        <v>0</v>
      </c>
      <c r="EQ151" s="72">
        <v>0</v>
      </c>
      <c r="ER151" s="72">
        <v>0</v>
      </c>
      <c r="ES151" s="72">
        <v>0</v>
      </c>
      <c r="ET151" s="72">
        <v>0</v>
      </c>
      <c r="EU151" s="72">
        <v>0</v>
      </c>
      <c r="EV151" s="72">
        <v>0</v>
      </c>
      <c r="EW151" s="72">
        <v>0</v>
      </c>
      <c r="EX151" s="72">
        <v>0</v>
      </c>
      <c r="EY151" s="72">
        <v>0</v>
      </c>
      <c r="EZ151" s="72">
        <v>0</v>
      </c>
      <c r="FA151" s="72">
        <v>0</v>
      </c>
      <c r="FB151" s="72">
        <v>0</v>
      </c>
      <c r="FC151" s="72">
        <v>0</v>
      </c>
      <c r="FD151" s="72">
        <v>0</v>
      </c>
      <c r="FE151" s="72">
        <v>0</v>
      </c>
      <c r="FF151" s="72">
        <v>0</v>
      </c>
      <c r="FG151" s="72">
        <v>0</v>
      </c>
      <c r="FH151" s="72">
        <v>0</v>
      </c>
      <c r="FI151" s="72">
        <v>0</v>
      </c>
      <c r="FJ151" s="72">
        <v>0</v>
      </c>
      <c r="FK151" s="72">
        <v>0</v>
      </c>
      <c r="FL151" s="72">
        <v>0</v>
      </c>
      <c r="FM151" s="72">
        <v>0</v>
      </c>
      <c r="FN151" s="72">
        <v>0</v>
      </c>
      <c r="FO151" s="72">
        <v>0</v>
      </c>
      <c r="FP151" s="72">
        <v>0</v>
      </c>
      <c r="FQ151" s="72">
        <v>0</v>
      </c>
      <c r="FR151" s="72">
        <v>0</v>
      </c>
      <c r="FS151" s="72">
        <v>0</v>
      </c>
      <c r="FT151" s="72">
        <v>0</v>
      </c>
      <c r="FU151" s="72">
        <v>0</v>
      </c>
      <c r="FV151" s="74">
        <v>30.846278451652637</v>
      </c>
      <c r="FW151" s="74">
        <v>56.573068986913803</v>
      </c>
      <c r="FX151" s="74">
        <v>81.650581578787552</v>
      </c>
      <c r="FY151" s="74">
        <v>88.464488904071629</v>
      </c>
      <c r="FZ151" s="74">
        <v>114.78896658216341</v>
      </c>
      <c r="GA151" s="74">
        <v>131.54387587591188</v>
      </c>
      <c r="GB151" s="74">
        <v>193.52365929742021</v>
      </c>
      <c r="GC151" s="74">
        <v>332.18248185407151</v>
      </c>
      <c r="GD151" s="74">
        <v>359.85315386923463</v>
      </c>
      <c r="GE151" s="74">
        <v>72.061130208342959</v>
      </c>
      <c r="GF151" s="74">
        <v>91.183273071888252</v>
      </c>
      <c r="GG151" s="74">
        <v>125.67575130562011</v>
      </c>
      <c r="GH151" s="74">
        <v>278.70088690210395</v>
      </c>
      <c r="GI151" s="74">
        <v>208.25755721827727</v>
      </c>
      <c r="GJ151" s="72">
        <v>0</v>
      </c>
      <c r="GK151" s="72">
        <v>0</v>
      </c>
      <c r="GL151" s="72">
        <v>0</v>
      </c>
      <c r="GM151" s="72">
        <v>0</v>
      </c>
      <c r="GN151" s="72">
        <v>0</v>
      </c>
      <c r="GO151" s="72">
        <v>0</v>
      </c>
      <c r="GP151" s="72">
        <v>1.1714291758835316E-9</v>
      </c>
      <c r="GQ151" s="72">
        <v>0</v>
      </c>
      <c r="GR151" s="72">
        <f t="shared" si="2"/>
        <v>24560.250811977763</v>
      </c>
      <c r="GS151" s="72">
        <f>SUM(ER$5:ER$202)</f>
        <v>24560.250811977763</v>
      </c>
      <c r="GT151" s="73">
        <v>0</v>
      </c>
    </row>
    <row r="152" spans="1:202" outlineLevel="1" x14ac:dyDescent="0.2">
      <c r="A152" s="66" t="s">
        <v>1150</v>
      </c>
      <c r="B152" s="72">
        <v>0</v>
      </c>
      <c r="C152" s="72">
        <v>0</v>
      </c>
      <c r="D152" s="72">
        <v>0</v>
      </c>
      <c r="E152" s="72">
        <v>0</v>
      </c>
      <c r="F152" s="72">
        <v>0</v>
      </c>
      <c r="G152" s="72">
        <v>0</v>
      </c>
      <c r="H152" s="72">
        <v>0</v>
      </c>
      <c r="I152" s="72">
        <v>0</v>
      </c>
      <c r="J152" s="72">
        <v>0</v>
      </c>
      <c r="K152" s="72">
        <v>0</v>
      </c>
      <c r="L152" s="72">
        <v>0</v>
      </c>
      <c r="M152" s="72">
        <v>0</v>
      </c>
      <c r="N152" s="72">
        <v>0</v>
      </c>
      <c r="O152" s="72">
        <v>0</v>
      </c>
      <c r="P152" s="72">
        <v>0</v>
      </c>
      <c r="Q152" s="72">
        <v>0</v>
      </c>
      <c r="R152" s="72">
        <v>0</v>
      </c>
      <c r="S152" s="72">
        <v>0</v>
      </c>
      <c r="T152" s="72">
        <v>0</v>
      </c>
      <c r="U152" s="72">
        <v>0</v>
      </c>
      <c r="V152" s="72">
        <v>0</v>
      </c>
      <c r="W152" s="72">
        <v>0</v>
      </c>
      <c r="X152" s="72">
        <v>0</v>
      </c>
      <c r="Y152" s="72">
        <v>0</v>
      </c>
      <c r="Z152" s="72">
        <v>0</v>
      </c>
      <c r="AA152" s="72">
        <v>0</v>
      </c>
      <c r="AB152" s="72">
        <v>0</v>
      </c>
      <c r="AC152" s="72">
        <v>0</v>
      </c>
      <c r="AD152" s="72">
        <v>0</v>
      </c>
      <c r="AE152" s="72">
        <v>0</v>
      </c>
      <c r="AF152" s="72">
        <v>0</v>
      </c>
      <c r="AG152" s="72">
        <v>0</v>
      </c>
      <c r="AH152" s="72">
        <v>0</v>
      </c>
      <c r="AI152" s="72">
        <v>0</v>
      </c>
      <c r="AJ152" s="72">
        <v>0</v>
      </c>
      <c r="AK152" s="72">
        <v>0</v>
      </c>
      <c r="AL152" s="72">
        <v>0</v>
      </c>
      <c r="AM152" s="72">
        <v>0</v>
      </c>
      <c r="AN152" s="72">
        <v>0</v>
      </c>
      <c r="AO152" s="72">
        <v>0</v>
      </c>
      <c r="AP152" s="72">
        <v>0</v>
      </c>
      <c r="AQ152" s="72">
        <v>0</v>
      </c>
      <c r="AR152" s="72">
        <v>0</v>
      </c>
      <c r="AS152" s="72">
        <v>0</v>
      </c>
      <c r="AT152" s="72">
        <v>0</v>
      </c>
      <c r="AU152" s="72">
        <v>0</v>
      </c>
      <c r="AV152" s="72">
        <v>0</v>
      </c>
      <c r="AW152" s="72">
        <v>0</v>
      </c>
      <c r="AX152" s="72">
        <v>0</v>
      </c>
      <c r="AY152" s="72">
        <v>0</v>
      </c>
      <c r="AZ152" s="72">
        <v>0</v>
      </c>
      <c r="BA152" s="72">
        <v>0</v>
      </c>
      <c r="BB152" s="72">
        <v>0</v>
      </c>
      <c r="BC152" s="72">
        <v>0</v>
      </c>
      <c r="BD152" s="72">
        <v>0</v>
      </c>
      <c r="BE152" s="72">
        <v>0</v>
      </c>
      <c r="BF152" s="72">
        <v>0</v>
      </c>
      <c r="BG152" s="72">
        <v>0</v>
      </c>
      <c r="BH152" s="72">
        <v>0</v>
      </c>
      <c r="BI152" s="72">
        <v>0</v>
      </c>
      <c r="BJ152" s="72">
        <v>0</v>
      </c>
      <c r="BK152" s="72">
        <v>0</v>
      </c>
      <c r="BL152" s="72">
        <v>0</v>
      </c>
      <c r="BM152" s="72">
        <v>0</v>
      </c>
      <c r="BN152" s="72">
        <v>0</v>
      </c>
      <c r="BO152" s="72">
        <v>0</v>
      </c>
      <c r="BP152" s="72">
        <v>0</v>
      </c>
      <c r="BQ152" s="72">
        <v>0</v>
      </c>
      <c r="BR152" s="72">
        <v>0</v>
      </c>
      <c r="BS152" s="72">
        <v>0</v>
      </c>
      <c r="BT152" s="72">
        <v>0</v>
      </c>
      <c r="BU152" s="72">
        <v>0</v>
      </c>
      <c r="BV152" s="72">
        <v>0</v>
      </c>
      <c r="BW152" s="72">
        <v>0</v>
      </c>
      <c r="BX152" s="72">
        <v>0</v>
      </c>
      <c r="BY152" s="72">
        <v>0</v>
      </c>
      <c r="BZ152" s="72">
        <v>0</v>
      </c>
      <c r="CA152" s="72">
        <v>0</v>
      </c>
      <c r="CB152" s="72">
        <v>0</v>
      </c>
      <c r="CC152" s="72">
        <v>0</v>
      </c>
      <c r="CD152" s="72">
        <v>0</v>
      </c>
      <c r="CE152" s="72">
        <v>0</v>
      </c>
      <c r="CF152" s="72">
        <v>0</v>
      </c>
      <c r="CG152" s="72">
        <v>0</v>
      </c>
      <c r="CH152" s="72">
        <v>0</v>
      </c>
      <c r="CI152" s="72">
        <v>0</v>
      </c>
      <c r="CJ152" s="72">
        <v>0</v>
      </c>
      <c r="CK152" s="72">
        <v>0</v>
      </c>
      <c r="CL152" s="72">
        <v>0</v>
      </c>
      <c r="CM152" s="72">
        <v>0</v>
      </c>
      <c r="CN152" s="72">
        <v>0</v>
      </c>
      <c r="CO152" s="72">
        <v>0</v>
      </c>
      <c r="CP152" s="72">
        <v>0</v>
      </c>
      <c r="CQ152" s="72">
        <v>0</v>
      </c>
      <c r="CR152" s="72">
        <v>0</v>
      </c>
      <c r="CS152" s="72">
        <v>0</v>
      </c>
      <c r="CT152" s="72">
        <v>0</v>
      </c>
      <c r="CU152" s="72">
        <v>0</v>
      </c>
      <c r="CV152" s="72">
        <v>0</v>
      </c>
      <c r="CW152" s="72">
        <v>0</v>
      </c>
      <c r="CX152" s="72">
        <v>0</v>
      </c>
      <c r="CY152" s="72">
        <v>0</v>
      </c>
      <c r="CZ152" s="72">
        <v>0</v>
      </c>
      <c r="DA152" s="72">
        <v>0</v>
      </c>
      <c r="DB152" s="72">
        <v>0</v>
      </c>
      <c r="DC152" s="72">
        <v>0</v>
      </c>
      <c r="DD152" s="72">
        <v>0</v>
      </c>
      <c r="DE152" s="72">
        <v>0</v>
      </c>
      <c r="DF152" s="72">
        <v>0</v>
      </c>
      <c r="DG152" s="72">
        <v>0</v>
      </c>
      <c r="DH152" s="72">
        <v>0</v>
      </c>
      <c r="DI152" s="72">
        <v>0</v>
      </c>
      <c r="DJ152" s="72">
        <v>0</v>
      </c>
      <c r="DK152" s="72">
        <v>0</v>
      </c>
      <c r="DL152" s="72">
        <v>0</v>
      </c>
      <c r="DM152" s="72">
        <v>0</v>
      </c>
      <c r="DN152" s="72">
        <v>0</v>
      </c>
      <c r="DO152" s="72">
        <v>0</v>
      </c>
      <c r="DP152" s="72">
        <v>0</v>
      </c>
      <c r="DQ152" s="72">
        <v>0</v>
      </c>
      <c r="DR152" s="72">
        <v>0</v>
      </c>
      <c r="DS152" s="72">
        <v>0</v>
      </c>
      <c r="DT152" s="72">
        <v>0</v>
      </c>
      <c r="DU152" s="72">
        <v>0</v>
      </c>
      <c r="DV152" s="72">
        <v>0</v>
      </c>
      <c r="DW152" s="72">
        <v>0</v>
      </c>
      <c r="DX152" s="72">
        <v>0</v>
      </c>
      <c r="DY152" s="72">
        <v>0</v>
      </c>
      <c r="DZ152" s="72">
        <v>0</v>
      </c>
      <c r="EA152" s="72">
        <v>0</v>
      </c>
      <c r="EB152" s="72">
        <v>0</v>
      </c>
      <c r="EC152" s="72">
        <v>0</v>
      </c>
      <c r="ED152" s="72">
        <v>0</v>
      </c>
      <c r="EE152" s="72">
        <v>0</v>
      </c>
      <c r="EF152" s="72">
        <v>0</v>
      </c>
      <c r="EG152" s="72">
        <v>0</v>
      </c>
      <c r="EH152" s="72">
        <v>0</v>
      </c>
      <c r="EI152" s="72">
        <v>0</v>
      </c>
      <c r="EJ152" s="72">
        <v>0</v>
      </c>
      <c r="EK152" s="72">
        <v>0</v>
      </c>
      <c r="EL152" s="72">
        <v>0</v>
      </c>
      <c r="EM152" s="72">
        <v>0</v>
      </c>
      <c r="EN152" s="72">
        <v>0</v>
      </c>
      <c r="EO152" s="72">
        <v>0</v>
      </c>
      <c r="EP152" s="72">
        <v>0</v>
      </c>
      <c r="EQ152" s="72">
        <v>0</v>
      </c>
      <c r="ER152" s="72">
        <v>0</v>
      </c>
      <c r="ES152" s="72">
        <v>0</v>
      </c>
      <c r="ET152" s="72">
        <v>0</v>
      </c>
      <c r="EU152" s="72">
        <v>0</v>
      </c>
      <c r="EV152" s="72">
        <v>0</v>
      </c>
      <c r="EW152" s="72">
        <v>0</v>
      </c>
      <c r="EX152" s="72">
        <v>0</v>
      </c>
      <c r="EY152" s="72">
        <v>0</v>
      </c>
      <c r="EZ152" s="72">
        <v>0</v>
      </c>
      <c r="FA152" s="72">
        <v>0</v>
      </c>
      <c r="FB152" s="72">
        <v>0</v>
      </c>
      <c r="FC152" s="72">
        <v>0</v>
      </c>
      <c r="FD152" s="72">
        <v>0</v>
      </c>
      <c r="FE152" s="72">
        <v>0</v>
      </c>
      <c r="FF152" s="72">
        <v>0</v>
      </c>
      <c r="FG152" s="72">
        <v>0</v>
      </c>
      <c r="FH152" s="72">
        <v>0</v>
      </c>
      <c r="FI152" s="72">
        <v>0</v>
      </c>
      <c r="FJ152" s="72">
        <v>0</v>
      </c>
      <c r="FK152" s="72">
        <v>0</v>
      </c>
      <c r="FL152" s="72">
        <v>0</v>
      </c>
      <c r="FM152" s="72">
        <v>0</v>
      </c>
      <c r="FN152" s="72">
        <v>0</v>
      </c>
      <c r="FO152" s="72">
        <v>28332.010975322366</v>
      </c>
      <c r="FP152" s="72">
        <v>0</v>
      </c>
      <c r="FQ152" s="72">
        <v>0</v>
      </c>
      <c r="FR152" s="72">
        <v>0</v>
      </c>
      <c r="FS152" s="72">
        <v>0</v>
      </c>
      <c r="FT152" s="72">
        <v>0</v>
      </c>
      <c r="FU152" s="72">
        <v>0</v>
      </c>
      <c r="FV152" s="74">
        <v>0</v>
      </c>
      <c r="FW152" s="74">
        <v>0</v>
      </c>
      <c r="FX152" s="74">
        <v>0</v>
      </c>
      <c r="FY152" s="74">
        <v>0</v>
      </c>
      <c r="FZ152" s="74">
        <v>0</v>
      </c>
      <c r="GA152" s="74">
        <v>0</v>
      </c>
      <c r="GB152" s="74">
        <v>0</v>
      </c>
      <c r="GC152" s="74">
        <v>0</v>
      </c>
      <c r="GD152" s="74">
        <v>0</v>
      </c>
      <c r="GE152" s="74">
        <v>0</v>
      </c>
      <c r="GF152" s="74">
        <v>0</v>
      </c>
      <c r="GG152" s="74">
        <v>0</v>
      </c>
      <c r="GH152" s="74">
        <v>0</v>
      </c>
      <c r="GI152" s="74">
        <v>0</v>
      </c>
      <c r="GJ152" s="72">
        <v>0</v>
      </c>
      <c r="GK152" s="72">
        <v>0</v>
      </c>
      <c r="GL152" s="72">
        <v>0</v>
      </c>
      <c r="GM152" s="72">
        <v>0</v>
      </c>
      <c r="GN152" s="72">
        <v>0</v>
      </c>
      <c r="GO152" s="72">
        <v>0</v>
      </c>
      <c r="GP152" s="72">
        <v>0</v>
      </c>
      <c r="GQ152" s="72">
        <v>0</v>
      </c>
      <c r="GR152" s="72">
        <f t="shared" si="2"/>
        <v>28332.010975322366</v>
      </c>
      <c r="GS152" s="72">
        <f>SUM(ES$5:ES$202)</f>
        <v>28332.010975322366</v>
      </c>
      <c r="GT152" s="73">
        <v>0</v>
      </c>
    </row>
    <row r="153" spans="1:202" outlineLevel="1" x14ac:dyDescent="0.2">
      <c r="A153" s="66" t="s">
        <v>1156</v>
      </c>
      <c r="B153" s="72">
        <v>0</v>
      </c>
      <c r="C153" s="72">
        <v>0</v>
      </c>
      <c r="D153" s="72">
        <v>0</v>
      </c>
      <c r="E153" s="72">
        <v>0</v>
      </c>
      <c r="F153" s="72">
        <v>0</v>
      </c>
      <c r="G153" s="72">
        <v>0</v>
      </c>
      <c r="H153" s="72">
        <v>0</v>
      </c>
      <c r="I153" s="72">
        <v>0</v>
      </c>
      <c r="J153" s="72">
        <v>0</v>
      </c>
      <c r="K153" s="72">
        <v>0</v>
      </c>
      <c r="L153" s="72">
        <v>0</v>
      </c>
      <c r="M153" s="72">
        <v>0</v>
      </c>
      <c r="N153" s="72">
        <v>0</v>
      </c>
      <c r="O153" s="72">
        <v>0</v>
      </c>
      <c r="P153" s="72">
        <v>0</v>
      </c>
      <c r="Q153" s="72">
        <v>0</v>
      </c>
      <c r="R153" s="72">
        <v>0</v>
      </c>
      <c r="S153" s="72">
        <v>0</v>
      </c>
      <c r="T153" s="72">
        <v>0</v>
      </c>
      <c r="U153" s="72">
        <v>0</v>
      </c>
      <c r="V153" s="72">
        <v>0</v>
      </c>
      <c r="W153" s="72">
        <v>0</v>
      </c>
      <c r="X153" s="72">
        <v>0</v>
      </c>
      <c r="Y153" s="72">
        <v>0</v>
      </c>
      <c r="Z153" s="72">
        <v>0</v>
      </c>
      <c r="AA153" s="72">
        <v>0</v>
      </c>
      <c r="AB153" s="72">
        <v>0</v>
      </c>
      <c r="AC153" s="72">
        <v>0</v>
      </c>
      <c r="AD153" s="72">
        <v>0</v>
      </c>
      <c r="AE153" s="72">
        <v>0</v>
      </c>
      <c r="AF153" s="72">
        <v>0</v>
      </c>
      <c r="AG153" s="72">
        <v>0</v>
      </c>
      <c r="AH153" s="72">
        <v>0</v>
      </c>
      <c r="AI153" s="72">
        <v>0</v>
      </c>
      <c r="AJ153" s="72">
        <v>0</v>
      </c>
      <c r="AK153" s="72">
        <v>0</v>
      </c>
      <c r="AL153" s="72">
        <v>0</v>
      </c>
      <c r="AM153" s="72">
        <v>0</v>
      </c>
      <c r="AN153" s="72">
        <v>0</v>
      </c>
      <c r="AO153" s="72">
        <v>0</v>
      </c>
      <c r="AP153" s="72">
        <v>0</v>
      </c>
      <c r="AQ153" s="72">
        <v>0</v>
      </c>
      <c r="AR153" s="72">
        <v>0</v>
      </c>
      <c r="AS153" s="72">
        <v>0</v>
      </c>
      <c r="AT153" s="72">
        <v>0</v>
      </c>
      <c r="AU153" s="72">
        <v>0</v>
      </c>
      <c r="AV153" s="72">
        <v>0</v>
      </c>
      <c r="AW153" s="72">
        <v>0</v>
      </c>
      <c r="AX153" s="72">
        <v>0</v>
      </c>
      <c r="AY153" s="72">
        <v>0</v>
      </c>
      <c r="AZ153" s="72">
        <v>0</v>
      </c>
      <c r="BA153" s="72">
        <v>0</v>
      </c>
      <c r="BB153" s="72">
        <v>0</v>
      </c>
      <c r="BC153" s="72">
        <v>0</v>
      </c>
      <c r="BD153" s="72">
        <v>0</v>
      </c>
      <c r="BE153" s="72">
        <v>0</v>
      </c>
      <c r="BF153" s="72">
        <v>0</v>
      </c>
      <c r="BG153" s="72">
        <v>0</v>
      </c>
      <c r="BH153" s="72">
        <v>0</v>
      </c>
      <c r="BI153" s="72">
        <v>0</v>
      </c>
      <c r="BJ153" s="72">
        <v>0</v>
      </c>
      <c r="BK153" s="72">
        <v>0</v>
      </c>
      <c r="BL153" s="72">
        <v>0</v>
      </c>
      <c r="BM153" s="72">
        <v>0</v>
      </c>
      <c r="BN153" s="72">
        <v>0</v>
      </c>
      <c r="BO153" s="72">
        <v>0</v>
      </c>
      <c r="BP153" s="72">
        <v>0</v>
      </c>
      <c r="BQ153" s="72">
        <v>0</v>
      </c>
      <c r="BR153" s="72">
        <v>0</v>
      </c>
      <c r="BS153" s="72">
        <v>0</v>
      </c>
      <c r="BT153" s="72">
        <v>0</v>
      </c>
      <c r="BU153" s="72">
        <v>0</v>
      </c>
      <c r="BV153" s="72">
        <v>0</v>
      </c>
      <c r="BW153" s="72">
        <v>0</v>
      </c>
      <c r="BX153" s="72">
        <v>0</v>
      </c>
      <c r="BY153" s="72">
        <v>0</v>
      </c>
      <c r="BZ153" s="72">
        <v>0</v>
      </c>
      <c r="CA153" s="72">
        <v>0</v>
      </c>
      <c r="CB153" s="72">
        <v>0</v>
      </c>
      <c r="CC153" s="72">
        <v>0</v>
      </c>
      <c r="CD153" s="72">
        <v>0</v>
      </c>
      <c r="CE153" s="72">
        <v>0</v>
      </c>
      <c r="CF153" s="72">
        <v>0</v>
      </c>
      <c r="CG153" s="72">
        <v>0</v>
      </c>
      <c r="CH153" s="72">
        <v>0</v>
      </c>
      <c r="CI153" s="72">
        <v>0</v>
      </c>
      <c r="CJ153" s="72">
        <v>0</v>
      </c>
      <c r="CK153" s="72">
        <v>0</v>
      </c>
      <c r="CL153" s="72">
        <v>0</v>
      </c>
      <c r="CM153" s="72">
        <v>0</v>
      </c>
      <c r="CN153" s="72">
        <v>0</v>
      </c>
      <c r="CO153" s="72">
        <v>0</v>
      </c>
      <c r="CP153" s="72">
        <v>0</v>
      </c>
      <c r="CQ153" s="72">
        <v>0</v>
      </c>
      <c r="CR153" s="72">
        <v>0</v>
      </c>
      <c r="CS153" s="72">
        <v>0</v>
      </c>
      <c r="CT153" s="72">
        <v>0</v>
      </c>
      <c r="CU153" s="72">
        <v>0</v>
      </c>
      <c r="CV153" s="72">
        <v>0</v>
      </c>
      <c r="CW153" s="72">
        <v>0</v>
      </c>
      <c r="CX153" s="72">
        <v>0</v>
      </c>
      <c r="CY153" s="72">
        <v>0</v>
      </c>
      <c r="CZ153" s="72">
        <v>0</v>
      </c>
      <c r="DA153" s="72">
        <v>0</v>
      </c>
      <c r="DB153" s="72">
        <v>0</v>
      </c>
      <c r="DC153" s="72">
        <v>0</v>
      </c>
      <c r="DD153" s="72">
        <v>0</v>
      </c>
      <c r="DE153" s="72">
        <v>0</v>
      </c>
      <c r="DF153" s="72">
        <v>0</v>
      </c>
      <c r="DG153" s="72">
        <v>0</v>
      </c>
      <c r="DH153" s="72">
        <v>0</v>
      </c>
      <c r="DI153" s="72">
        <v>0</v>
      </c>
      <c r="DJ153" s="72">
        <v>0</v>
      </c>
      <c r="DK153" s="72">
        <v>0</v>
      </c>
      <c r="DL153" s="72">
        <v>0</v>
      </c>
      <c r="DM153" s="72">
        <v>0</v>
      </c>
      <c r="DN153" s="72">
        <v>0</v>
      </c>
      <c r="DO153" s="72">
        <v>0</v>
      </c>
      <c r="DP153" s="72">
        <v>0</v>
      </c>
      <c r="DQ153" s="72">
        <v>0</v>
      </c>
      <c r="DR153" s="72">
        <v>0</v>
      </c>
      <c r="DS153" s="72">
        <v>0</v>
      </c>
      <c r="DT153" s="72">
        <v>0</v>
      </c>
      <c r="DU153" s="72">
        <v>0</v>
      </c>
      <c r="DV153" s="72">
        <v>0</v>
      </c>
      <c r="DW153" s="72">
        <v>0</v>
      </c>
      <c r="DX153" s="72">
        <v>0</v>
      </c>
      <c r="DY153" s="72">
        <v>0</v>
      </c>
      <c r="DZ153" s="72">
        <v>0</v>
      </c>
      <c r="EA153" s="72">
        <v>0</v>
      </c>
      <c r="EB153" s="72">
        <v>0</v>
      </c>
      <c r="EC153" s="72">
        <v>0</v>
      </c>
      <c r="ED153" s="72">
        <v>0</v>
      </c>
      <c r="EE153" s="72">
        <v>0</v>
      </c>
      <c r="EF153" s="72">
        <v>0</v>
      </c>
      <c r="EG153" s="72">
        <v>0</v>
      </c>
      <c r="EH153" s="72">
        <v>0</v>
      </c>
      <c r="EI153" s="72">
        <v>0</v>
      </c>
      <c r="EJ153" s="72">
        <v>0</v>
      </c>
      <c r="EK153" s="72">
        <v>0</v>
      </c>
      <c r="EL153" s="72">
        <v>0</v>
      </c>
      <c r="EM153" s="72">
        <v>0</v>
      </c>
      <c r="EN153" s="72">
        <v>0</v>
      </c>
      <c r="EO153" s="72">
        <v>0</v>
      </c>
      <c r="EP153" s="72">
        <v>0</v>
      </c>
      <c r="EQ153" s="72">
        <v>0</v>
      </c>
      <c r="ER153" s="72">
        <v>0</v>
      </c>
      <c r="ES153" s="72">
        <v>0</v>
      </c>
      <c r="ET153" s="72">
        <v>0</v>
      </c>
      <c r="EU153" s="72">
        <v>0</v>
      </c>
      <c r="EV153" s="72">
        <v>0</v>
      </c>
      <c r="EW153" s="72">
        <v>0</v>
      </c>
      <c r="EX153" s="72">
        <v>0</v>
      </c>
      <c r="EY153" s="72">
        <v>0</v>
      </c>
      <c r="EZ153" s="72">
        <v>0</v>
      </c>
      <c r="FA153" s="72">
        <v>0</v>
      </c>
      <c r="FB153" s="72">
        <v>0</v>
      </c>
      <c r="FC153" s="72">
        <v>0</v>
      </c>
      <c r="FD153" s="72">
        <v>0</v>
      </c>
      <c r="FE153" s="72">
        <v>0</v>
      </c>
      <c r="FF153" s="72">
        <v>0</v>
      </c>
      <c r="FG153" s="72">
        <v>0</v>
      </c>
      <c r="FH153" s="72">
        <v>0</v>
      </c>
      <c r="FI153" s="72">
        <v>0</v>
      </c>
      <c r="FJ153" s="72">
        <v>0</v>
      </c>
      <c r="FK153" s="72">
        <v>0</v>
      </c>
      <c r="FL153" s="72">
        <v>0</v>
      </c>
      <c r="FM153" s="72">
        <v>0</v>
      </c>
      <c r="FN153" s="72">
        <v>0</v>
      </c>
      <c r="FO153" s="72">
        <v>3207.9258476772629</v>
      </c>
      <c r="FP153" s="72">
        <v>0</v>
      </c>
      <c r="FQ153" s="72">
        <v>0</v>
      </c>
      <c r="FR153" s="72">
        <v>0</v>
      </c>
      <c r="FS153" s="72">
        <v>0</v>
      </c>
      <c r="FT153" s="72">
        <v>0</v>
      </c>
      <c r="FU153" s="72">
        <v>0</v>
      </c>
      <c r="FV153" s="74">
        <v>0</v>
      </c>
      <c r="FW153" s="74">
        <v>0</v>
      </c>
      <c r="FX153" s="74">
        <v>0</v>
      </c>
      <c r="FY153" s="74">
        <v>0</v>
      </c>
      <c r="FZ153" s="74">
        <v>0</v>
      </c>
      <c r="GA153" s="74">
        <v>0</v>
      </c>
      <c r="GB153" s="74">
        <v>0</v>
      </c>
      <c r="GC153" s="74">
        <v>0</v>
      </c>
      <c r="GD153" s="74">
        <v>0</v>
      </c>
      <c r="GE153" s="74">
        <v>0</v>
      </c>
      <c r="GF153" s="74">
        <v>0</v>
      </c>
      <c r="GG153" s="74">
        <v>0</v>
      </c>
      <c r="GH153" s="74">
        <v>0</v>
      </c>
      <c r="GI153" s="74">
        <v>0</v>
      </c>
      <c r="GJ153" s="72">
        <v>0</v>
      </c>
      <c r="GK153" s="72">
        <v>0</v>
      </c>
      <c r="GL153" s="72">
        <v>0</v>
      </c>
      <c r="GM153" s="72">
        <v>0</v>
      </c>
      <c r="GN153" s="72">
        <v>0</v>
      </c>
      <c r="GO153" s="72">
        <v>0</v>
      </c>
      <c r="GP153" s="72">
        <v>0</v>
      </c>
      <c r="GQ153" s="72">
        <v>0</v>
      </c>
      <c r="GR153" s="72">
        <f t="shared" si="2"/>
        <v>3207.9258476772629</v>
      </c>
      <c r="GS153" s="72">
        <f>SUM(ET$5:ET$202)</f>
        <v>3207.9258476772634</v>
      </c>
      <c r="GT153" s="73">
        <v>0</v>
      </c>
    </row>
    <row r="154" spans="1:202" outlineLevel="1" x14ac:dyDescent="0.2">
      <c r="A154" s="66" t="s">
        <v>1163</v>
      </c>
      <c r="B154" s="72">
        <v>6163.9765322959493</v>
      </c>
      <c r="C154" s="72">
        <v>426.27267576946042</v>
      </c>
      <c r="D154" s="72">
        <v>271.11827271701264</v>
      </c>
      <c r="E154" s="72">
        <v>1082.6859774385896</v>
      </c>
      <c r="F154" s="72">
        <v>368.74860550868414</v>
      </c>
      <c r="G154" s="72">
        <v>2832.7999662059769</v>
      </c>
      <c r="H154" s="72">
        <v>731.91487970805645</v>
      </c>
      <c r="I154" s="72">
        <v>947.92571789549834</v>
      </c>
      <c r="J154" s="72">
        <v>1586.959065756864</v>
      </c>
      <c r="K154" s="72">
        <v>69.663999669768003</v>
      </c>
      <c r="L154" s="72">
        <v>64.602248043020182</v>
      </c>
      <c r="M154" s="72">
        <v>9.1848516325297567</v>
      </c>
      <c r="N154" s="72">
        <v>12.073765228834082</v>
      </c>
      <c r="O154" s="72">
        <v>139.48009797548013</v>
      </c>
      <c r="P154" s="72">
        <v>148.84702500552174</v>
      </c>
      <c r="Q154" s="72">
        <v>159.87980055445644</v>
      </c>
      <c r="R154" s="72">
        <v>353.37701376986399</v>
      </c>
      <c r="S154" s="72">
        <v>566.98142852781632</v>
      </c>
      <c r="T154" s="72">
        <v>412.51701713596674</v>
      </c>
      <c r="U154" s="72">
        <v>78.90164811103962</v>
      </c>
      <c r="V154" s="72">
        <v>204.43545363796096</v>
      </c>
      <c r="W154" s="72">
        <v>92.82464925365008</v>
      </c>
      <c r="X154" s="72">
        <v>258.20365623103066</v>
      </c>
      <c r="Y154" s="72">
        <v>559.84377600764856</v>
      </c>
      <c r="Z154" s="72">
        <v>220.50268546343233</v>
      </c>
      <c r="AA154" s="72">
        <v>404.60147768337947</v>
      </c>
      <c r="AB154" s="72">
        <v>363.00743530067814</v>
      </c>
      <c r="AC154" s="72">
        <v>34.768810180521797</v>
      </c>
      <c r="AD154" s="72">
        <v>54.462524656123946</v>
      </c>
      <c r="AE154" s="72">
        <v>1122.4953622013784</v>
      </c>
      <c r="AF154" s="72">
        <v>125.74390693873727</v>
      </c>
      <c r="AG154" s="72">
        <v>37.201784115978292</v>
      </c>
      <c r="AH154" s="72">
        <v>99.389942323073683</v>
      </c>
      <c r="AI154" s="72">
        <v>2375.0296819306436</v>
      </c>
      <c r="AJ154" s="72">
        <v>108.85363210189522</v>
      </c>
      <c r="AK154" s="72">
        <v>2219.2920909567042</v>
      </c>
      <c r="AL154" s="72">
        <v>3382.8048411756718</v>
      </c>
      <c r="AM154" s="72">
        <v>3499.9770269636665</v>
      </c>
      <c r="AN154" s="72">
        <v>2079.2620537726516</v>
      </c>
      <c r="AO154" s="72">
        <v>912.26821303340864</v>
      </c>
      <c r="AP154" s="72">
        <v>1738.9689603651705</v>
      </c>
      <c r="AQ154" s="72">
        <v>27.957677793816668</v>
      </c>
      <c r="AR154" s="72">
        <v>296.55451290662404</v>
      </c>
      <c r="AS154" s="72">
        <v>685.39610982844147</v>
      </c>
      <c r="AT154" s="72">
        <v>1825.9471737107742</v>
      </c>
      <c r="AU154" s="72">
        <v>2058.3880428084249</v>
      </c>
      <c r="AV154" s="72">
        <v>6804</v>
      </c>
      <c r="AW154" s="72">
        <v>7044.5677642292139</v>
      </c>
      <c r="AX154" s="72">
        <v>27165.839606587124</v>
      </c>
      <c r="AY154" s="72">
        <v>775.95103600334596</v>
      </c>
      <c r="AZ154" s="72">
        <v>990.20928637388272</v>
      </c>
      <c r="BA154" s="72">
        <v>105.07101864531217</v>
      </c>
      <c r="BB154" s="72">
        <v>4990.3600372941664</v>
      </c>
      <c r="BC154" s="72">
        <v>6282.5486741693639</v>
      </c>
      <c r="BD154" s="72">
        <v>978.24224558960293</v>
      </c>
      <c r="BE154" s="72">
        <v>1701.1831496758841</v>
      </c>
      <c r="BF154" s="72">
        <v>174.36225831715842</v>
      </c>
      <c r="BG154" s="72">
        <v>159.58679920190559</v>
      </c>
      <c r="BH154" s="72">
        <v>1136.1470726532416</v>
      </c>
      <c r="BI154" s="72">
        <v>49.973494982053694</v>
      </c>
      <c r="BJ154" s="72">
        <v>170.21531338587118</v>
      </c>
      <c r="BK154" s="72">
        <v>0</v>
      </c>
      <c r="BL154" s="72">
        <v>0</v>
      </c>
      <c r="BM154" s="72">
        <v>0</v>
      </c>
      <c r="BN154" s="72">
        <v>0</v>
      </c>
      <c r="BO154" s="72">
        <v>0</v>
      </c>
      <c r="BP154" s="72">
        <v>0</v>
      </c>
      <c r="BQ154" s="72">
        <v>0</v>
      </c>
      <c r="BR154" s="72">
        <v>0</v>
      </c>
      <c r="BS154" s="72">
        <v>0</v>
      </c>
      <c r="BT154" s="72">
        <v>0</v>
      </c>
      <c r="BU154" s="72">
        <v>0</v>
      </c>
      <c r="BV154" s="72">
        <v>0</v>
      </c>
      <c r="BW154" s="72">
        <v>0</v>
      </c>
      <c r="BX154" s="72">
        <v>0</v>
      </c>
      <c r="BY154" s="72">
        <v>0</v>
      </c>
      <c r="BZ154" s="72">
        <v>0</v>
      </c>
      <c r="CA154" s="72">
        <v>0</v>
      </c>
      <c r="CB154" s="72">
        <v>0</v>
      </c>
      <c r="CC154" s="72">
        <v>0</v>
      </c>
      <c r="CD154" s="72">
        <v>0</v>
      </c>
      <c r="CE154" s="72">
        <v>0</v>
      </c>
      <c r="CF154" s="72">
        <v>0</v>
      </c>
      <c r="CG154" s="72">
        <v>0</v>
      </c>
      <c r="CH154" s="72">
        <v>0</v>
      </c>
      <c r="CI154" s="72">
        <v>0</v>
      </c>
      <c r="CJ154" s="72">
        <v>0</v>
      </c>
      <c r="CK154" s="72">
        <v>0</v>
      </c>
      <c r="CL154" s="72">
        <v>0</v>
      </c>
      <c r="CM154" s="72">
        <v>0</v>
      </c>
      <c r="CN154" s="72">
        <v>0</v>
      </c>
      <c r="CO154" s="72">
        <v>0</v>
      </c>
      <c r="CP154" s="72">
        <v>0</v>
      </c>
      <c r="CQ154" s="72">
        <v>0</v>
      </c>
      <c r="CR154" s="72">
        <v>0</v>
      </c>
      <c r="CS154" s="72">
        <v>0</v>
      </c>
      <c r="CT154" s="72">
        <v>0</v>
      </c>
      <c r="CU154" s="72">
        <v>0</v>
      </c>
      <c r="CV154" s="72">
        <v>0</v>
      </c>
      <c r="CW154" s="72">
        <v>0</v>
      </c>
      <c r="CX154" s="72">
        <v>0</v>
      </c>
      <c r="CY154" s="72">
        <v>0</v>
      </c>
      <c r="CZ154" s="72">
        <v>0</v>
      </c>
      <c r="DA154" s="72">
        <v>0</v>
      </c>
      <c r="DB154" s="72">
        <v>0</v>
      </c>
      <c r="DC154" s="72">
        <v>0</v>
      </c>
      <c r="DD154" s="72">
        <v>0</v>
      </c>
      <c r="DE154" s="72">
        <v>0</v>
      </c>
      <c r="DF154" s="72">
        <v>0</v>
      </c>
      <c r="DG154" s="72">
        <v>0</v>
      </c>
      <c r="DH154" s="72">
        <v>0</v>
      </c>
      <c r="DI154" s="72">
        <v>0</v>
      </c>
      <c r="DJ154" s="72">
        <v>0</v>
      </c>
      <c r="DK154" s="72">
        <v>0</v>
      </c>
      <c r="DL154" s="72">
        <v>0</v>
      </c>
      <c r="DM154" s="72">
        <v>0</v>
      </c>
      <c r="DN154" s="72">
        <v>0</v>
      </c>
      <c r="DO154" s="72">
        <v>0</v>
      </c>
      <c r="DP154" s="72">
        <v>0</v>
      </c>
      <c r="DQ154" s="72">
        <v>0</v>
      </c>
      <c r="DR154" s="72">
        <v>0</v>
      </c>
      <c r="DS154" s="72">
        <v>0</v>
      </c>
      <c r="DT154" s="72">
        <v>0</v>
      </c>
      <c r="DU154" s="72">
        <v>0</v>
      </c>
      <c r="DV154" s="72">
        <v>0</v>
      </c>
      <c r="DW154" s="72">
        <v>0</v>
      </c>
      <c r="DX154" s="72">
        <v>0</v>
      </c>
      <c r="DY154" s="72">
        <v>0</v>
      </c>
      <c r="DZ154" s="72">
        <v>0</v>
      </c>
      <c r="EA154" s="72">
        <v>0</v>
      </c>
      <c r="EB154" s="72">
        <v>0</v>
      </c>
      <c r="EC154" s="72">
        <v>0</v>
      </c>
      <c r="ED154" s="72">
        <v>0</v>
      </c>
      <c r="EE154" s="72">
        <v>0</v>
      </c>
      <c r="EF154" s="72">
        <v>0</v>
      </c>
      <c r="EG154" s="72">
        <v>0</v>
      </c>
      <c r="EH154" s="72">
        <v>0</v>
      </c>
      <c r="EI154" s="72">
        <v>0</v>
      </c>
      <c r="EJ154" s="72">
        <v>0</v>
      </c>
      <c r="EK154" s="72">
        <v>0</v>
      </c>
      <c r="EL154" s="72">
        <v>0</v>
      </c>
      <c r="EM154" s="72">
        <v>0</v>
      </c>
      <c r="EN154" s="72">
        <v>0</v>
      </c>
      <c r="EO154" s="72">
        <v>0</v>
      </c>
      <c r="EP154" s="72">
        <v>0</v>
      </c>
      <c r="EQ154" s="72">
        <v>0</v>
      </c>
      <c r="ER154" s="72">
        <v>0</v>
      </c>
      <c r="ES154" s="72">
        <v>0</v>
      </c>
      <c r="ET154" s="72">
        <v>0</v>
      </c>
      <c r="EU154" s="72">
        <v>0</v>
      </c>
      <c r="EV154" s="72">
        <v>0</v>
      </c>
      <c r="EW154" s="72">
        <v>0</v>
      </c>
      <c r="EX154" s="72">
        <v>0</v>
      </c>
      <c r="EY154" s="72">
        <v>0</v>
      </c>
      <c r="EZ154" s="72">
        <v>0</v>
      </c>
      <c r="FA154" s="72">
        <v>0</v>
      </c>
      <c r="FB154" s="72">
        <v>0</v>
      </c>
      <c r="FC154" s="72">
        <v>0</v>
      </c>
      <c r="FD154" s="72">
        <v>0</v>
      </c>
      <c r="FE154" s="72">
        <v>0</v>
      </c>
      <c r="FF154" s="72">
        <v>0</v>
      </c>
      <c r="FG154" s="72">
        <v>0</v>
      </c>
      <c r="FH154" s="72">
        <v>0</v>
      </c>
      <c r="FI154" s="72">
        <v>0</v>
      </c>
      <c r="FJ154" s="72">
        <v>0</v>
      </c>
      <c r="FK154" s="72">
        <v>0</v>
      </c>
      <c r="FL154" s="72">
        <v>0</v>
      </c>
      <c r="FM154" s="72">
        <v>0</v>
      </c>
      <c r="FN154" s="72">
        <v>0</v>
      </c>
      <c r="FO154" s="72">
        <v>0</v>
      </c>
      <c r="FP154" s="72">
        <v>0</v>
      </c>
      <c r="FQ154" s="72">
        <v>0</v>
      </c>
      <c r="FR154" s="72">
        <v>0</v>
      </c>
      <c r="FS154" s="72">
        <v>0</v>
      </c>
      <c r="FT154" s="72">
        <v>0</v>
      </c>
      <c r="FU154" s="72">
        <v>0</v>
      </c>
      <c r="FV154" s="74">
        <v>336.14319006824138</v>
      </c>
      <c r="FW154" s="74">
        <v>724.5697601714387</v>
      </c>
      <c r="FX154" s="74">
        <v>1391.777512803382</v>
      </c>
      <c r="FY154" s="74">
        <v>1692.8861805154702</v>
      </c>
      <c r="FZ154" s="74">
        <v>2684.2946174303715</v>
      </c>
      <c r="GA154" s="74">
        <v>3881.5554976581511</v>
      </c>
      <c r="GB154" s="74">
        <v>5302.044048353715</v>
      </c>
      <c r="GC154" s="74">
        <v>7508.5840707162097</v>
      </c>
      <c r="GD154" s="74">
        <v>15571.620589807379</v>
      </c>
      <c r="GE154" s="74">
        <v>4242.0099645616701</v>
      </c>
      <c r="GF154" s="74">
        <v>4937.5458360047769</v>
      </c>
      <c r="GG154" s="74">
        <v>5339.0396149004555</v>
      </c>
      <c r="GH154" s="74">
        <v>5103.6670045197206</v>
      </c>
      <c r="GI154" s="74">
        <v>11634.632161589016</v>
      </c>
      <c r="GJ154" s="72">
        <v>0</v>
      </c>
      <c r="GK154" s="72">
        <v>0</v>
      </c>
      <c r="GL154" s="72">
        <v>0</v>
      </c>
      <c r="GM154" s="72">
        <v>0</v>
      </c>
      <c r="GN154" s="72">
        <v>0</v>
      </c>
      <c r="GO154" s="72">
        <v>0</v>
      </c>
      <c r="GP154" s="72">
        <v>-2.2406195203075185E-2</v>
      </c>
      <c r="GQ154" s="72">
        <v>4115.8328360000005</v>
      </c>
      <c r="GR154" s="72">
        <f t="shared" si="2"/>
        <v>174210.53030630475</v>
      </c>
      <c r="GS154" s="72">
        <f>SUM(EU$5:EU$202)</f>
        <v>174210.53030630478</v>
      </c>
      <c r="GT154" s="73">
        <v>0</v>
      </c>
    </row>
    <row r="155" spans="1:202" outlineLevel="1" x14ac:dyDescent="0.2">
      <c r="A155" s="66" t="s">
        <v>1177</v>
      </c>
      <c r="B155" s="72">
        <v>3212.7576230779332</v>
      </c>
      <c r="C155" s="72">
        <v>26.602474055068761</v>
      </c>
      <c r="D155" s="72">
        <v>43.681546898506184</v>
      </c>
      <c r="E155" s="72">
        <v>278.45914999833974</v>
      </c>
      <c r="F155" s="72">
        <v>29.982218152007562</v>
      </c>
      <c r="G155" s="72">
        <v>113.35298271012053</v>
      </c>
      <c r="H155" s="72">
        <v>507.98640582813761</v>
      </c>
      <c r="I155" s="72">
        <v>1079.7142430161362</v>
      </c>
      <c r="J155" s="72">
        <v>198.37462099858215</v>
      </c>
      <c r="K155" s="72">
        <v>196.06958351545026</v>
      </c>
      <c r="L155" s="72">
        <v>160.36307211235857</v>
      </c>
      <c r="M155" s="72">
        <v>63.162434344585009</v>
      </c>
      <c r="N155" s="72">
        <v>133.25726360577198</v>
      </c>
      <c r="O155" s="72">
        <v>183.43454122053211</v>
      </c>
      <c r="P155" s="72">
        <v>152.23244705756198</v>
      </c>
      <c r="Q155" s="72">
        <v>274.57019635650187</v>
      </c>
      <c r="R155" s="72">
        <v>238.47542792093134</v>
      </c>
      <c r="S155" s="72">
        <v>145.69910313023547</v>
      </c>
      <c r="T155" s="72">
        <v>352.70199399319449</v>
      </c>
      <c r="U155" s="72">
        <v>49.966372171066169</v>
      </c>
      <c r="V155" s="72">
        <v>352.57293346451144</v>
      </c>
      <c r="W155" s="72">
        <v>48.893174147509434</v>
      </c>
      <c r="X155" s="72">
        <v>311.64760732059869</v>
      </c>
      <c r="Y155" s="72">
        <v>315.22899143040001</v>
      </c>
      <c r="Z155" s="72">
        <v>614.16134204679156</v>
      </c>
      <c r="AA155" s="72">
        <v>606.41964484755556</v>
      </c>
      <c r="AB155" s="72">
        <v>375.70946534663881</v>
      </c>
      <c r="AC155" s="72">
        <v>38.992707651982805</v>
      </c>
      <c r="AD155" s="72">
        <v>57.583257597700829</v>
      </c>
      <c r="AE155" s="72">
        <v>276.52266159185547</v>
      </c>
      <c r="AF155" s="72">
        <v>57.21751297586524</v>
      </c>
      <c r="AG155" s="72">
        <v>180.71747440956929</v>
      </c>
      <c r="AH155" s="72">
        <v>426.9670264703729</v>
      </c>
      <c r="AI155" s="72">
        <v>191.16336568755077</v>
      </c>
      <c r="AJ155" s="72">
        <v>135.30617940864897</v>
      </c>
      <c r="AK155" s="72">
        <v>2774.1307678456669</v>
      </c>
      <c r="AL155" s="72">
        <v>8791.9255728045864</v>
      </c>
      <c r="AM155" s="72">
        <v>10185.935679001654</v>
      </c>
      <c r="AN155" s="72">
        <v>7096.2730162593816</v>
      </c>
      <c r="AO155" s="72">
        <v>1633.8137252834363</v>
      </c>
      <c r="AP155" s="72">
        <v>781.44959328220511</v>
      </c>
      <c r="AQ155" s="72">
        <v>11.489622057003499</v>
      </c>
      <c r="AR155" s="72">
        <v>259.19232845215271</v>
      </c>
      <c r="AS155" s="72">
        <v>7884.6930841603044</v>
      </c>
      <c r="AT155" s="72">
        <v>793.90825670127595</v>
      </c>
      <c r="AU155" s="72">
        <v>3904.4418156371603</v>
      </c>
      <c r="AV155" s="72">
        <v>182.81422603726401</v>
      </c>
      <c r="AW155" s="72">
        <v>4163.6027937520848</v>
      </c>
      <c r="AX155" s="72">
        <v>1523.3179484114225</v>
      </c>
      <c r="AY155" s="72">
        <v>287.86383932325384</v>
      </c>
      <c r="AZ155" s="72">
        <v>293.37353616447314</v>
      </c>
      <c r="BA155" s="72">
        <v>32.061237681148981</v>
      </c>
      <c r="BB155" s="72">
        <v>5681.1609819330879</v>
      </c>
      <c r="BC155" s="72">
        <v>11840.60272469257</v>
      </c>
      <c r="BD155" s="72">
        <v>0.12002598138941366</v>
      </c>
      <c r="BE155" s="72">
        <v>1755.0192809350879</v>
      </c>
      <c r="BF155" s="72">
        <v>42.896542665819368</v>
      </c>
      <c r="BG155" s="72">
        <v>90.547765099428233</v>
      </c>
      <c r="BH155" s="72">
        <v>662.88059382941526</v>
      </c>
      <c r="BI155" s="72">
        <v>245.20801809204352</v>
      </c>
      <c r="BJ155" s="72">
        <v>858.20211423339413</v>
      </c>
      <c r="BK155" s="72">
        <v>0</v>
      </c>
      <c r="BL155" s="72">
        <v>0</v>
      </c>
      <c r="BM155" s="72">
        <v>0</v>
      </c>
      <c r="BN155" s="72">
        <v>0</v>
      </c>
      <c r="BO155" s="72">
        <v>0</v>
      </c>
      <c r="BP155" s="72">
        <v>0</v>
      </c>
      <c r="BQ155" s="72">
        <v>0</v>
      </c>
      <c r="BR155" s="72">
        <v>0</v>
      </c>
      <c r="BS155" s="72">
        <v>0</v>
      </c>
      <c r="BT155" s="72">
        <v>0</v>
      </c>
      <c r="BU155" s="72">
        <v>0</v>
      </c>
      <c r="BV155" s="72">
        <v>0</v>
      </c>
      <c r="BW155" s="72">
        <v>0</v>
      </c>
      <c r="BX155" s="72">
        <v>0</v>
      </c>
      <c r="BY155" s="72">
        <v>0</v>
      </c>
      <c r="BZ155" s="72">
        <v>0</v>
      </c>
      <c r="CA155" s="72">
        <v>0</v>
      </c>
      <c r="CB155" s="72">
        <v>0</v>
      </c>
      <c r="CC155" s="72">
        <v>0</v>
      </c>
      <c r="CD155" s="72">
        <v>0</v>
      </c>
      <c r="CE155" s="72">
        <v>0</v>
      </c>
      <c r="CF155" s="72">
        <v>0</v>
      </c>
      <c r="CG155" s="72">
        <v>0</v>
      </c>
      <c r="CH155" s="72">
        <v>0</v>
      </c>
      <c r="CI155" s="72">
        <v>0</v>
      </c>
      <c r="CJ155" s="72">
        <v>0</v>
      </c>
      <c r="CK155" s="72">
        <v>0</v>
      </c>
      <c r="CL155" s="72">
        <v>0</v>
      </c>
      <c r="CM155" s="72">
        <v>0</v>
      </c>
      <c r="CN155" s="72">
        <v>0</v>
      </c>
      <c r="CO155" s="72">
        <v>0</v>
      </c>
      <c r="CP155" s="72">
        <v>0</v>
      </c>
      <c r="CQ155" s="72">
        <v>0</v>
      </c>
      <c r="CR155" s="72">
        <v>0</v>
      </c>
      <c r="CS155" s="72">
        <v>0</v>
      </c>
      <c r="CT155" s="72">
        <v>0</v>
      </c>
      <c r="CU155" s="72">
        <v>0</v>
      </c>
      <c r="CV155" s="72">
        <v>0</v>
      </c>
      <c r="CW155" s="72">
        <v>0</v>
      </c>
      <c r="CX155" s="72">
        <v>0</v>
      </c>
      <c r="CY155" s="72">
        <v>0</v>
      </c>
      <c r="CZ155" s="72">
        <v>0</v>
      </c>
      <c r="DA155" s="72">
        <v>0</v>
      </c>
      <c r="DB155" s="72">
        <v>0</v>
      </c>
      <c r="DC155" s="72">
        <v>0</v>
      </c>
      <c r="DD155" s="72">
        <v>0</v>
      </c>
      <c r="DE155" s="72">
        <v>0</v>
      </c>
      <c r="DF155" s="72">
        <v>0</v>
      </c>
      <c r="DG155" s="72">
        <v>0</v>
      </c>
      <c r="DH155" s="72">
        <v>0</v>
      </c>
      <c r="DI155" s="72">
        <v>0</v>
      </c>
      <c r="DJ155" s="72">
        <v>0</v>
      </c>
      <c r="DK155" s="72">
        <v>0</v>
      </c>
      <c r="DL155" s="72">
        <v>0</v>
      </c>
      <c r="DM155" s="72">
        <v>0</v>
      </c>
      <c r="DN155" s="72">
        <v>0</v>
      </c>
      <c r="DO155" s="72">
        <v>0</v>
      </c>
      <c r="DP155" s="72">
        <v>0</v>
      </c>
      <c r="DQ155" s="72">
        <v>0</v>
      </c>
      <c r="DR155" s="72">
        <v>0</v>
      </c>
      <c r="DS155" s="72">
        <v>0</v>
      </c>
      <c r="DT155" s="72">
        <v>0</v>
      </c>
      <c r="DU155" s="72">
        <v>0</v>
      </c>
      <c r="DV155" s="72">
        <v>0</v>
      </c>
      <c r="DW155" s="72">
        <v>0</v>
      </c>
      <c r="DX155" s="72">
        <v>0</v>
      </c>
      <c r="DY155" s="72">
        <v>0</v>
      </c>
      <c r="DZ155" s="72">
        <v>0</v>
      </c>
      <c r="EA155" s="72">
        <v>0</v>
      </c>
      <c r="EB155" s="72">
        <v>0</v>
      </c>
      <c r="EC155" s="72">
        <v>0</v>
      </c>
      <c r="ED155" s="72">
        <v>0</v>
      </c>
      <c r="EE155" s="72">
        <v>0</v>
      </c>
      <c r="EF155" s="72">
        <v>0</v>
      </c>
      <c r="EG155" s="72">
        <v>0</v>
      </c>
      <c r="EH155" s="72">
        <v>0</v>
      </c>
      <c r="EI155" s="72">
        <v>0</v>
      </c>
      <c r="EJ155" s="72">
        <v>0</v>
      </c>
      <c r="EK155" s="72">
        <v>0</v>
      </c>
      <c r="EL155" s="72">
        <v>0</v>
      </c>
      <c r="EM155" s="72">
        <v>0</v>
      </c>
      <c r="EN155" s="72">
        <v>0</v>
      </c>
      <c r="EO155" s="72">
        <v>0</v>
      </c>
      <c r="EP155" s="72">
        <v>0</v>
      </c>
      <c r="EQ155" s="72">
        <v>0</v>
      </c>
      <c r="ER155" s="72">
        <v>0</v>
      </c>
      <c r="ES155" s="72">
        <v>0</v>
      </c>
      <c r="ET155" s="72">
        <v>0</v>
      </c>
      <c r="EU155" s="72">
        <v>0</v>
      </c>
      <c r="EV155" s="72">
        <v>0</v>
      </c>
      <c r="EW155" s="72">
        <v>0</v>
      </c>
      <c r="EX155" s="72">
        <v>0</v>
      </c>
      <c r="EY155" s="72">
        <v>0</v>
      </c>
      <c r="EZ155" s="72">
        <v>0</v>
      </c>
      <c r="FA155" s="72">
        <v>0</v>
      </c>
      <c r="FB155" s="72">
        <v>0</v>
      </c>
      <c r="FC155" s="72">
        <v>0</v>
      </c>
      <c r="FD155" s="72">
        <v>0</v>
      </c>
      <c r="FE155" s="72">
        <v>0</v>
      </c>
      <c r="FF155" s="72">
        <v>0</v>
      </c>
      <c r="FG155" s="72">
        <v>0</v>
      </c>
      <c r="FH155" s="72">
        <v>0</v>
      </c>
      <c r="FI155" s="72">
        <v>0</v>
      </c>
      <c r="FJ155" s="72">
        <v>0</v>
      </c>
      <c r="FK155" s="72">
        <v>0</v>
      </c>
      <c r="FL155" s="72">
        <v>0</v>
      </c>
      <c r="FM155" s="72">
        <v>0</v>
      </c>
      <c r="FN155" s="72">
        <v>0</v>
      </c>
      <c r="FO155" s="72">
        <v>0</v>
      </c>
      <c r="FP155" s="72">
        <v>0</v>
      </c>
      <c r="FQ155" s="72">
        <v>0</v>
      </c>
      <c r="FR155" s="72">
        <v>0</v>
      </c>
      <c r="FS155" s="72">
        <v>0</v>
      </c>
      <c r="FT155" s="72">
        <v>0</v>
      </c>
      <c r="FU155" s="72">
        <v>0</v>
      </c>
      <c r="FV155" s="74">
        <v>254.0039278532424</v>
      </c>
      <c r="FW155" s="74">
        <v>547.51537596184539</v>
      </c>
      <c r="FX155" s="74">
        <v>1051.6856071905158</v>
      </c>
      <c r="FY155" s="74">
        <v>1279.215976893975</v>
      </c>
      <c r="FZ155" s="74">
        <v>2028.3658764713111</v>
      </c>
      <c r="GA155" s="74">
        <v>2933.0665374638734</v>
      </c>
      <c r="GB155" s="74">
        <v>4006.4474120666991</v>
      </c>
      <c r="GC155" s="74">
        <v>5673.8018288902931</v>
      </c>
      <c r="GD155" s="74">
        <v>11766.571240216201</v>
      </c>
      <c r="GE155" s="74">
        <v>3205.4410882829848</v>
      </c>
      <c r="GF155" s="74">
        <v>3731.0172371661761</v>
      </c>
      <c r="GG155" s="74">
        <v>4034.4028176607267</v>
      </c>
      <c r="GH155" s="74">
        <v>3856.5453768074995</v>
      </c>
      <c r="GI155" s="74">
        <v>8791.6172496944473</v>
      </c>
      <c r="GJ155" s="72">
        <v>0</v>
      </c>
      <c r="GK155" s="72">
        <v>0</v>
      </c>
      <c r="GL155" s="72">
        <v>0</v>
      </c>
      <c r="GM155" s="72">
        <v>0</v>
      </c>
      <c r="GN155" s="72">
        <v>0</v>
      </c>
      <c r="GO155" s="72">
        <v>0</v>
      </c>
      <c r="GP155" s="72">
        <v>-1.8619611015310511E-2</v>
      </c>
      <c r="GQ155" s="72">
        <v>4985.7958507876301</v>
      </c>
      <c r="GR155" s="72">
        <f t="shared" si="2"/>
        <v>141352.34691867369</v>
      </c>
      <c r="GS155" s="72">
        <f>SUM(EV$5:EV$202)</f>
        <v>141352.34691867363</v>
      </c>
      <c r="GT155" s="73">
        <v>0</v>
      </c>
    </row>
    <row r="156" spans="1:202" outlineLevel="1" x14ac:dyDescent="0.2">
      <c r="A156" s="66" t="s">
        <v>1170</v>
      </c>
      <c r="B156" s="72">
        <v>2246.3112442086367</v>
      </c>
      <c r="C156" s="72">
        <v>37.07816707235073</v>
      </c>
      <c r="D156" s="72">
        <v>39.693206681885414</v>
      </c>
      <c r="E156" s="72">
        <v>422.7384280913185</v>
      </c>
      <c r="F156" s="72">
        <v>143.31996390832489</v>
      </c>
      <c r="G156" s="72">
        <v>240.44598627265188</v>
      </c>
      <c r="H156" s="72">
        <v>1080.7543804480599</v>
      </c>
      <c r="I156" s="72">
        <v>361.44771802770958</v>
      </c>
      <c r="J156" s="72">
        <v>134.78686715240468</v>
      </c>
      <c r="K156" s="72">
        <v>78.489139703654246</v>
      </c>
      <c r="L156" s="72">
        <v>54.181561544928144</v>
      </c>
      <c r="M156" s="72">
        <v>8.3423858247374785</v>
      </c>
      <c r="N156" s="72">
        <v>15.915129040579311</v>
      </c>
      <c r="O156" s="72">
        <v>102.56320244475693</v>
      </c>
      <c r="P156" s="72">
        <v>157.07139335407697</v>
      </c>
      <c r="Q156" s="72">
        <v>154.17738366744868</v>
      </c>
      <c r="R156" s="72">
        <v>120.48871019411597</v>
      </c>
      <c r="S156" s="72">
        <v>413.22851434114204</v>
      </c>
      <c r="T156" s="72">
        <v>255.23131000278971</v>
      </c>
      <c r="U156" s="72">
        <v>30.926038003642731</v>
      </c>
      <c r="V156" s="72">
        <v>210.73425143423896</v>
      </c>
      <c r="W156" s="72">
        <v>26.355719715773741</v>
      </c>
      <c r="X156" s="72">
        <v>151.17136958043471</v>
      </c>
      <c r="Y156" s="72">
        <v>275.76680797030599</v>
      </c>
      <c r="Z156" s="72">
        <v>315.65409934663904</v>
      </c>
      <c r="AA156" s="72">
        <v>321.64798501619458</v>
      </c>
      <c r="AB156" s="72">
        <v>180.77811660802496</v>
      </c>
      <c r="AC156" s="72">
        <v>10.572054377903003</v>
      </c>
      <c r="AD156" s="72">
        <v>27.82017216671338</v>
      </c>
      <c r="AE156" s="72">
        <v>201.28028043553456</v>
      </c>
      <c r="AF156" s="72">
        <v>30.933249438926552</v>
      </c>
      <c r="AG156" s="72">
        <v>43.445185596635994</v>
      </c>
      <c r="AH156" s="72">
        <v>142.42893223936193</v>
      </c>
      <c r="AI156" s="72">
        <v>1009.7273673675382</v>
      </c>
      <c r="AJ156" s="72">
        <v>112.47691499896368</v>
      </c>
      <c r="AK156" s="72">
        <v>2235.7439847593678</v>
      </c>
      <c r="AL156" s="72">
        <v>2359.7729742076021</v>
      </c>
      <c r="AM156" s="72">
        <v>1184.1166685686489</v>
      </c>
      <c r="AN156" s="72">
        <v>1334.670534324566</v>
      </c>
      <c r="AO156" s="72">
        <v>181.31586229606563</v>
      </c>
      <c r="AP156" s="72">
        <v>1650.1299226923691</v>
      </c>
      <c r="AQ156" s="72">
        <v>11.347119575877159</v>
      </c>
      <c r="AR156" s="72">
        <v>117.25049809473303</v>
      </c>
      <c r="AS156" s="72">
        <v>2900.074628397505</v>
      </c>
      <c r="AT156" s="72">
        <v>216.90036753213013</v>
      </c>
      <c r="AU156" s="72">
        <v>725</v>
      </c>
      <c r="AV156" s="72">
        <v>217.447684435669</v>
      </c>
      <c r="AW156" s="72">
        <v>15006.921532858376</v>
      </c>
      <c r="AX156" s="72">
        <v>10204.681332763323</v>
      </c>
      <c r="AY156" s="72">
        <v>178.18002072899142</v>
      </c>
      <c r="AZ156" s="72">
        <v>112.9143525460249</v>
      </c>
      <c r="BA156" s="72">
        <v>30.778364872851494</v>
      </c>
      <c r="BB156" s="72">
        <v>2287.2748519805291</v>
      </c>
      <c r="BC156" s="72">
        <v>230.66080844501573</v>
      </c>
      <c r="BD156" s="72">
        <v>56.592821395913802</v>
      </c>
      <c r="BE156" s="72">
        <v>524.61444957237916</v>
      </c>
      <c r="BF156" s="72">
        <v>52.471892184224345</v>
      </c>
      <c r="BG156" s="72">
        <v>27.483506320351552</v>
      </c>
      <c r="BH156" s="72">
        <v>143.4767145349129</v>
      </c>
      <c r="BI156" s="72">
        <v>52.576661998835057</v>
      </c>
      <c r="BJ156" s="72">
        <v>1766.9544289225789</v>
      </c>
      <c r="BK156" s="72">
        <v>0</v>
      </c>
      <c r="BL156" s="72">
        <v>0</v>
      </c>
      <c r="BM156" s="72">
        <v>0</v>
      </c>
      <c r="BN156" s="72">
        <v>0</v>
      </c>
      <c r="BO156" s="72">
        <v>0</v>
      </c>
      <c r="BP156" s="72">
        <v>0</v>
      </c>
      <c r="BQ156" s="72">
        <v>0</v>
      </c>
      <c r="BR156" s="72">
        <v>0</v>
      </c>
      <c r="BS156" s="72">
        <v>0</v>
      </c>
      <c r="BT156" s="72">
        <v>0</v>
      </c>
      <c r="BU156" s="72">
        <v>0</v>
      </c>
      <c r="BV156" s="72">
        <v>0</v>
      </c>
      <c r="BW156" s="72">
        <v>0</v>
      </c>
      <c r="BX156" s="72">
        <v>0</v>
      </c>
      <c r="BY156" s="72">
        <v>0</v>
      </c>
      <c r="BZ156" s="72">
        <v>0</v>
      </c>
      <c r="CA156" s="72">
        <v>0</v>
      </c>
      <c r="CB156" s="72">
        <v>0</v>
      </c>
      <c r="CC156" s="72">
        <v>0</v>
      </c>
      <c r="CD156" s="72">
        <v>0</v>
      </c>
      <c r="CE156" s="72">
        <v>0</v>
      </c>
      <c r="CF156" s="72">
        <v>0</v>
      </c>
      <c r="CG156" s="72">
        <v>0</v>
      </c>
      <c r="CH156" s="72">
        <v>0</v>
      </c>
      <c r="CI156" s="72">
        <v>0</v>
      </c>
      <c r="CJ156" s="72">
        <v>0</v>
      </c>
      <c r="CK156" s="72">
        <v>0</v>
      </c>
      <c r="CL156" s="72">
        <v>0</v>
      </c>
      <c r="CM156" s="72">
        <v>0</v>
      </c>
      <c r="CN156" s="72">
        <v>0</v>
      </c>
      <c r="CO156" s="72">
        <v>0</v>
      </c>
      <c r="CP156" s="72">
        <v>0</v>
      </c>
      <c r="CQ156" s="72">
        <v>0</v>
      </c>
      <c r="CR156" s="72">
        <v>0</v>
      </c>
      <c r="CS156" s="72">
        <v>0</v>
      </c>
      <c r="CT156" s="72">
        <v>0</v>
      </c>
      <c r="CU156" s="72">
        <v>0</v>
      </c>
      <c r="CV156" s="72">
        <v>0</v>
      </c>
      <c r="CW156" s="72">
        <v>0</v>
      </c>
      <c r="CX156" s="72">
        <v>0</v>
      </c>
      <c r="CY156" s="72">
        <v>0</v>
      </c>
      <c r="CZ156" s="72">
        <v>0</v>
      </c>
      <c r="DA156" s="72">
        <v>0</v>
      </c>
      <c r="DB156" s="72">
        <v>0</v>
      </c>
      <c r="DC156" s="72">
        <v>0</v>
      </c>
      <c r="DD156" s="72">
        <v>0</v>
      </c>
      <c r="DE156" s="72">
        <v>0</v>
      </c>
      <c r="DF156" s="72">
        <v>0</v>
      </c>
      <c r="DG156" s="72">
        <v>0</v>
      </c>
      <c r="DH156" s="72">
        <v>0</v>
      </c>
      <c r="DI156" s="72">
        <v>0</v>
      </c>
      <c r="DJ156" s="72">
        <v>0</v>
      </c>
      <c r="DK156" s="72">
        <v>0</v>
      </c>
      <c r="DL156" s="72">
        <v>0</v>
      </c>
      <c r="DM156" s="72">
        <v>0</v>
      </c>
      <c r="DN156" s="72">
        <v>0</v>
      </c>
      <c r="DO156" s="72">
        <v>0</v>
      </c>
      <c r="DP156" s="72">
        <v>0</v>
      </c>
      <c r="DQ156" s="72">
        <v>0</v>
      </c>
      <c r="DR156" s="72">
        <v>0</v>
      </c>
      <c r="DS156" s="72">
        <v>0</v>
      </c>
      <c r="DT156" s="72">
        <v>0</v>
      </c>
      <c r="DU156" s="72">
        <v>0</v>
      </c>
      <c r="DV156" s="72">
        <v>0</v>
      </c>
      <c r="DW156" s="72">
        <v>0</v>
      </c>
      <c r="DX156" s="72">
        <v>0</v>
      </c>
      <c r="DY156" s="72">
        <v>0</v>
      </c>
      <c r="DZ156" s="72">
        <v>0</v>
      </c>
      <c r="EA156" s="72">
        <v>0</v>
      </c>
      <c r="EB156" s="72">
        <v>0</v>
      </c>
      <c r="EC156" s="72">
        <v>0</v>
      </c>
      <c r="ED156" s="72">
        <v>0</v>
      </c>
      <c r="EE156" s="72">
        <v>0</v>
      </c>
      <c r="EF156" s="72">
        <v>0</v>
      </c>
      <c r="EG156" s="72">
        <v>0</v>
      </c>
      <c r="EH156" s="72">
        <v>0</v>
      </c>
      <c r="EI156" s="72">
        <v>0</v>
      </c>
      <c r="EJ156" s="72">
        <v>0</v>
      </c>
      <c r="EK156" s="72">
        <v>0</v>
      </c>
      <c r="EL156" s="72">
        <v>0</v>
      </c>
      <c r="EM156" s="72">
        <v>0</v>
      </c>
      <c r="EN156" s="72">
        <v>0</v>
      </c>
      <c r="EO156" s="72">
        <v>0</v>
      </c>
      <c r="EP156" s="72">
        <v>0</v>
      </c>
      <c r="EQ156" s="72">
        <v>0</v>
      </c>
      <c r="ER156" s="72">
        <v>0</v>
      </c>
      <c r="ES156" s="72">
        <v>0</v>
      </c>
      <c r="ET156" s="72">
        <v>0</v>
      </c>
      <c r="EU156" s="72">
        <v>0</v>
      </c>
      <c r="EV156" s="72">
        <v>0</v>
      </c>
      <c r="EW156" s="72">
        <v>0</v>
      </c>
      <c r="EX156" s="72">
        <v>0</v>
      </c>
      <c r="EY156" s="72">
        <v>0</v>
      </c>
      <c r="EZ156" s="72">
        <v>0</v>
      </c>
      <c r="FA156" s="72">
        <v>0</v>
      </c>
      <c r="FB156" s="72">
        <v>0</v>
      </c>
      <c r="FC156" s="72">
        <v>0</v>
      </c>
      <c r="FD156" s="72">
        <v>0</v>
      </c>
      <c r="FE156" s="72">
        <v>0</v>
      </c>
      <c r="FF156" s="72">
        <v>0</v>
      </c>
      <c r="FG156" s="72">
        <v>0</v>
      </c>
      <c r="FH156" s="72">
        <v>0</v>
      </c>
      <c r="FI156" s="72">
        <v>0</v>
      </c>
      <c r="FJ156" s="72">
        <v>0</v>
      </c>
      <c r="FK156" s="72">
        <v>0</v>
      </c>
      <c r="FL156" s="72">
        <v>0</v>
      </c>
      <c r="FM156" s="72">
        <v>0</v>
      </c>
      <c r="FN156" s="72">
        <v>0</v>
      </c>
      <c r="FO156" s="72">
        <v>0</v>
      </c>
      <c r="FP156" s="72">
        <v>0</v>
      </c>
      <c r="FQ156" s="72">
        <v>0</v>
      </c>
      <c r="FR156" s="72">
        <v>0</v>
      </c>
      <c r="FS156" s="72">
        <v>0</v>
      </c>
      <c r="FT156" s="72">
        <v>0</v>
      </c>
      <c r="FU156" s="72">
        <v>0</v>
      </c>
      <c r="FV156" s="74">
        <v>862.47198933163588</v>
      </c>
      <c r="FW156" s="74">
        <v>1325.9247962610596</v>
      </c>
      <c r="FX156" s="74">
        <v>1526.8139897786507</v>
      </c>
      <c r="FY156" s="74">
        <v>1760.4389322112379</v>
      </c>
      <c r="FZ156" s="74">
        <v>2413.1779707252776</v>
      </c>
      <c r="GA156" s="74">
        <v>3611.4623805123019</v>
      </c>
      <c r="GB156" s="74">
        <v>6779.7410673726454</v>
      </c>
      <c r="GC156" s="74">
        <v>15004.762526338334</v>
      </c>
      <c r="GD156" s="74">
        <v>42145.656173799856</v>
      </c>
      <c r="GE156" s="74">
        <v>14303.042509882989</v>
      </c>
      <c r="GF156" s="74">
        <v>15603.849735875465</v>
      </c>
      <c r="GG156" s="74">
        <v>18737.149071601143</v>
      </c>
      <c r="GH156" s="74">
        <v>20763.602339955862</v>
      </c>
      <c r="GI156" s="74">
        <v>31313.134957395756</v>
      </c>
      <c r="GJ156" s="72">
        <v>0</v>
      </c>
      <c r="GK156" s="72">
        <v>0</v>
      </c>
      <c r="GL156" s="72">
        <v>0</v>
      </c>
      <c r="GM156" s="72">
        <v>0</v>
      </c>
      <c r="GN156" s="72">
        <v>0</v>
      </c>
      <c r="GO156" s="72">
        <v>0</v>
      </c>
      <c r="GP156" s="72">
        <v>3.6664204119006172E-2</v>
      </c>
      <c r="GQ156" s="72">
        <v>153</v>
      </c>
      <c r="GR156" s="72">
        <f t="shared" si="2"/>
        <v>229271.6003255336</v>
      </c>
      <c r="GS156" s="72">
        <f>SUM(EW$5:EW$202)</f>
        <v>229271.60032553357</v>
      </c>
      <c r="GT156" s="73">
        <v>0</v>
      </c>
    </row>
    <row r="157" spans="1:202" outlineLevel="1" x14ac:dyDescent="0.2">
      <c r="A157" s="66" t="s">
        <v>1513</v>
      </c>
      <c r="B157" s="72">
        <v>0</v>
      </c>
      <c r="C157" s="72">
        <v>19.518838447420411</v>
      </c>
      <c r="D157" s="72">
        <v>32.050141474826745</v>
      </c>
      <c r="E157" s="72">
        <v>204.31179264651894</v>
      </c>
      <c r="F157" s="72">
        <v>21.99863332985171</v>
      </c>
      <c r="G157" s="72">
        <v>83.1696537875399</v>
      </c>
      <c r="H157" s="72">
        <v>372.72114497019618</v>
      </c>
      <c r="I157" s="72">
        <v>792.21082351907307</v>
      </c>
      <c r="J157" s="72">
        <v>145.55195773611914</v>
      </c>
      <c r="K157" s="72">
        <v>143.86069946610428</v>
      </c>
      <c r="L157" s="72">
        <v>117.66202237482337</v>
      </c>
      <c r="M157" s="72">
        <v>46.343710339333875</v>
      </c>
      <c r="N157" s="72">
        <v>97.773876026796998</v>
      </c>
      <c r="O157" s="72">
        <v>134.59008242423391</v>
      </c>
      <c r="P157" s="72">
        <v>111.69639840343635</v>
      </c>
      <c r="Q157" s="72">
        <v>201.45837917424541</v>
      </c>
      <c r="R157" s="72">
        <v>174.97482909418372</v>
      </c>
      <c r="S157" s="72">
        <v>106.9027358149513</v>
      </c>
      <c r="T157" s="72">
        <v>258.78545080375665</v>
      </c>
      <c r="U157" s="72">
        <v>36.661460290942209</v>
      </c>
      <c r="V157" s="72">
        <v>258.69075616730692</v>
      </c>
      <c r="W157" s="72">
        <v>35.874030565401235</v>
      </c>
      <c r="X157" s="72">
        <v>228.66291635972263</v>
      </c>
      <c r="Y157" s="72">
        <v>231.29065909194662</v>
      </c>
      <c r="Z157" s="72">
        <v>450.62410327877541</v>
      </c>
      <c r="AA157" s="72">
        <v>444.94384449427542</v>
      </c>
      <c r="AB157" s="72">
        <v>275.66655424931992</v>
      </c>
      <c r="AC157" s="72">
        <v>28.609833796324274</v>
      </c>
      <c r="AD157" s="72">
        <v>42.250141847673795</v>
      </c>
      <c r="AE157" s="72">
        <v>202.89094719119663</v>
      </c>
      <c r="AF157" s="72">
        <v>41.981786725069632</v>
      </c>
      <c r="AG157" s="72">
        <v>132.59650889328159</v>
      </c>
      <c r="AH157" s="72">
        <v>313.27538915361771</v>
      </c>
      <c r="AI157" s="72">
        <v>126.92617701888466</v>
      </c>
      <c r="AJ157" s="72">
        <v>6.0153798412128747</v>
      </c>
      <c r="AK157" s="72">
        <v>2035.4426500899369</v>
      </c>
      <c r="AL157" s="72">
        <v>6450.8351569886836</v>
      </c>
      <c r="AM157" s="72">
        <v>7473.6519822436067</v>
      </c>
      <c r="AN157" s="72">
        <v>5206.6964259199895</v>
      </c>
      <c r="AO157" s="72">
        <v>1198.7661783250267</v>
      </c>
      <c r="AP157" s="72">
        <v>461.26232939786439</v>
      </c>
      <c r="AQ157" s="72">
        <v>8.4159459720725849</v>
      </c>
      <c r="AR157" s="72">
        <v>135.87541896029066</v>
      </c>
      <c r="AS157" s="72">
        <v>739.06108294241881</v>
      </c>
      <c r="AT157" s="72">
        <v>582.50849047150109</v>
      </c>
      <c r="AU157" s="72">
        <v>28417.762339223638</v>
      </c>
      <c r="AV157" s="72">
        <v>0</v>
      </c>
      <c r="AW157" s="72">
        <v>86488.93655575889</v>
      </c>
      <c r="AX157" s="72">
        <v>1117.692921250426</v>
      </c>
      <c r="AY157" s="72">
        <v>211.21222646335769</v>
      </c>
      <c r="AZ157" s="72">
        <v>215.2548159727169</v>
      </c>
      <c r="BA157" s="72">
        <v>23.524057101879109</v>
      </c>
      <c r="BB157" s="72">
        <v>4132.3775484473026</v>
      </c>
      <c r="BC157" s="72">
        <v>2298.2339607037538</v>
      </c>
      <c r="BD157" s="72">
        <v>0</v>
      </c>
      <c r="BE157" s="72">
        <v>1263.1892728517444</v>
      </c>
      <c r="BF157" s="72">
        <v>30.892610944421548</v>
      </c>
      <c r="BG157" s="72">
        <v>66.436948499305373</v>
      </c>
      <c r="BH157" s="72">
        <v>485.93011485063977</v>
      </c>
      <c r="BI157" s="72">
        <v>179.9146831698084</v>
      </c>
      <c r="BJ157" s="72">
        <v>1037.9651500978823</v>
      </c>
      <c r="BK157" s="72">
        <v>0</v>
      </c>
      <c r="BL157" s="72">
        <v>0</v>
      </c>
      <c r="BM157" s="72">
        <v>0</v>
      </c>
      <c r="BN157" s="72">
        <v>0</v>
      </c>
      <c r="BO157" s="72">
        <v>0</v>
      </c>
      <c r="BP157" s="72">
        <v>0</v>
      </c>
      <c r="BQ157" s="72">
        <v>0</v>
      </c>
      <c r="BR157" s="72">
        <v>0</v>
      </c>
      <c r="BS157" s="72">
        <v>0</v>
      </c>
      <c r="BT157" s="72">
        <v>0</v>
      </c>
      <c r="BU157" s="72">
        <v>0</v>
      </c>
      <c r="BV157" s="72">
        <v>0</v>
      </c>
      <c r="BW157" s="72">
        <v>0</v>
      </c>
      <c r="BX157" s="72">
        <v>0</v>
      </c>
      <c r="BY157" s="72">
        <v>0</v>
      </c>
      <c r="BZ157" s="72">
        <v>0</v>
      </c>
      <c r="CA157" s="72">
        <v>0</v>
      </c>
      <c r="CB157" s="72">
        <v>0</v>
      </c>
      <c r="CC157" s="72">
        <v>0</v>
      </c>
      <c r="CD157" s="72">
        <v>0</v>
      </c>
      <c r="CE157" s="72">
        <v>0</v>
      </c>
      <c r="CF157" s="72">
        <v>0</v>
      </c>
      <c r="CG157" s="72">
        <v>0</v>
      </c>
      <c r="CH157" s="72">
        <v>0</v>
      </c>
      <c r="CI157" s="72">
        <v>0</v>
      </c>
      <c r="CJ157" s="72">
        <v>0</v>
      </c>
      <c r="CK157" s="72">
        <v>0</v>
      </c>
      <c r="CL157" s="72">
        <v>0</v>
      </c>
      <c r="CM157" s="72">
        <v>0</v>
      </c>
      <c r="CN157" s="72">
        <v>0</v>
      </c>
      <c r="CO157" s="72">
        <v>0</v>
      </c>
      <c r="CP157" s="72">
        <v>0</v>
      </c>
      <c r="CQ157" s="72">
        <v>0</v>
      </c>
      <c r="CR157" s="72">
        <v>0</v>
      </c>
      <c r="CS157" s="72">
        <v>0</v>
      </c>
      <c r="CT157" s="72">
        <v>0</v>
      </c>
      <c r="CU157" s="72">
        <v>0</v>
      </c>
      <c r="CV157" s="72">
        <v>0</v>
      </c>
      <c r="CW157" s="72">
        <v>0</v>
      </c>
      <c r="CX157" s="72">
        <v>0</v>
      </c>
      <c r="CY157" s="72">
        <v>0</v>
      </c>
      <c r="CZ157" s="72">
        <v>0</v>
      </c>
      <c r="DA157" s="72">
        <v>0</v>
      </c>
      <c r="DB157" s="72">
        <v>0</v>
      </c>
      <c r="DC157" s="72">
        <v>0</v>
      </c>
      <c r="DD157" s="72">
        <v>0</v>
      </c>
      <c r="DE157" s="72">
        <v>0</v>
      </c>
      <c r="DF157" s="72">
        <v>0</v>
      </c>
      <c r="DG157" s="72">
        <v>0</v>
      </c>
      <c r="DH157" s="72">
        <v>0</v>
      </c>
      <c r="DI157" s="72">
        <v>0</v>
      </c>
      <c r="DJ157" s="72">
        <v>0</v>
      </c>
      <c r="DK157" s="72">
        <v>0</v>
      </c>
      <c r="DL157" s="72">
        <v>0</v>
      </c>
      <c r="DM157" s="72">
        <v>0</v>
      </c>
      <c r="DN157" s="72">
        <v>0</v>
      </c>
      <c r="DO157" s="72">
        <v>0</v>
      </c>
      <c r="DP157" s="72">
        <v>0</v>
      </c>
      <c r="DQ157" s="72">
        <v>0</v>
      </c>
      <c r="DR157" s="72">
        <v>0</v>
      </c>
      <c r="DS157" s="72">
        <v>0</v>
      </c>
      <c r="DT157" s="72">
        <v>0</v>
      </c>
      <c r="DU157" s="72">
        <v>0</v>
      </c>
      <c r="DV157" s="72">
        <v>0</v>
      </c>
      <c r="DW157" s="72">
        <v>0</v>
      </c>
      <c r="DX157" s="72">
        <v>0</v>
      </c>
      <c r="DY157" s="72">
        <v>0</v>
      </c>
      <c r="DZ157" s="72">
        <v>0</v>
      </c>
      <c r="EA157" s="72">
        <v>0</v>
      </c>
      <c r="EB157" s="72">
        <v>0</v>
      </c>
      <c r="EC157" s="72">
        <v>0</v>
      </c>
      <c r="ED157" s="72">
        <v>0</v>
      </c>
      <c r="EE157" s="72">
        <v>0</v>
      </c>
      <c r="EF157" s="72">
        <v>0</v>
      </c>
      <c r="EG157" s="72">
        <v>0</v>
      </c>
      <c r="EH157" s="72">
        <v>0</v>
      </c>
      <c r="EI157" s="72">
        <v>0</v>
      </c>
      <c r="EJ157" s="72">
        <v>0</v>
      </c>
      <c r="EK157" s="72">
        <v>0</v>
      </c>
      <c r="EL157" s="72">
        <v>0</v>
      </c>
      <c r="EM157" s="72">
        <v>0</v>
      </c>
      <c r="EN157" s="72">
        <v>0</v>
      </c>
      <c r="EO157" s="72">
        <v>0</v>
      </c>
      <c r="EP157" s="72">
        <v>0</v>
      </c>
      <c r="EQ157" s="72">
        <v>0</v>
      </c>
      <c r="ER157" s="72">
        <v>0</v>
      </c>
      <c r="ES157" s="72">
        <v>0</v>
      </c>
      <c r="ET157" s="72">
        <v>0</v>
      </c>
      <c r="EU157" s="72">
        <v>0</v>
      </c>
      <c r="EV157" s="72">
        <v>0</v>
      </c>
      <c r="EW157" s="72">
        <v>0</v>
      </c>
      <c r="EX157" s="72">
        <v>0</v>
      </c>
      <c r="EY157" s="72">
        <v>0</v>
      </c>
      <c r="EZ157" s="72">
        <v>0</v>
      </c>
      <c r="FA157" s="72">
        <v>0</v>
      </c>
      <c r="FB157" s="72">
        <v>0</v>
      </c>
      <c r="FC157" s="72">
        <v>0</v>
      </c>
      <c r="FD157" s="72">
        <v>0</v>
      </c>
      <c r="FE157" s="72">
        <v>0</v>
      </c>
      <c r="FF157" s="72">
        <v>0</v>
      </c>
      <c r="FG157" s="72">
        <v>0</v>
      </c>
      <c r="FH157" s="72">
        <v>0</v>
      </c>
      <c r="FI157" s="72">
        <v>0</v>
      </c>
      <c r="FJ157" s="72">
        <v>0</v>
      </c>
      <c r="FK157" s="72">
        <v>0</v>
      </c>
      <c r="FL157" s="72">
        <v>0</v>
      </c>
      <c r="FM157" s="72">
        <v>0</v>
      </c>
      <c r="FN157" s="72">
        <v>0</v>
      </c>
      <c r="FO157" s="72">
        <v>0</v>
      </c>
      <c r="FP157" s="72">
        <v>0</v>
      </c>
      <c r="FQ157" s="72">
        <v>0</v>
      </c>
      <c r="FR157" s="72">
        <v>0</v>
      </c>
      <c r="FS157" s="72">
        <v>0</v>
      </c>
      <c r="FT157" s="72">
        <v>0</v>
      </c>
      <c r="FU157" s="72">
        <v>0</v>
      </c>
      <c r="FV157" s="74">
        <v>93.984457111622206</v>
      </c>
      <c r="FW157" s="74">
        <v>144.48738473698623</v>
      </c>
      <c r="FX157" s="74">
        <v>166.3784861592755</v>
      </c>
      <c r="FY157" s="74">
        <v>191.83683571017062</v>
      </c>
      <c r="FZ157" s="74">
        <v>262.96647809756547</v>
      </c>
      <c r="GA157" s="74">
        <v>393.54475902982853</v>
      </c>
      <c r="GB157" s="74">
        <v>738.7953364933885</v>
      </c>
      <c r="GC157" s="74">
        <v>1635.0843593419804</v>
      </c>
      <c r="GD157" s="74">
        <v>4592.6553721208202</v>
      </c>
      <c r="GE157" s="74">
        <v>1558.6172095600818</v>
      </c>
      <c r="GF157" s="74">
        <v>1700.3675069077315</v>
      </c>
      <c r="GG157" s="74">
        <v>2041.8063486080744</v>
      </c>
      <c r="GH157" s="74">
        <v>2262.6310393159802</v>
      </c>
      <c r="GI157" s="74">
        <v>3412.224426806496</v>
      </c>
      <c r="GJ157" s="72">
        <v>0</v>
      </c>
      <c r="GK157" s="72">
        <v>0</v>
      </c>
      <c r="GL157" s="72">
        <v>0</v>
      </c>
      <c r="GM157" s="72">
        <v>0</v>
      </c>
      <c r="GN157" s="72">
        <v>0</v>
      </c>
      <c r="GO157" s="72">
        <v>0</v>
      </c>
      <c r="GP157" s="72">
        <v>8.104124988312833E-2</v>
      </c>
      <c r="GQ157" s="72">
        <v>7179.1738037892692</v>
      </c>
      <c r="GR157" s="72">
        <f t="shared" si="2"/>
        <v>182559.01537048467</v>
      </c>
      <c r="GS157" s="72">
        <f>SUM(EX$5:EX$202)</f>
        <v>182559.01537048473</v>
      </c>
      <c r="GT157" s="73">
        <v>0</v>
      </c>
    </row>
    <row r="158" spans="1:202" outlineLevel="1" x14ac:dyDescent="0.2">
      <c r="A158" s="66" t="s">
        <v>1183</v>
      </c>
      <c r="B158" s="72">
        <v>0</v>
      </c>
      <c r="C158" s="72">
        <v>0</v>
      </c>
      <c r="D158" s="72">
        <v>0</v>
      </c>
      <c r="E158" s="72">
        <v>0</v>
      </c>
      <c r="F158" s="72">
        <v>0</v>
      </c>
      <c r="G158" s="72">
        <v>0</v>
      </c>
      <c r="H158" s="72">
        <v>0</v>
      </c>
      <c r="I158" s="72">
        <v>0</v>
      </c>
      <c r="J158" s="72">
        <v>0</v>
      </c>
      <c r="K158" s="72">
        <v>0</v>
      </c>
      <c r="L158" s="72">
        <v>0</v>
      </c>
      <c r="M158" s="72">
        <v>0</v>
      </c>
      <c r="N158" s="72">
        <v>0</v>
      </c>
      <c r="O158" s="72">
        <v>0</v>
      </c>
      <c r="P158" s="72">
        <v>0</v>
      </c>
      <c r="Q158" s="72">
        <v>0</v>
      </c>
      <c r="R158" s="72">
        <v>0</v>
      </c>
      <c r="S158" s="72">
        <v>0</v>
      </c>
      <c r="T158" s="72">
        <v>0</v>
      </c>
      <c r="U158" s="72">
        <v>0</v>
      </c>
      <c r="V158" s="72">
        <v>0</v>
      </c>
      <c r="W158" s="72">
        <v>0</v>
      </c>
      <c r="X158" s="72">
        <v>0</v>
      </c>
      <c r="Y158" s="72">
        <v>0</v>
      </c>
      <c r="Z158" s="72">
        <v>0</v>
      </c>
      <c r="AA158" s="72">
        <v>0</v>
      </c>
      <c r="AB158" s="72">
        <v>0</v>
      </c>
      <c r="AC158" s="72">
        <v>0</v>
      </c>
      <c r="AD158" s="72">
        <v>0</v>
      </c>
      <c r="AE158" s="72">
        <v>0</v>
      </c>
      <c r="AF158" s="72">
        <v>0</v>
      </c>
      <c r="AG158" s="72">
        <v>0</v>
      </c>
      <c r="AH158" s="72">
        <v>0</v>
      </c>
      <c r="AI158" s="72">
        <v>0</v>
      </c>
      <c r="AJ158" s="72">
        <v>0</v>
      </c>
      <c r="AK158" s="72">
        <v>0</v>
      </c>
      <c r="AL158" s="72">
        <v>0</v>
      </c>
      <c r="AM158" s="72">
        <v>0</v>
      </c>
      <c r="AN158" s="72">
        <v>0</v>
      </c>
      <c r="AO158" s="72">
        <v>0</v>
      </c>
      <c r="AP158" s="72">
        <v>0</v>
      </c>
      <c r="AQ158" s="72">
        <v>0</v>
      </c>
      <c r="AR158" s="72">
        <v>0</v>
      </c>
      <c r="AS158" s="72">
        <v>0</v>
      </c>
      <c r="AT158" s="72">
        <v>0</v>
      </c>
      <c r="AU158" s="72">
        <v>0</v>
      </c>
      <c r="AV158" s="72">
        <v>0</v>
      </c>
      <c r="AW158" s="72">
        <v>0</v>
      </c>
      <c r="AX158" s="72">
        <v>0</v>
      </c>
      <c r="AY158" s="72">
        <v>0</v>
      </c>
      <c r="AZ158" s="72">
        <v>0</v>
      </c>
      <c r="BA158" s="72">
        <v>0</v>
      </c>
      <c r="BB158" s="72">
        <v>0</v>
      </c>
      <c r="BC158" s="72">
        <v>0</v>
      </c>
      <c r="BD158" s="72">
        <v>0</v>
      </c>
      <c r="BE158" s="72">
        <v>0</v>
      </c>
      <c r="BF158" s="72">
        <v>0</v>
      </c>
      <c r="BG158" s="72">
        <v>0</v>
      </c>
      <c r="BH158" s="72">
        <v>0</v>
      </c>
      <c r="BI158" s="72">
        <v>0</v>
      </c>
      <c r="BJ158" s="72">
        <v>0</v>
      </c>
      <c r="BK158" s="72">
        <v>0</v>
      </c>
      <c r="BL158" s="72">
        <v>0</v>
      </c>
      <c r="BM158" s="72">
        <v>0</v>
      </c>
      <c r="BN158" s="72">
        <v>0</v>
      </c>
      <c r="BO158" s="72">
        <v>0</v>
      </c>
      <c r="BP158" s="72">
        <v>0</v>
      </c>
      <c r="BQ158" s="72">
        <v>0</v>
      </c>
      <c r="BR158" s="72">
        <v>0</v>
      </c>
      <c r="BS158" s="72">
        <v>0</v>
      </c>
      <c r="BT158" s="72">
        <v>0</v>
      </c>
      <c r="BU158" s="72">
        <v>0</v>
      </c>
      <c r="BV158" s="72">
        <v>0</v>
      </c>
      <c r="BW158" s="72">
        <v>0</v>
      </c>
      <c r="BX158" s="72">
        <v>0</v>
      </c>
      <c r="BY158" s="72">
        <v>0</v>
      </c>
      <c r="BZ158" s="72">
        <v>0</v>
      </c>
      <c r="CA158" s="72">
        <v>0</v>
      </c>
      <c r="CB158" s="72">
        <v>0</v>
      </c>
      <c r="CC158" s="72">
        <v>0</v>
      </c>
      <c r="CD158" s="72">
        <v>0</v>
      </c>
      <c r="CE158" s="72">
        <v>0</v>
      </c>
      <c r="CF158" s="72">
        <v>0</v>
      </c>
      <c r="CG158" s="72">
        <v>0</v>
      </c>
      <c r="CH158" s="72">
        <v>0</v>
      </c>
      <c r="CI158" s="72">
        <v>0</v>
      </c>
      <c r="CJ158" s="72">
        <v>0</v>
      </c>
      <c r="CK158" s="72">
        <v>0</v>
      </c>
      <c r="CL158" s="72">
        <v>0</v>
      </c>
      <c r="CM158" s="72">
        <v>0</v>
      </c>
      <c r="CN158" s="72">
        <v>0</v>
      </c>
      <c r="CO158" s="72">
        <v>0</v>
      </c>
      <c r="CP158" s="72">
        <v>0</v>
      </c>
      <c r="CQ158" s="72">
        <v>0</v>
      </c>
      <c r="CR158" s="72">
        <v>0</v>
      </c>
      <c r="CS158" s="72">
        <v>0</v>
      </c>
      <c r="CT158" s="72">
        <v>0</v>
      </c>
      <c r="CU158" s="72">
        <v>0</v>
      </c>
      <c r="CV158" s="72">
        <v>0</v>
      </c>
      <c r="CW158" s="72">
        <v>0</v>
      </c>
      <c r="CX158" s="72">
        <v>0</v>
      </c>
      <c r="CY158" s="72">
        <v>0</v>
      </c>
      <c r="CZ158" s="72">
        <v>0</v>
      </c>
      <c r="DA158" s="72">
        <v>0</v>
      </c>
      <c r="DB158" s="72">
        <v>0</v>
      </c>
      <c r="DC158" s="72">
        <v>0</v>
      </c>
      <c r="DD158" s="72">
        <v>0</v>
      </c>
      <c r="DE158" s="72">
        <v>0</v>
      </c>
      <c r="DF158" s="72">
        <v>0</v>
      </c>
      <c r="DG158" s="72">
        <v>0</v>
      </c>
      <c r="DH158" s="72">
        <v>0</v>
      </c>
      <c r="DI158" s="72">
        <v>0</v>
      </c>
      <c r="DJ158" s="72">
        <v>0</v>
      </c>
      <c r="DK158" s="72">
        <v>0</v>
      </c>
      <c r="DL158" s="72">
        <v>0</v>
      </c>
      <c r="DM158" s="72">
        <v>0</v>
      </c>
      <c r="DN158" s="72">
        <v>0</v>
      </c>
      <c r="DO158" s="72">
        <v>0</v>
      </c>
      <c r="DP158" s="72">
        <v>0</v>
      </c>
      <c r="DQ158" s="72">
        <v>0</v>
      </c>
      <c r="DR158" s="72">
        <v>0</v>
      </c>
      <c r="DS158" s="72">
        <v>0</v>
      </c>
      <c r="DT158" s="72">
        <v>0</v>
      </c>
      <c r="DU158" s="72">
        <v>0</v>
      </c>
      <c r="DV158" s="72">
        <v>0</v>
      </c>
      <c r="DW158" s="72">
        <v>0</v>
      </c>
      <c r="DX158" s="72">
        <v>0</v>
      </c>
      <c r="DY158" s="72">
        <v>0</v>
      </c>
      <c r="DZ158" s="72">
        <v>0</v>
      </c>
      <c r="EA158" s="72">
        <v>0</v>
      </c>
      <c r="EB158" s="72">
        <v>0</v>
      </c>
      <c r="EC158" s="72">
        <v>0</v>
      </c>
      <c r="ED158" s="72">
        <v>0</v>
      </c>
      <c r="EE158" s="72">
        <v>0</v>
      </c>
      <c r="EF158" s="72">
        <v>0</v>
      </c>
      <c r="EG158" s="72">
        <v>0</v>
      </c>
      <c r="EH158" s="72">
        <v>0</v>
      </c>
      <c r="EI158" s="72">
        <v>0</v>
      </c>
      <c r="EJ158" s="72">
        <v>0</v>
      </c>
      <c r="EK158" s="72">
        <v>0</v>
      </c>
      <c r="EL158" s="72">
        <v>0</v>
      </c>
      <c r="EM158" s="72">
        <v>0</v>
      </c>
      <c r="EN158" s="72">
        <v>0</v>
      </c>
      <c r="EO158" s="72">
        <v>0</v>
      </c>
      <c r="EP158" s="72">
        <v>0</v>
      </c>
      <c r="EQ158" s="72">
        <v>0</v>
      </c>
      <c r="ER158" s="72">
        <v>0</v>
      </c>
      <c r="ES158" s="72">
        <v>0</v>
      </c>
      <c r="ET158" s="72">
        <v>0</v>
      </c>
      <c r="EU158" s="72">
        <v>0</v>
      </c>
      <c r="EV158" s="72">
        <v>0</v>
      </c>
      <c r="EW158" s="72">
        <v>0</v>
      </c>
      <c r="EX158" s="72">
        <v>0</v>
      </c>
      <c r="EY158" s="72">
        <v>0</v>
      </c>
      <c r="EZ158" s="72">
        <v>0</v>
      </c>
      <c r="FA158" s="72">
        <v>0</v>
      </c>
      <c r="FB158" s="72">
        <v>0</v>
      </c>
      <c r="FC158" s="72">
        <v>0</v>
      </c>
      <c r="FD158" s="72">
        <v>0</v>
      </c>
      <c r="FE158" s="72">
        <v>0</v>
      </c>
      <c r="FF158" s="72">
        <v>0</v>
      </c>
      <c r="FG158" s="72">
        <v>0</v>
      </c>
      <c r="FH158" s="72">
        <v>0</v>
      </c>
      <c r="FI158" s="72">
        <v>0</v>
      </c>
      <c r="FJ158" s="72">
        <v>0</v>
      </c>
      <c r="FK158" s="72">
        <v>0</v>
      </c>
      <c r="FL158" s="72">
        <v>0</v>
      </c>
      <c r="FM158" s="72">
        <v>0</v>
      </c>
      <c r="FN158" s="72">
        <v>0</v>
      </c>
      <c r="FO158" s="72">
        <v>0</v>
      </c>
      <c r="FP158" s="72">
        <v>0</v>
      </c>
      <c r="FQ158" s="72">
        <v>0</v>
      </c>
      <c r="FR158" s="72">
        <v>0</v>
      </c>
      <c r="FS158" s="72">
        <v>0</v>
      </c>
      <c r="FT158" s="72">
        <v>0</v>
      </c>
      <c r="FU158" s="72">
        <v>0</v>
      </c>
      <c r="FV158" s="74">
        <v>2981.5219154671822</v>
      </c>
      <c r="FW158" s="74">
        <v>4553.569286035161</v>
      </c>
      <c r="FX158" s="74">
        <v>6083.165842552984</v>
      </c>
      <c r="FY158" s="74">
        <v>8021.3738290039737</v>
      </c>
      <c r="FZ158" s="74">
        <v>10111.38781271621</v>
      </c>
      <c r="GA158" s="74">
        <v>13653.823170177615</v>
      </c>
      <c r="GB158" s="74">
        <v>17971.264010982817</v>
      </c>
      <c r="GC158" s="74">
        <v>33210.863609131055</v>
      </c>
      <c r="GD158" s="74">
        <v>60581.995574365377</v>
      </c>
      <c r="GE158" s="74">
        <v>19798.678228644829</v>
      </c>
      <c r="GF158" s="74">
        <v>17552.541026281629</v>
      </c>
      <c r="GG158" s="74">
        <v>20604.868970867668</v>
      </c>
      <c r="GH158" s="74">
        <v>31348.115969935989</v>
      </c>
      <c r="GI158" s="74">
        <v>42036.510634301747</v>
      </c>
      <c r="GJ158" s="72">
        <v>0</v>
      </c>
      <c r="GK158" s="72">
        <v>0</v>
      </c>
      <c r="GL158" s="72">
        <v>0</v>
      </c>
      <c r="GM158" s="72">
        <v>0</v>
      </c>
      <c r="GN158" s="72">
        <v>0</v>
      </c>
      <c r="GO158" s="72">
        <v>0</v>
      </c>
      <c r="GP158" s="72">
        <v>0</v>
      </c>
      <c r="GQ158" s="72">
        <v>0</v>
      </c>
      <c r="GR158" s="72">
        <f t="shared" si="2"/>
        <v>288509.67988046422</v>
      </c>
      <c r="GS158" s="72">
        <f>SUM(EY$5:EY$202)</f>
        <v>288509.67988046427</v>
      </c>
      <c r="GT158" s="73">
        <v>0</v>
      </c>
    </row>
    <row r="159" spans="1:202" outlineLevel="1" x14ac:dyDescent="0.2">
      <c r="A159" s="66" t="s">
        <v>1514</v>
      </c>
      <c r="B159" s="72">
        <v>6082.4613918722271</v>
      </c>
      <c r="C159" s="72">
        <v>123.89104470912289</v>
      </c>
      <c r="D159" s="72">
        <v>33.245552682286046</v>
      </c>
      <c r="E159" s="72">
        <v>245.23775805218946</v>
      </c>
      <c r="F159" s="72">
        <v>113.25408690782794</v>
      </c>
      <c r="G159" s="72">
        <v>269.52762533075986</v>
      </c>
      <c r="H159" s="72">
        <v>456.31522221410637</v>
      </c>
      <c r="I159" s="72">
        <v>1211.9811959521799</v>
      </c>
      <c r="J159" s="72">
        <v>458.34099703728486</v>
      </c>
      <c r="K159" s="72">
        <v>288.71863991921128</v>
      </c>
      <c r="L159" s="72">
        <v>396.33934256781464</v>
      </c>
      <c r="M159" s="72">
        <v>36.362098421570757</v>
      </c>
      <c r="N159" s="72">
        <v>109.82815482906193</v>
      </c>
      <c r="O159" s="72">
        <v>336.19340002317171</v>
      </c>
      <c r="P159" s="72">
        <v>687.5045756029142</v>
      </c>
      <c r="Q159" s="72">
        <v>860.13672509415892</v>
      </c>
      <c r="R159" s="72">
        <v>232.45040117926638</v>
      </c>
      <c r="S159" s="72">
        <v>515.29613353185846</v>
      </c>
      <c r="T159" s="72">
        <v>816.87686681730383</v>
      </c>
      <c r="U159" s="72">
        <v>109.90367417748058</v>
      </c>
      <c r="V159" s="72">
        <v>674.98901786920305</v>
      </c>
      <c r="W159" s="72">
        <v>126.48693235081116</v>
      </c>
      <c r="X159" s="72">
        <v>461.82057243387737</v>
      </c>
      <c r="Y159" s="72">
        <v>249.00007889790351</v>
      </c>
      <c r="Z159" s="72">
        <v>1168.5937618312944</v>
      </c>
      <c r="AA159" s="72">
        <v>1137.9837789917028</v>
      </c>
      <c r="AB159" s="72">
        <v>350.12067411018916</v>
      </c>
      <c r="AC159" s="72">
        <v>143.47003145868797</v>
      </c>
      <c r="AD159" s="72">
        <v>185.16942829680892</v>
      </c>
      <c r="AE159" s="72">
        <v>434.0901755271899</v>
      </c>
      <c r="AF159" s="72">
        <v>287.19873094362475</v>
      </c>
      <c r="AG159" s="72">
        <v>540.96952233567504</v>
      </c>
      <c r="AH159" s="72">
        <v>355.43067473633408</v>
      </c>
      <c r="AI159" s="72">
        <v>914.14997455271543</v>
      </c>
      <c r="AJ159" s="72">
        <v>884.02543275308233</v>
      </c>
      <c r="AK159" s="72">
        <v>2251.8970141814352</v>
      </c>
      <c r="AL159" s="72">
        <v>9969.3582344338047</v>
      </c>
      <c r="AM159" s="72">
        <v>23521.290410412203</v>
      </c>
      <c r="AN159" s="72">
        <v>8085.157957647707</v>
      </c>
      <c r="AO159" s="72">
        <v>7088.1455211892408</v>
      </c>
      <c r="AP159" s="72">
        <v>2818.5595316760246</v>
      </c>
      <c r="AQ159" s="72">
        <v>26.94188097666893</v>
      </c>
      <c r="AR159" s="72">
        <v>257.31901928122187</v>
      </c>
      <c r="AS159" s="72">
        <v>13974.83708521177</v>
      </c>
      <c r="AT159" s="72">
        <v>6291.6407387020718</v>
      </c>
      <c r="AU159" s="72">
        <v>12964.09565259382</v>
      </c>
      <c r="AV159" s="72">
        <v>3087.7230188947201</v>
      </c>
      <c r="AW159" s="72">
        <v>4588.8939031846849</v>
      </c>
      <c r="AX159" s="72">
        <v>18080.384149812151</v>
      </c>
      <c r="AY159" s="72">
        <v>769.2950112599259</v>
      </c>
      <c r="AZ159" s="72">
        <v>2177.866867045374</v>
      </c>
      <c r="BA159" s="72">
        <v>227.98966864190982</v>
      </c>
      <c r="BB159" s="72">
        <v>17162.189849752402</v>
      </c>
      <c r="BC159" s="72">
        <v>22897.339838984662</v>
      </c>
      <c r="BD159" s="72">
        <v>415.933546506624</v>
      </c>
      <c r="BE159" s="72">
        <v>6297.9513669459484</v>
      </c>
      <c r="BF159" s="72">
        <v>559.16831600937155</v>
      </c>
      <c r="BG159" s="72">
        <v>281.19192265707443</v>
      </c>
      <c r="BH159" s="72">
        <v>1177.4943966735107</v>
      </c>
      <c r="BI159" s="72">
        <v>284.60647740907802</v>
      </c>
      <c r="BJ159" s="72">
        <v>1092.6915808084514</v>
      </c>
      <c r="BK159" s="72">
        <v>0</v>
      </c>
      <c r="BL159" s="72">
        <v>0</v>
      </c>
      <c r="BM159" s="72">
        <v>0</v>
      </c>
      <c r="BN159" s="72">
        <v>0</v>
      </c>
      <c r="BO159" s="72">
        <v>0</v>
      </c>
      <c r="BP159" s="72">
        <v>0</v>
      </c>
      <c r="BQ159" s="72">
        <v>0</v>
      </c>
      <c r="BR159" s="72">
        <v>0</v>
      </c>
      <c r="BS159" s="72">
        <v>0</v>
      </c>
      <c r="BT159" s="72">
        <v>0</v>
      </c>
      <c r="BU159" s="72">
        <v>0</v>
      </c>
      <c r="BV159" s="72">
        <v>0</v>
      </c>
      <c r="BW159" s="72">
        <v>0</v>
      </c>
      <c r="BX159" s="72">
        <v>0</v>
      </c>
      <c r="BY159" s="72">
        <v>0</v>
      </c>
      <c r="BZ159" s="72">
        <v>0</v>
      </c>
      <c r="CA159" s="72">
        <v>0</v>
      </c>
      <c r="CB159" s="72">
        <v>0</v>
      </c>
      <c r="CC159" s="72">
        <v>0</v>
      </c>
      <c r="CD159" s="72">
        <v>0</v>
      </c>
      <c r="CE159" s="72">
        <v>0</v>
      </c>
      <c r="CF159" s="72">
        <v>0</v>
      </c>
      <c r="CG159" s="72">
        <v>0</v>
      </c>
      <c r="CH159" s="72">
        <v>0</v>
      </c>
      <c r="CI159" s="72">
        <v>0</v>
      </c>
      <c r="CJ159" s="72">
        <v>0</v>
      </c>
      <c r="CK159" s="72">
        <v>0</v>
      </c>
      <c r="CL159" s="72">
        <v>0</v>
      </c>
      <c r="CM159" s="72">
        <v>0</v>
      </c>
      <c r="CN159" s="72">
        <v>0</v>
      </c>
      <c r="CO159" s="72">
        <v>0</v>
      </c>
      <c r="CP159" s="72">
        <v>0</v>
      </c>
      <c r="CQ159" s="72">
        <v>0</v>
      </c>
      <c r="CR159" s="72">
        <v>0</v>
      </c>
      <c r="CS159" s="72">
        <v>0</v>
      </c>
      <c r="CT159" s="72">
        <v>0</v>
      </c>
      <c r="CU159" s="72">
        <v>0</v>
      </c>
      <c r="CV159" s="72">
        <v>0</v>
      </c>
      <c r="CW159" s="72">
        <v>0</v>
      </c>
      <c r="CX159" s="72">
        <v>0</v>
      </c>
      <c r="CY159" s="72">
        <v>0</v>
      </c>
      <c r="CZ159" s="72">
        <v>0</v>
      </c>
      <c r="DA159" s="72">
        <v>0</v>
      </c>
      <c r="DB159" s="72">
        <v>0</v>
      </c>
      <c r="DC159" s="72">
        <v>0</v>
      </c>
      <c r="DD159" s="72">
        <v>0</v>
      </c>
      <c r="DE159" s="72">
        <v>0</v>
      </c>
      <c r="DF159" s="72">
        <v>0</v>
      </c>
      <c r="DG159" s="72">
        <v>0</v>
      </c>
      <c r="DH159" s="72">
        <v>0</v>
      </c>
      <c r="DI159" s="72">
        <v>0</v>
      </c>
      <c r="DJ159" s="72">
        <v>0</v>
      </c>
      <c r="DK159" s="72">
        <v>0</v>
      </c>
      <c r="DL159" s="72">
        <v>0</v>
      </c>
      <c r="DM159" s="72">
        <v>0</v>
      </c>
      <c r="DN159" s="72">
        <v>0</v>
      </c>
      <c r="DO159" s="72">
        <v>0</v>
      </c>
      <c r="DP159" s="72">
        <v>0</v>
      </c>
      <c r="DQ159" s="72">
        <v>0</v>
      </c>
      <c r="DR159" s="72">
        <v>0</v>
      </c>
      <c r="DS159" s="72">
        <v>0</v>
      </c>
      <c r="DT159" s="72">
        <v>0</v>
      </c>
      <c r="DU159" s="72">
        <v>0</v>
      </c>
      <c r="DV159" s="72">
        <v>0</v>
      </c>
      <c r="DW159" s="72">
        <v>0</v>
      </c>
      <c r="DX159" s="72">
        <v>0</v>
      </c>
      <c r="DY159" s="72">
        <v>0</v>
      </c>
      <c r="DZ159" s="72">
        <v>0</v>
      </c>
      <c r="EA159" s="72">
        <v>0</v>
      </c>
      <c r="EB159" s="72">
        <v>0</v>
      </c>
      <c r="EC159" s="72">
        <v>0</v>
      </c>
      <c r="ED159" s="72">
        <v>0</v>
      </c>
      <c r="EE159" s="72">
        <v>0</v>
      </c>
      <c r="EF159" s="72">
        <v>0</v>
      </c>
      <c r="EG159" s="72">
        <v>0</v>
      </c>
      <c r="EH159" s="72">
        <v>0</v>
      </c>
      <c r="EI159" s="72">
        <v>0</v>
      </c>
      <c r="EJ159" s="72">
        <v>0</v>
      </c>
      <c r="EK159" s="72">
        <v>0</v>
      </c>
      <c r="EL159" s="72">
        <v>0</v>
      </c>
      <c r="EM159" s="72">
        <v>0</v>
      </c>
      <c r="EN159" s="72">
        <v>0</v>
      </c>
      <c r="EO159" s="72">
        <v>0</v>
      </c>
      <c r="EP159" s="72">
        <v>0</v>
      </c>
      <c r="EQ159" s="72">
        <v>0</v>
      </c>
      <c r="ER159" s="72">
        <v>0</v>
      </c>
      <c r="ES159" s="72">
        <v>0</v>
      </c>
      <c r="ET159" s="72">
        <v>0</v>
      </c>
      <c r="EU159" s="72">
        <v>0</v>
      </c>
      <c r="EV159" s="72">
        <v>0</v>
      </c>
      <c r="EW159" s="72">
        <v>0</v>
      </c>
      <c r="EX159" s="72">
        <v>0</v>
      </c>
      <c r="EY159" s="72">
        <v>0</v>
      </c>
      <c r="EZ159" s="72">
        <v>0</v>
      </c>
      <c r="FA159" s="72">
        <v>0</v>
      </c>
      <c r="FB159" s="72">
        <v>0</v>
      </c>
      <c r="FC159" s="72">
        <v>0</v>
      </c>
      <c r="FD159" s="72">
        <v>0</v>
      </c>
      <c r="FE159" s="72">
        <v>0</v>
      </c>
      <c r="FF159" s="72">
        <v>0</v>
      </c>
      <c r="FG159" s="72">
        <v>0</v>
      </c>
      <c r="FH159" s="72">
        <v>0</v>
      </c>
      <c r="FI159" s="72">
        <v>0</v>
      </c>
      <c r="FJ159" s="72">
        <v>0</v>
      </c>
      <c r="FK159" s="72">
        <v>0</v>
      </c>
      <c r="FL159" s="72">
        <v>0</v>
      </c>
      <c r="FM159" s="72">
        <v>0</v>
      </c>
      <c r="FN159" s="72">
        <v>0</v>
      </c>
      <c r="FO159" s="72">
        <v>0</v>
      </c>
      <c r="FP159" s="72">
        <v>0</v>
      </c>
      <c r="FQ159" s="72">
        <v>0</v>
      </c>
      <c r="FR159" s="72">
        <v>0</v>
      </c>
      <c r="FS159" s="72">
        <v>0</v>
      </c>
      <c r="FT159" s="72">
        <v>0</v>
      </c>
      <c r="FU159" s="72">
        <v>0</v>
      </c>
      <c r="FV159" s="74">
        <v>776.48537432757314</v>
      </c>
      <c r="FW159" s="74">
        <v>1185.8976897842194</v>
      </c>
      <c r="FX159" s="74">
        <v>1584.254431217664</v>
      </c>
      <c r="FY159" s="74">
        <v>2089.0268919118757</v>
      </c>
      <c r="FZ159" s="74">
        <v>2633.3345765456029</v>
      </c>
      <c r="GA159" s="74">
        <v>3555.900072475772</v>
      </c>
      <c r="GB159" s="74">
        <v>4680.3022276363454</v>
      </c>
      <c r="GC159" s="74">
        <v>8649.1901090847277</v>
      </c>
      <c r="GD159" s="74">
        <v>15777.523977616478</v>
      </c>
      <c r="GE159" s="74">
        <v>5156.2203838946316</v>
      </c>
      <c r="GF159" s="74">
        <v>4571.253130318436</v>
      </c>
      <c r="GG159" s="74">
        <v>5366.1786998160624</v>
      </c>
      <c r="GH159" s="74">
        <v>8164.0699795311793</v>
      </c>
      <c r="GI159" s="74">
        <v>10947.675925496675</v>
      </c>
      <c r="GJ159" s="72">
        <v>0</v>
      </c>
      <c r="GK159" s="72">
        <v>0</v>
      </c>
      <c r="GL159" s="72">
        <v>0</v>
      </c>
      <c r="GM159" s="72">
        <v>0</v>
      </c>
      <c r="GN159" s="72">
        <v>0</v>
      </c>
      <c r="GO159" s="72">
        <v>9759.4619766099986</v>
      </c>
      <c r="GP159" s="72">
        <v>-7.6679617341142148E-2</v>
      </c>
      <c r="GQ159" s="72">
        <v>0</v>
      </c>
      <c r="GR159" s="72">
        <f t="shared" si="2"/>
        <v>272544.02540155262</v>
      </c>
      <c r="GS159" s="72">
        <f>SUM(EZ$5:EZ$202)</f>
        <v>272544.02540155267</v>
      </c>
      <c r="GT159" s="73">
        <v>0</v>
      </c>
    </row>
    <row r="160" spans="1:202" outlineLevel="1" x14ac:dyDescent="0.2">
      <c r="A160" s="66" t="s">
        <v>1190</v>
      </c>
      <c r="B160" s="72">
        <v>1824.9931560639861</v>
      </c>
      <c r="C160" s="72">
        <v>26.536823584998629</v>
      </c>
      <c r="D160" s="72">
        <v>30.124210890884797</v>
      </c>
      <c r="E160" s="72">
        <v>154.26943864287057</v>
      </c>
      <c r="F160" s="72">
        <v>26.861233418121756</v>
      </c>
      <c r="G160" s="72">
        <v>34.839586769903221</v>
      </c>
      <c r="H160" s="72">
        <v>154.11178412125051</v>
      </c>
      <c r="I160" s="72">
        <v>978.73001866811205</v>
      </c>
      <c r="J160" s="72">
        <v>693.90373743619352</v>
      </c>
      <c r="K160" s="72">
        <v>49.821199070944942</v>
      </c>
      <c r="L160" s="72">
        <v>232.57613023252219</v>
      </c>
      <c r="M160" s="72">
        <v>42.505483609564472</v>
      </c>
      <c r="N160" s="72">
        <v>40.228324741373385</v>
      </c>
      <c r="O160" s="72">
        <v>117.08783838393285</v>
      </c>
      <c r="P160" s="72">
        <v>176.12513132390018</v>
      </c>
      <c r="Q160" s="72">
        <v>548.57103704456586</v>
      </c>
      <c r="R160" s="72">
        <v>116.9199370918752</v>
      </c>
      <c r="S160" s="72">
        <v>328.59022507787466</v>
      </c>
      <c r="T160" s="72">
        <v>302.43026842613483</v>
      </c>
      <c r="U160" s="72">
        <v>55.785849884377662</v>
      </c>
      <c r="V160" s="72">
        <v>59.885594921304367</v>
      </c>
      <c r="W160" s="72">
        <v>19.09983170970354</v>
      </c>
      <c r="X160" s="72">
        <v>183.08703478523273</v>
      </c>
      <c r="Y160" s="72">
        <v>76.037770916876113</v>
      </c>
      <c r="Z160" s="72">
        <v>143.79218580932812</v>
      </c>
      <c r="AA160" s="72">
        <v>240.38811431649555</v>
      </c>
      <c r="AB160" s="72">
        <v>73.766480230493613</v>
      </c>
      <c r="AC160" s="72">
        <v>39.3464355401982</v>
      </c>
      <c r="AD160" s="72">
        <v>24.106253597166344</v>
      </c>
      <c r="AE160" s="72">
        <v>739.4136587337191</v>
      </c>
      <c r="AF160" s="72">
        <v>56.942081438812984</v>
      </c>
      <c r="AG160" s="72">
        <v>39.609156657513026</v>
      </c>
      <c r="AH160" s="72">
        <v>95.03345001767957</v>
      </c>
      <c r="AI160" s="72">
        <v>550.1727276216302</v>
      </c>
      <c r="AJ160" s="72">
        <v>458.38722266215581</v>
      </c>
      <c r="AK160" s="72">
        <v>2287.0917738473927</v>
      </c>
      <c r="AL160" s="72">
        <v>2941.5659997567259</v>
      </c>
      <c r="AM160" s="72">
        <v>1709.525628232072</v>
      </c>
      <c r="AN160" s="72">
        <v>1294.7833116045217</v>
      </c>
      <c r="AO160" s="72">
        <v>1303.0607908944296</v>
      </c>
      <c r="AP160" s="72">
        <v>912.04357903796722</v>
      </c>
      <c r="AQ160" s="72">
        <v>38.708082744750214</v>
      </c>
      <c r="AR160" s="72">
        <v>1888.5851083168573</v>
      </c>
      <c r="AS160" s="72">
        <v>1682.6670359627799</v>
      </c>
      <c r="AT160" s="72">
        <v>1604.4808194722302</v>
      </c>
      <c r="AU160" s="72">
        <v>0</v>
      </c>
      <c r="AV160" s="72">
        <v>141.94926846750414</v>
      </c>
      <c r="AW160" s="72">
        <v>2600.6561185782043</v>
      </c>
      <c r="AX160" s="72">
        <v>3247.0403768821407</v>
      </c>
      <c r="AY160" s="72">
        <v>1389.0683844341913</v>
      </c>
      <c r="AZ160" s="72">
        <v>6744.6330559916132</v>
      </c>
      <c r="BA160" s="72">
        <v>226.06048199489706</v>
      </c>
      <c r="BB160" s="72">
        <v>19281.839856472627</v>
      </c>
      <c r="BC160" s="72">
        <v>17323.924306308862</v>
      </c>
      <c r="BD160" s="72">
        <v>974.99952587932626</v>
      </c>
      <c r="BE160" s="72">
        <v>1899.519450176379</v>
      </c>
      <c r="BF160" s="72">
        <v>234.29806142111372</v>
      </c>
      <c r="BG160" s="72">
        <v>82.377350745997845</v>
      </c>
      <c r="BH160" s="72">
        <v>6014.9603709725343</v>
      </c>
      <c r="BI160" s="72">
        <v>43.096002997491681</v>
      </c>
      <c r="BJ160" s="72">
        <v>1149.7231731107836</v>
      </c>
      <c r="BK160" s="72">
        <v>0</v>
      </c>
      <c r="BL160" s="72">
        <v>0</v>
      </c>
      <c r="BM160" s="72">
        <v>0</v>
      </c>
      <c r="BN160" s="72">
        <v>0</v>
      </c>
      <c r="BO160" s="72">
        <v>0</v>
      </c>
      <c r="BP160" s="72">
        <v>0</v>
      </c>
      <c r="BQ160" s="72">
        <v>0</v>
      </c>
      <c r="BR160" s="72">
        <v>0</v>
      </c>
      <c r="BS160" s="72">
        <v>0</v>
      </c>
      <c r="BT160" s="72">
        <v>0</v>
      </c>
      <c r="BU160" s="72">
        <v>0</v>
      </c>
      <c r="BV160" s="72">
        <v>0</v>
      </c>
      <c r="BW160" s="72">
        <v>0</v>
      </c>
      <c r="BX160" s="72">
        <v>0</v>
      </c>
      <c r="BY160" s="72">
        <v>0</v>
      </c>
      <c r="BZ160" s="72">
        <v>0</v>
      </c>
      <c r="CA160" s="72">
        <v>0</v>
      </c>
      <c r="CB160" s="72">
        <v>0</v>
      </c>
      <c r="CC160" s="72">
        <v>0</v>
      </c>
      <c r="CD160" s="72">
        <v>0</v>
      </c>
      <c r="CE160" s="72">
        <v>0</v>
      </c>
      <c r="CF160" s="72">
        <v>0</v>
      </c>
      <c r="CG160" s="72">
        <v>0</v>
      </c>
      <c r="CH160" s="72">
        <v>0</v>
      </c>
      <c r="CI160" s="72">
        <v>0</v>
      </c>
      <c r="CJ160" s="72">
        <v>0</v>
      </c>
      <c r="CK160" s="72">
        <v>0</v>
      </c>
      <c r="CL160" s="72">
        <v>0</v>
      </c>
      <c r="CM160" s="72">
        <v>0</v>
      </c>
      <c r="CN160" s="72">
        <v>0</v>
      </c>
      <c r="CO160" s="72">
        <v>0</v>
      </c>
      <c r="CP160" s="72">
        <v>0</v>
      </c>
      <c r="CQ160" s="72">
        <v>0</v>
      </c>
      <c r="CR160" s="72">
        <v>0</v>
      </c>
      <c r="CS160" s="72">
        <v>0</v>
      </c>
      <c r="CT160" s="72">
        <v>0</v>
      </c>
      <c r="CU160" s="72">
        <v>0</v>
      </c>
      <c r="CV160" s="72">
        <v>0</v>
      </c>
      <c r="CW160" s="72">
        <v>0</v>
      </c>
      <c r="CX160" s="72">
        <v>0</v>
      </c>
      <c r="CY160" s="72">
        <v>0</v>
      </c>
      <c r="CZ160" s="72">
        <v>0</v>
      </c>
      <c r="DA160" s="72">
        <v>0</v>
      </c>
      <c r="DB160" s="72">
        <v>0</v>
      </c>
      <c r="DC160" s="72">
        <v>0</v>
      </c>
      <c r="DD160" s="72">
        <v>0</v>
      </c>
      <c r="DE160" s="72">
        <v>0</v>
      </c>
      <c r="DF160" s="72">
        <v>0</v>
      </c>
      <c r="DG160" s="72">
        <v>0</v>
      </c>
      <c r="DH160" s="72">
        <v>0</v>
      </c>
      <c r="DI160" s="72">
        <v>0</v>
      </c>
      <c r="DJ160" s="72">
        <v>0</v>
      </c>
      <c r="DK160" s="72">
        <v>0</v>
      </c>
      <c r="DL160" s="72">
        <v>0</v>
      </c>
      <c r="DM160" s="72">
        <v>0</v>
      </c>
      <c r="DN160" s="72">
        <v>0</v>
      </c>
      <c r="DO160" s="72">
        <v>0</v>
      </c>
      <c r="DP160" s="72">
        <v>0</v>
      </c>
      <c r="DQ160" s="72">
        <v>0</v>
      </c>
      <c r="DR160" s="72">
        <v>0</v>
      </c>
      <c r="DS160" s="72">
        <v>0</v>
      </c>
      <c r="DT160" s="72">
        <v>0</v>
      </c>
      <c r="DU160" s="72">
        <v>0</v>
      </c>
      <c r="DV160" s="72">
        <v>0</v>
      </c>
      <c r="DW160" s="72">
        <v>0</v>
      </c>
      <c r="DX160" s="72">
        <v>0</v>
      </c>
      <c r="DY160" s="72">
        <v>0</v>
      </c>
      <c r="DZ160" s="72">
        <v>0</v>
      </c>
      <c r="EA160" s="72">
        <v>0</v>
      </c>
      <c r="EB160" s="72">
        <v>0</v>
      </c>
      <c r="EC160" s="72">
        <v>0</v>
      </c>
      <c r="ED160" s="72">
        <v>0</v>
      </c>
      <c r="EE160" s="72">
        <v>0</v>
      </c>
      <c r="EF160" s="72">
        <v>0</v>
      </c>
      <c r="EG160" s="72">
        <v>0</v>
      </c>
      <c r="EH160" s="72">
        <v>0</v>
      </c>
      <c r="EI160" s="72">
        <v>0</v>
      </c>
      <c r="EJ160" s="72">
        <v>0</v>
      </c>
      <c r="EK160" s="72">
        <v>0</v>
      </c>
      <c r="EL160" s="72">
        <v>0</v>
      </c>
      <c r="EM160" s="72">
        <v>0</v>
      </c>
      <c r="EN160" s="72">
        <v>0</v>
      </c>
      <c r="EO160" s="72">
        <v>0</v>
      </c>
      <c r="EP160" s="72">
        <v>0</v>
      </c>
      <c r="EQ160" s="72">
        <v>0</v>
      </c>
      <c r="ER160" s="72">
        <v>0</v>
      </c>
      <c r="ES160" s="72">
        <v>0</v>
      </c>
      <c r="ET160" s="72">
        <v>0</v>
      </c>
      <c r="EU160" s="72">
        <v>0</v>
      </c>
      <c r="EV160" s="72">
        <v>0</v>
      </c>
      <c r="EW160" s="72">
        <v>0</v>
      </c>
      <c r="EX160" s="72">
        <v>0</v>
      </c>
      <c r="EY160" s="72">
        <v>0</v>
      </c>
      <c r="EZ160" s="72">
        <v>0</v>
      </c>
      <c r="FA160" s="72">
        <v>0</v>
      </c>
      <c r="FB160" s="72">
        <v>0</v>
      </c>
      <c r="FC160" s="72">
        <v>0</v>
      </c>
      <c r="FD160" s="72">
        <v>0</v>
      </c>
      <c r="FE160" s="72">
        <v>0</v>
      </c>
      <c r="FF160" s="72">
        <v>0</v>
      </c>
      <c r="FG160" s="72">
        <v>0</v>
      </c>
      <c r="FH160" s="72">
        <v>0</v>
      </c>
      <c r="FI160" s="72">
        <v>0</v>
      </c>
      <c r="FJ160" s="72">
        <v>0</v>
      </c>
      <c r="FK160" s="72">
        <v>0</v>
      </c>
      <c r="FL160" s="72">
        <v>0</v>
      </c>
      <c r="FM160" s="72">
        <v>0</v>
      </c>
      <c r="FN160" s="72">
        <v>0</v>
      </c>
      <c r="FO160" s="72">
        <v>0</v>
      </c>
      <c r="FP160" s="72">
        <v>0</v>
      </c>
      <c r="FQ160" s="72">
        <v>0</v>
      </c>
      <c r="FR160" s="72">
        <v>0</v>
      </c>
      <c r="FS160" s="72">
        <v>0</v>
      </c>
      <c r="FT160" s="72">
        <v>0</v>
      </c>
      <c r="FU160" s="72">
        <v>0</v>
      </c>
      <c r="FV160" s="74">
        <v>89.344893923745005</v>
      </c>
      <c r="FW160" s="74">
        <v>118.57711006396602</v>
      </c>
      <c r="FX160" s="74">
        <v>253.38693482363337</v>
      </c>
      <c r="FY160" s="74">
        <v>76.670812877717154</v>
      </c>
      <c r="FZ160" s="74">
        <v>285.66656561886907</v>
      </c>
      <c r="GA160" s="74">
        <v>268.76050119697157</v>
      </c>
      <c r="GB160" s="74">
        <v>261.79063491199338</v>
      </c>
      <c r="GC160" s="74">
        <v>576.88116385894307</v>
      </c>
      <c r="GD160" s="74">
        <v>1155.404423210907</v>
      </c>
      <c r="GE160" s="74">
        <v>91.18009564717191</v>
      </c>
      <c r="GF160" s="74">
        <v>224.51464287902533</v>
      </c>
      <c r="GG160" s="74">
        <v>118.88267725082488</v>
      </c>
      <c r="GH160" s="74">
        <v>262.40685150692553</v>
      </c>
      <c r="GI160" s="74">
        <v>197.75506753714274</v>
      </c>
      <c r="GJ160" s="72">
        <v>0</v>
      </c>
      <c r="GK160" s="72">
        <v>0</v>
      </c>
      <c r="GL160" s="72">
        <v>0</v>
      </c>
      <c r="GM160" s="72">
        <v>0</v>
      </c>
      <c r="GN160" s="72">
        <v>0</v>
      </c>
      <c r="GO160" s="72">
        <v>0</v>
      </c>
      <c r="GP160" s="72">
        <v>-1.151056494563818E-8</v>
      </c>
      <c r="GQ160" s="72">
        <v>1087.3697760570742</v>
      </c>
      <c r="GR160" s="72">
        <f t="shared" si="2"/>
        <v>90819.32947909848</v>
      </c>
      <c r="GS160" s="72">
        <f>SUM(FA$5:FA$202)</f>
        <v>90819.329479098466</v>
      </c>
      <c r="GT160" s="73">
        <v>0</v>
      </c>
    </row>
    <row r="161" spans="1:202" outlineLevel="1" x14ac:dyDescent="0.2">
      <c r="A161" s="66" t="s">
        <v>1197</v>
      </c>
      <c r="B161" s="72">
        <v>0</v>
      </c>
      <c r="C161" s="72">
        <v>0</v>
      </c>
      <c r="D161" s="72">
        <v>0</v>
      </c>
      <c r="E161" s="72">
        <v>0</v>
      </c>
      <c r="F161" s="72">
        <v>0</v>
      </c>
      <c r="G161" s="72">
        <v>0</v>
      </c>
      <c r="H161" s="72">
        <v>0</v>
      </c>
      <c r="I161" s="72">
        <v>0</v>
      </c>
      <c r="J161" s="72">
        <v>0</v>
      </c>
      <c r="K161" s="72">
        <v>0</v>
      </c>
      <c r="L161" s="72">
        <v>0</v>
      </c>
      <c r="M161" s="72">
        <v>0</v>
      </c>
      <c r="N161" s="72">
        <v>0</v>
      </c>
      <c r="O161" s="72">
        <v>0</v>
      </c>
      <c r="P161" s="72">
        <v>0</v>
      </c>
      <c r="Q161" s="72">
        <v>0</v>
      </c>
      <c r="R161" s="72">
        <v>0</v>
      </c>
      <c r="S161" s="72">
        <v>0</v>
      </c>
      <c r="T161" s="72">
        <v>0</v>
      </c>
      <c r="U161" s="72">
        <v>0</v>
      </c>
      <c r="V161" s="72">
        <v>0</v>
      </c>
      <c r="W161" s="72">
        <v>0</v>
      </c>
      <c r="X161" s="72">
        <v>0</v>
      </c>
      <c r="Y161" s="72">
        <v>0</v>
      </c>
      <c r="Z161" s="72">
        <v>0</v>
      </c>
      <c r="AA161" s="72">
        <v>0</v>
      </c>
      <c r="AB161" s="72">
        <v>0</v>
      </c>
      <c r="AC161" s="72">
        <v>0</v>
      </c>
      <c r="AD161" s="72">
        <v>0</v>
      </c>
      <c r="AE161" s="72">
        <v>0</v>
      </c>
      <c r="AF161" s="72">
        <v>0</v>
      </c>
      <c r="AG161" s="72">
        <v>0</v>
      </c>
      <c r="AH161" s="72">
        <v>0</v>
      </c>
      <c r="AI161" s="72">
        <v>327.64549602461756</v>
      </c>
      <c r="AJ161" s="72">
        <v>413.17299404603688</v>
      </c>
      <c r="AK161" s="72">
        <v>0</v>
      </c>
      <c r="AL161" s="72">
        <v>0</v>
      </c>
      <c r="AM161" s="72">
        <v>0</v>
      </c>
      <c r="AN161" s="72">
        <v>0</v>
      </c>
      <c r="AO161" s="72">
        <v>0</v>
      </c>
      <c r="AP161" s="72">
        <v>0</v>
      </c>
      <c r="AQ161" s="72">
        <v>0</v>
      </c>
      <c r="AR161" s="72">
        <v>0</v>
      </c>
      <c r="AS161" s="72">
        <v>0</v>
      </c>
      <c r="AT161" s="72">
        <v>0</v>
      </c>
      <c r="AU161" s="72">
        <v>0</v>
      </c>
      <c r="AV161" s="72">
        <v>0</v>
      </c>
      <c r="AW161" s="72">
        <v>0</v>
      </c>
      <c r="AX161" s="72">
        <v>0</v>
      </c>
      <c r="AY161" s="72">
        <v>0</v>
      </c>
      <c r="AZ161" s="72">
        <v>0</v>
      </c>
      <c r="BA161" s="72">
        <v>0</v>
      </c>
      <c r="BB161" s="72">
        <v>0</v>
      </c>
      <c r="BC161" s="72">
        <v>136.02430333860278</v>
      </c>
      <c r="BD161" s="72">
        <v>0.18999005411744255</v>
      </c>
      <c r="BE161" s="72">
        <v>1.8389703500374825</v>
      </c>
      <c r="BF161" s="72">
        <v>3.746185564080581</v>
      </c>
      <c r="BG161" s="72">
        <v>0</v>
      </c>
      <c r="BH161" s="72">
        <v>0.50867400570685484</v>
      </c>
      <c r="BI161" s="72">
        <v>0</v>
      </c>
      <c r="BJ161" s="72">
        <v>3.1492272510170496</v>
      </c>
      <c r="BK161" s="72">
        <v>0</v>
      </c>
      <c r="BL161" s="72">
        <v>0</v>
      </c>
      <c r="BM161" s="72">
        <v>0</v>
      </c>
      <c r="BN161" s="72">
        <v>0</v>
      </c>
      <c r="BO161" s="72">
        <v>0</v>
      </c>
      <c r="BP161" s="72">
        <v>0</v>
      </c>
      <c r="BQ161" s="72">
        <v>0</v>
      </c>
      <c r="BR161" s="72">
        <v>0</v>
      </c>
      <c r="BS161" s="72">
        <v>0</v>
      </c>
      <c r="BT161" s="72">
        <v>0</v>
      </c>
      <c r="BU161" s="72">
        <v>0</v>
      </c>
      <c r="BV161" s="72">
        <v>0</v>
      </c>
      <c r="BW161" s="72">
        <v>0</v>
      </c>
      <c r="BX161" s="72">
        <v>0</v>
      </c>
      <c r="BY161" s="72">
        <v>0</v>
      </c>
      <c r="BZ161" s="72">
        <v>0</v>
      </c>
      <c r="CA161" s="72">
        <v>0</v>
      </c>
      <c r="CB161" s="72">
        <v>0</v>
      </c>
      <c r="CC161" s="72">
        <v>0</v>
      </c>
      <c r="CD161" s="72">
        <v>0</v>
      </c>
      <c r="CE161" s="72">
        <v>0</v>
      </c>
      <c r="CF161" s="72">
        <v>0</v>
      </c>
      <c r="CG161" s="72">
        <v>0</v>
      </c>
      <c r="CH161" s="72">
        <v>0</v>
      </c>
      <c r="CI161" s="72">
        <v>0</v>
      </c>
      <c r="CJ161" s="72">
        <v>0</v>
      </c>
      <c r="CK161" s="72">
        <v>0</v>
      </c>
      <c r="CL161" s="72">
        <v>0</v>
      </c>
      <c r="CM161" s="72">
        <v>0</v>
      </c>
      <c r="CN161" s="72">
        <v>0</v>
      </c>
      <c r="CO161" s="72">
        <v>0</v>
      </c>
      <c r="CP161" s="72">
        <v>0</v>
      </c>
      <c r="CQ161" s="72">
        <v>0</v>
      </c>
      <c r="CR161" s="72">
        <v>0</v>
      </c>
      <c r="CS161" s="72">
        <v>0</v>
      </c>
      <c r="CT161" s="72">
        <v>0</v>
      </c>
      <c r="CU161" s="72">
        <v>0</v>
      </c>
      <c r="CV161" s="72">
        <v>0</v>
      </c>
      <c r="CW161" s="72">
        <v>0</v>
      </c>
      <c r="CX161" s="72">
        <v>0</v>
      </c>
      <c r="CY161" s="72">
        <v>0</v>
      </c>
      <c r="CZ161" s="72">
        <v>0</v>
      </c>
      <c r="DA161" s="72">
        <v>0</v>
      </c>
      <c r="DB161" s="72">
        <v>0</v>
      </c>
      <c r="DC161" s="72">
        <v>0</v>
      </c>
      <c r="DD161" s="72">
        <v>0</v>
      </c>
      <c r="DE161" s="72">
        <v>0</v>
      </c>
      <c r="DF161" s="72">
        <v>0</v>
      </c>
      <c r="DG161" s="72">
        <v>0</v>
      </c>
      <c r="DH161" s="72">
        <v>0</v>
      </c>
      <c r="DI161" s="72">
        <v>0</v>
      </c>
      <c r="DJ161" s="72">
        <v>0</v>
      </c>
      <c r="DK161" s="72">
        <v>0</v>
      </c>
      <c r="DL161" s="72">
        <v>0</v>
      </c>
      <c r="DM161" s="72">
        <v>0</v>
      </c>
      <c r="DN161" s="72">
        <v>0</v>
      </c>
      <c r="DO161" s="72">
        <v>0</v>
      </c>
      <c r="DP161" s="72">
        <v>0</v>
      </c>
      <c r="DQ161" s="72">
        <v>0</v>
      </c>
      <c r="DR161" s="72">
        <v>0</v>
      </c>
      <c r="DS161" s="72">
        <v>0</v>
      </c>
      <c r="DT161" s="72">
        <v>0</v>
      </c>
      <c r="DU161" s="72">
        <v>0</v>
      </c>
      <c r="DV161" s="72">
        <v>0</v>
      </c>
      <c r="DW161" s="72">
        <v>0</v>
      </c>
      <c r="DX161" s="72">
        <v>0</v>
      </c>
      <c r="DY161" s="72">
        <v>0</v>
      </c>
      <c r="DZ161" s="72">
        <v>0</v>
      </c>
      <c r="EA161" s="72">
        <v>0</v>
      </c>
      <c r="EB161" s="72">
        <v>0</v>
      </c>
      <c r="EC161" s="72">
        <v>0</v>
      </c>
      <c r="ED161" s="72">
        <v>0</v>
      </c>
      <c r="EE161" s="72">
        <v>0</v>
      </c>
      <c r="EF161" s="72">
        <v>0</v>
      </c>
      <c r="EG161" s="72">
        <v>0</v>
      </c>
      <c r="EH161" s="72">
        <v>0</v>
      </c>
      <c r="EI161" s="72">
        <v>0</v>
      </c>
      <c r="EJ161" s="72">
        <v>0</v>
      </c>
      <c r="EK161" s="72">
        <v>0</v>
      </c>
      <c r="EL161" s="72">
        <v>0</v>
      </c>
      <c r="EM161" s="72">
        <v>0</v>
      </c>
      <c r="EN161" s="72">
        <v>0</v>
      </c>
      <c r="EO161" s="72">
        <v>0</v>
      </c>
      <c r="EP161" s="72">
        <v>0</v>
      </c>
      <c r="EQ161" s="72">
        <v>0</v>
      </c>
      <c r="ER161" s="72">
        <v>0</v>
      </c>
      <c r="ES161" s="72">
        <v>0</v>
      </c>
      <c r="ET161" s="72">
        <v>0</v>
      </c>
      <c r="EU161" s="72">
        <v>0</v>
      </c>
      <c r="EV161" s="72">
        <v>0</v>
      </c>
      <c r="EW161" s="72">
        <v>0</v>
      </c>
      <c r="EX161" s="72">
        <v>0</v>
      </c>
      <c r="EY161" s="72">
        <v>0</v>
      </c>
      <c r="EZ161" s="72">
        <v>0</v>
      </c>
      <c r="FA161" s="72">
        <v>0</v>
      </c>
      <c r="FB161" s="72">
        <v>0</v>
      </c>
      <c r="FC161" s="72">
        <v>0</v>
      </c>
      <c r="FD161" s="72">
        <v>0</v>
      </c>
      <c r="FE161" s="72">
        <v>0</v>
      </c>
      <c r="FF161" s="72">
        <v>0</v>
      </c>
      <c r="FG161" s="72">
        <v>0</v>
      </c>
      <c r="FH161" s="72">
        <v>0</v>
      </c>
      <c r="FI161" s="72">
        <v>0</v>
      </c>
      <c r="FJ161" s="72">
        <v>0</v>
      </c>
      <c r="FK161" s="72">
        <v>0</v>
      </c>
      <c r="FL161" s="72">
        <v>0</v>
      </c>
      <c r="FM161" s="72">
        <v>0</v>
      </c>
      <c r="FN161" s="72">
        <v>0</v>
      </c>
      <c r="FO161" s="72">
        <v>0</v>
      </c>
      <c r="FP161" s="72">
        <v>0</v>
      </c>
      <c r="FQ161" s="72">
        <v>0</v>
      </c>
      <c r="FR161" s="72">
        <v>0</v>
      </c>
      <c r="FS161" s="72">
        <v>0</v>
      </c>
      <c r="FT161" s="72">
        <v>0</v>
      </c>
      <c r="FU161" s="72">
        <v>0</v>
      </c>
      <c r="FV161" s="74">
        <v>0</v>
      </c>
      <c r="FW161" s="74">
        <v>0</v>
      </c>
      <c r="FX161" s="74">
        <v>0</v>
      </c>
      <c r="FY161" s="74">
        <v>0</v>
      </c>
      <c r="FZ161" s="74">
        <v>0</v>
      </c>
      <c r="GA161" s="74">
        <v>0</v>
      </c>
      <c r="GB161" s="74">
        <v>0</v>
      </c>
      <c r="GC161" s="74">
        <v>0</v>
      </c>
      <c r="GD161" s="74">
        <v>0</v>
      </c>
      <c r="GE161" s="74">
        <v>0</v>
      </c>
      <c r="GF161" s="74">
        <v>0</v>
      </c>
      <c r="GG161" s="74">
        <v>0</v>
      </c>
      <c r="GH161" s="74">
        <v>0</v>
      </c>
      <c r="GI161" s="74">
        <v>0</v>
      </c>
      <c r="GJ161" s="72">
        <v>0</v>
      </c>
      <c r="GK161" s="72">
        <v>0</v>
      </c>
      <c r="GL161" s="72">
        <v>0</v>
      </c>
      <c r="GM161" s="72">
        <v>0</v>
      </c>
      <c r="GN161" s="72">
        <v>0</v>
      </c>
      <c r="GO161" s="72">
        <v>31081.299214852435</v>
      </c>
      <c r="GP161" s="72">
        <v>-0.30115812840085709</v>
      </c>
      <c r="GQ161" s="72">
        <v>14774.523699172638</v>
      </c>
      <c r="GR161" s="72">
        <f t="shared" si="2"/>
        <v>46741.797596530887</v>
      </c>
      <c r="GS161" s="72">
        <f>SUM(FB$5:FB$202)</f>
        <v>46741.797596530887</v>
      </c>
      <c r="GT161" s="73">
        <v>0</v>
      </c>
    </row>
    <row r="162" spans="1:202" outlineLevel="1" x14ac:dyDescent="0.2">
      <c r="A162" s="66" t="s">
        <v>1204</v>
      </c>
      <c r="B162" s="72">
        <v>0</v>
      </c>
      <c r="C162" s="72">
        <v>0</v>
      </c>
      <c r="D162" s="72">
        <v>101.09924178840826</v>
      </c>
      <c r="E162" s="72">
        <v>3717.277176048724</v>
      </c>
      <c r="F162" s="72">
        <v>2972.8755749672027</v>
      </c>
      <c r="G162" s="72">
        <v>16774.272325273749</v>
      </c>
      <c r="H162" s="72">
        <v>1863.415839295563</v>
      </c>
      <c r="I162" s="72">
        <v>2687.0555143675961</v>
      </c>
      <c r="J162" s="72">
        <v>779.04656113229385</v>
      </c>
      <c r="K162" s="72">
        <v>172.32530624485727</v>
      </c>
      <c r="L162" s="72">
        <v>203.27822623328134</v>
      </c>
      <c r="M162" s="72">
        <v>30.547055629156407</v>
      </c>
      <c r="N162" s="72">
        <v>73.552197394739451</v>
      </c>
      <c r="O162" s="72">
        <v>195.46615808690586</v>
      </c>
      <c r="P162" s="72">
        <v>1431.264286522159</v>
      </c>
      <c r="Q162" s="72">
        <v>740.76936433586741</v>
      </c>
      <c r="R162" s="72">
        <v>653.86531403982849</v>
      </c>
      <c r="S162" s="72">
        <v>627.73226257337194</v>
      </c>
      <c r="T162" s="72">
        <v>1396.8188765519942</v>
      </c>
      <c r="U162" s="72">
        <v>188.27985374465385</v>
      </c>
      <c r="V162" s="72">
        <v>337.92295660903636</v>
      </c>
      <c r="W162" s="72">
        <v>39.999600732245099</v>
      </c>
      <c r="X162" s="72">
        <v>906.91124124483406</v>
      </c>
      <c r="Y162" s="72">
        <v>584.4065430553502</v>
      </c>
      <c r="Z162" s="72">
        <v>460.04264598899942</v>
      </c>
      <c r="AA162" s="72">
        <v>804.56984414105614</v>
      </c>
      <c r="AB162" s="72">
        <v>284.06985151418877</v>
      </c>
      <c r="AC162" s="72">
        <v>93.649577521316246</v>
      </c>
      <c r="AD162" s="72">
        <v>124.57319052408531</v>
      </c>
      <c r="AE162" s="72">
        <v>1026.2009267658618</v>
      </c>
      <c r="AF162" s="72">
        <v>172.08884637927454</v>
      </c>
      <c r="AG162" s="72">
        <v>166.17272353116113</v>
      </c>
      <c r="AH162" s="72">
        <v>169.88396768714449</v>
      </c>
      <c r="AI162" s="72">
        <v>714.69212774180289</v>
      </c>
      <c r="AJ162" s="72">
        <v>137.80877382672256</v>
      </c>
      <c r="AK162" s="72">
        <v>3121.5594987445893</v>
      </c>
      <c r="AL162" s="72">
        <v>12713.338016327731</v>
      </c>
      <c r="AM162" s="72">
        <v>5598.2538200992767</v>
      </c>
      <c r="AN162" s="72">
        <v>5030.2975729109903</v>
      </c>
      <c r="AO162" s="72">
        <v>3943.6105582647588</v>
      </c>
      <c r="AP162" s="72">
        <v>1783.3007670457332</v>
      </c>
      <c r="AQ162" s="72">
        <v>63.684506316520348</v>
      </c>
      <c r="AR162" s="72">
        <v>1642.8346278042802</v>
      </c>
      <c r="AS162" s="72">
        <v>1838.3276684693774</v>
      </c>
      <c r="AT162" s="72">
        <v>9540.0686786042879</v>
      </c>
      <c r="AU162" s="72">
        <v>1197.3274051467729</v>
      </c>
      <c r="AV162" s="72">
        <v>13675.932335998017</v>
      </c>
      <c r="AW162" s="72">
        <v>4480.5693459732011</v>
      </c>
      <c r="AX162" s="72">
        <v>2782.7169064917116</v>
      </c>
      <c r="AY162" s="72">
        <v>342.65917626000112</v>
      </c>
      <c r="AZ162" s="72">
        <v>1235.9547588920573</v>
      </c>
      <c r="BA162" s="72">
        <v>497.79007806975721</v>
      </c>
      <c r="BB162" s="72">
        <v>8674.3086769703041</v>
      </c>
      <c r="BC162" s="72">
        <v>6610.9712695164744</v>
      </c>
      <c r="BD162" s="72">
        <v>980.96369853094279</v>
      </c>
      <c r="BE162" s="72">
        <v>5313.0180040475761</v>
      </c>
      <c r="BF162" s="72">
        <v>166.37345505806292</v>
      </c>
      <c r="BG162" s="72">
        <v>535.04331374428068</v>
      </c>
      <c r="BH162" s="72">
        <v>2601.4863386371148</v>
      </c>
      <c r="BI162" s="72">
        <v>71.183197580772983</v>
      </c>
      <c r="BJ162" s="72">
        <v>2922.9202728441264</v>
      </c>
      <c r="BK162" s="72">
        <v>0</v>
      </c>
      <c r="BL162" s="72">
        <v>0</v>
      </c>
      <c r="BM162" s="72">
        <v>0</v>
      </c>
      <c r="BN162" s="72">
        <v>0</v>
      </c>
      <c r="BO162" s="72">
        <v>0</v>
      </c>
      <c r="BP162" s="72">
        <v>0</v>
      </c>
      <c r="BQ162" s="72">
        <v>0</v>
      </c>
      <c r="BR162" s="72">
        <v>0</v>
      </c>
      <c r="BS162" s="72">
        <v>0</v>
      </c>
      <c r="BT162" s="72">
        <v>0</v>
      </c>
      <c r="BU162" s="72">
        <v>0</v>
      </c>
      <c r="BV162" s="72">
        <v>0</v>
      </c>
      <c r="BW162" s="72">
        <v>0</v>
      </c>
      <c r="BX162" s="72">
        <v>0</v>
      </c>
      <c r="BY162" s="72">
        <v>0</v>
      </c>
      <c r="BZ162" s="72">
        <v>0</v>
      </c>
      <c r="CA162" s="72">
        <v>0</v>
      </c>
      <c r="CB162" s="72">
        <v>0</v>
      </c>
      <c r="CC162" s="72">
        <v>0</v>
      </c>
      <c r="CD162" s="72">
        <v>0</v>
      </c>
      <c r="CE162" s="72">
        <v>0</v>
      </c>
      <c r="CF162" s="72">
        <v>0</v>
      </c>
      <c r="CG162" s="72">
        <v>0</v>
      </c>
      <c r="CH162" s="72">
        <v>0</v>
      </c>
      <c r="CI162" s="72">
        <v>0</v>
      </c>
      <c r="CJ162" s="72">
        <v>0</v>
      </c>
      <c r="CK162" s="72">
        <v>0</v>
      </c>
      <c r="CL162" s="72">
        <v>0</v>
      </c>
      <c r="CM162" s="72">
        <v>0</v>
      </c>
      <c r="CN162" s="72">
        <v>0</v>
      </c>
      <c r="CO162" s="72">
        <v>0</v>
      </c>
      <c r="CP162" s="72">
        <v>0</v>
      </c>
      <c r="CQ162" s="72">
        <v>0</v>
      </c>
      <c r="CR162" s="72">
        <v>0</v>
      </c>
      <c r="CS162" s="72">
        <v>0</v>
      </c>
      <c r="CT162" s="72">
        <v>0</v>
      </c>
      <c r="CU162" s="72">
        <v>0</v>
      </c>
      <c r="CV162" s="72">
        <v>0</v>
      </c>
      <c r="CW162" s="72">
        <v>0</v>
      </c>
      <c r="CX162" s="72">
        <v>0</v>
      </c>
      <c r="CY162" s="72">
        <v>0</v>
      </c>
      <c r="CZ162" s="72">
        <v>0</v>
      </c>
      <c r="DA162" s="72">
        <v>0</v>
      </c>
      <c r="DB162" s="72">
        <v>0</v>
      </c>
      <c r="DC162" s="72">
        <v>0</v>
      </c>
      <c r="DD162" s="72">
        <v>0</v>
      </c>
      <c r="DE162" s="72">
        <v>0</v>
      </c>
      <c r="DF162" s="72">
        <v>0</v>
      </c>
      <c r="DG162" s="72">
        <v>0</v>
      </c>
      <c r="DH162" s="72">
        <v>0</v>
      </c>
      <c r="DI162" s="72">
        <v>0</v>
      </c>
      <c r="DJ162" s="72">
        <v>0</v>
      </c>
      <c r="DK162" s="72">
        <v>0</v>
      </c>
      <c r="DL162" s="72">
        <v>0</v>
      </c>
      <c r="DM162" s="72">
        <v>0</v>
      </c>
      <c r="DN162" s="72">
        <v>0</v>
      </c>
      <c r="DO162" s="72">
        <v>0</v>
      </c>
      <c r="DP162" s="72">
        <v>0</v>
      </c>
      <c r="DQ162" s="72">
        <v>0</v>
      </c>
      <c r="DR162" s="72">
        <v>0</v>
      </c>
      <c r="DS162" s="72">
        <v>0</v>
      </c>
      <c r="DT162" s="72">
        <v>0</v>
      </c>
      <c r="DU162" s="72">
        <v>0</v>
      </c>
      <c r="DV162" s="72">
        <v>0</v>
      </c>
      <c r="DW162" s="72">
        <v>0</v>
      </c>
      <c r="DX162" s="72">
        <v>0</v>
      </c>
      <c r="DY162" s="72">
        <v>0</v>
      </c>
      <c r="DZ162" s="72">
        <v>0</v>
      </c>
      <c r="EA162" s="72">
        <v>0</v>
      </c>
      <c r="EB162" s="72">
        <v>0</v>
      </c>
      <c r="EC162" s="72">
        <v>0</v>
      </c>
      <c r="ED162" s="72">
        <v>0</v>
      </c>
      <c r="EE162" s="72">
        <v>0</v>
      </c>
      <c r="EF162" s="72">
        <v>0</v>
      </c>
      <c r="EG162" s="72">
        <v>0</v>
      </c>
      <c r="EH162" s="72">
        <v>0</v>
      </c>
      <c r="EI162" s="72">
        <v>0</v>
      </c>
      <c r="EJ162" s="72">
        <v>0</v>
      </c>
      <c r="EK162" s="72">
        <v>0</v>
      </c>
      <c r="EL162" s="72">
        <v>0</v>
      </c>
      <c r="EM162" s="72">
        <v>0</v>
      </c>
      <c r="EN162" s="72">
        <v>0</v>
      </c>
      <c r="EO162" s="72">
        <v>0</v>
      </c>
      <c r="EP162" s="72">
        <v>0</v>
      </c>
      <c r="EQ162" s="72">
        <v>0</v>
      </c>
      <c r="ER162" s="72">
        <v>0</v>
      </c>
      <c r="ES162" s="72">
        <v>0</v>
      </c>
      <c r="ET162" s="72">
        <v>0</v>
      </c>
      <c r="EU162" s="72">
        <v>0</v>
      </c>
      <c r="EV162" s="72">
        <v>0</v>
      </c>
      <c r="EW162" s="72">
        <v>0</v>
      </c>
      <c r="EX162" s="72">
        <v>0</v>
      </c>
      <c r="EY162" s="72">
        <v>0</v>
      </c>
      <c r="EZ162" s="72">
        <v>0</v>
      </c>
      <c r="FA162" s="72">
        <v>0</v>
      </c>
      <c r="FB162" s="72">
        <v>0</v>
      </c>
      <c r="FC162" s="72">
        <v>0</v>
      </c>
      <c r="FD162" s="72">
        <v>0</v>
      </c>
      <c r="FE162" s="72">
        <v>0</v>
      </c>
      <c r="FF162" s="72">
        <v>0</v>
      </c>
      <c r="FG162" s="72">
        <v>0</v>
      </c>
      <c r="FH162" s="72">
        <v>0</v>
      </c>
      <c r="FI162" s="72">
        <v>0</v>
      </c>
      <c r="FJ162" s="72">
        <v>0</v>
      </c>
      <c r="FK162" s="72">
        <v>0</v>
      </c>
      <c r="FL162" s="72">
        <v>0</v>
      </c>
      <c r="FM162" s="72">
        <v>0</v>
      </c>
      <c r="FN162" s="72">
        <v>0</v>
      </c>
      <c r="FO162" s="72">
        <v>0</v>
      </c>
      <c r="FP162" s="72">
        <v>0</v>
      </c>
      <c r="FQ162" s="72">
        <v>0</v>
      </c>
      <c r="FR162" s="72">
        <v>0</v>
      </c>
      <c r="FS162" s="72">
        <v>0</v>
      </c>
      <c r="FT162" s="72">
        <v>0</v>
      </c>
      <c r="FU162" s="72">
        <v>0</v>
      </c>
      <c r="FV162" s="74">
        <v>0</v>
      </c>
      <c r="FW162" s="74">
        <v>0</v>
      </c>
      <c r="FX162" s="74">
        <v>0</v>
      </c>
      <c r="FY162" s="74">
        <v>0</v>
      </c>
      <c r="FZ162" s="74">
        <v>0</v>
      </c>
      <c r="GA162" s="74">
        <v>0</v>
      </c>
      <c r="GB162" s="74">
        <v>0</v>
      </c>
      <c r="GC162" s="74">
        <v>0</v>
      </c>
      <c r="GD162" s="74">
        <v>0</v>
      </c>
      <c r="GE162" s="74">
        <v>0</v>
      </c>
      <c r="GF162" s="74">
        <v>0</v>
      </c>
      <c r="GG162" s="74">
        <v>0</v>
      </c>
      <c r="GH162" s="74">
        <v>0</v>
      </c>
      <c r="GI162" s="74">
        <v>0</v>
      </c>
      <c r="GJ162" s="72">
        <v>0</v>
      </c>
      <c r="GK162" s="72">
        <v>0</v>
      </c>
      <c r="GL162" s="72">
        <v>0</v>
      </c>
      <c r="GM162" s="72">
        <v>0</v>
      </c>
      <c r="GN162" s="72">
        <v>0</v>
      </c>
      <c r="GO162" s="72">
        <v>5177.8397581617637</v>
      </c>
      <c r="GP162" s="72">
        <v>0.30115813872544095</v>
      </c>
      <c r="GQ162" s="72">
        <v>11626.193848163155</v>
      </c>
      <c r="GR162" s="72">
        <f t="shared" si="2"/>
        <v>154800.7626643058</v>
      </c>
      <c r="GS162" s="72">
        <f>SUM(FC$5:FC$202)</f>
        <v>154800.76266430577</v>
      </c>
      <c r="GT162" s="73">
        <v>0</v>
      </c>
    </row>
    <row r="163" spans="1:202" outlineLevel="1" x14ac:dyDescent="0.2">
      <c r="A163" s="66" t="s">
        <v>1211</v>
      </c>
      <c r="B163" s="72">
        <v>29673.49924373029</v>
      </c>
      <c r="C163" s="72">
        <v>11.135795038767128</v>
      </c>
      <c r="D163" s="72">
        <v>219.71897574315418</v>
      </c>
      <c r="E163" s="72">
        <v>6064.5566431775087</v>
      </c>
      <c r="F163" s="72">
        <v>4381.6862529033206</v>
      </c>
      <c r="G163" s="72">
        <v>24321.994315736447</v>
      </c>
      <c r="H163" s="72">
        <v>4286.800333645956</v>
      </c>
      <c r="I163" s="72">
        <v>9053.618067575946</v>
      </c>
      <c r="J163" s="72">
        <v>7363.3260000121609</v>
      </c>
      <c r="K163" s="72">
        <v>887.07216748671487</v>
      </c>
      <c r="L163" s="72">
        <v>1045.209784127537</v>
      </c>
      <c r="M163" s="72">
        <v>72.407492598434573</v>
      </c>
      <c r="N163" s="72">
        <v>188.98769676266411</v>
      </c>
      <c r="O163" s="72">
        <v>832.92243739683113</v>
      </c>
      <c r="P163" s="72">
        <v>3002.8932779579504</v>
      </c>
      <c r="Q163" s="72">
        <v>2364.0763116874905</v>
      </c>
      <c r="R163" s="72">
        <v>2671.7735367175173</v>
      </c>
      <c r="S163" s="72">
        <v>2313.3347772659235</v>
      </c>
      <c r="T163" s="72">
        <v>7038.6817374104467</v>
      </c>
      <c r="U163" s="72">
        <v>568.22976014697429</v>
      </c>
      <c r="V163" s="72">
        <v>961.51965277101078</v>
      </c>
      <c r="W163" s="72">
        <v>524.36195602963289</v>
      </c>
      <c r="X163" s="72">
        <v>2606.9662540477434</v>
      </c>
      <c r="Y163" s="72">
        <v>1909.2919774522259</v>
      </c>
      <c r="Z163" s="72">
        <v>2328.8053900201239</v>
      </c>
      <c r="AA163" s="72">
        <v>3156.2022469834037</v>
      </c>
      <c r="AB163" s="72">
        <v>787.5058730075807</v>
      </c>
      <c r="AC163" s="72">
        <v>331.32278969574077</v>
      </c>
      <c r="AD163" s="72">
        <v>447.67108737729654</v>
      </c>
      <c r="AE163" s="72">
        <v>3407.8993633721807</v>
      </c>
      <c r="AF163" s="72">
        <v>650.1545419152784</v>
      </c>
      <c r="AG163" s="72">
        <v>501.49430914327149</v>
      </c>
      <c r="AH163" s="72">
        <v>545.44625263402997</v>
      </c>
      <c r="AI163" s="72">
        <v>7726.9431322267983</v>
      </c>
      <c r="AJ163" s="72">
        <v>1963.7918624607632</v>
      </c>
      <c r="AK163" s="72">
        <v>5495.8903777566611</v>
      </c>
      <c r="AL163" s="72">
        <v>37093.237435398092</v>
      </c>
      <c r="AM163" s="72">
        <v>18275.083853670687</v>
      </c>
      <c r="AN163" s="72">
        <v>15867.489084240362</v>
      </c>
      <c r="AO163" s="72">
        <v>14895.553470285395</v>
      </c>
      <c r="AP163" s="72">
        <v>4644.5077161511681</v>
      </c>
      <c r="AQ163" s="72">
        <v>427.20736615308942</v>
      </c>
      <c r="AR163" s="72">
        <v>1951.0780840799634</v>
      </c>
      <c r="AS163" s="72">
        <v>8042.5364460796081</v>
      </c>
      <c r="AT163" s="72">
        <v>22179.753413808678</v>
      </c>
      <c r="AU163" s="72">
        <v>30381.102113329631</v>
      </c>
      <c r="AV163" s="72">
        <v>23740.136339626308</v>
      </c>
      <c r="AW163" s="72">
        <v>26048.049930688281</v>
      </c>
      <c r="AX163" s="72">
        <v>17035.798872081214</v>
      </c>
      <c r="AY163" s="72">
        <v>9462.4836315350985</v>
      </c>
      <c r="AZ163" s="72">
        <v>34569.231612178628</v>
      </c>
      <c r="BA163" s="72">
        <v>2988.762655153379</v>
      </c>
      <c r="BB163" s="72">
        <v>115291.74707190528</v>
      </c>
      <c r="BC163" s="72">
        <v>23795.723737834844</v>
      </c>
      <c r="BD163" s="72">
        <v>2442.4741991422725</v>
      </c>
      <c r="BE163" s="72">
        <v>10725.381870208139</v>
      </c>
      <c r="BF163" s="72">
        <v>2128.0173856551396</v>
      </c>
      <c r="BG163" s="72">
        <v>3783.1422623771714</v>
      </c>
      <c r="BH163" s="72">
        <v>6663.0601687961243</v>
      </c>
      <c r="BI163" s="72">
        <v>207.14481509539044</v>
      </c>
      <c r="BJ163" s="72">
        <v>8925.9987738023265</v>
      </c>
      <c r="BK163" s="72">
        <v>0</v>
      </c>
      <c r="BL163" s="72">
        <v>0</v>
      </c>
      <c r="BM163" s="72">
        <v>0</v>
      </c>
      <c r="BN163" s="72">
        <v>0</v>
      </c>
      <c r="BO163" s="72">
        <v>0</v>
      </c>
      <c r="BP163" s="72">
        <v>0</v>
      </c>
      <c r="BQ163" s="72">
        <v>0</v>
      </c>
      <c r="BR163" s="72">
        <v>0</v>
      </c>
      <c r="BS163" s="72">
        <v>0</v>
      </c>
      <c r="BT163" s="72">
        <v>0</v>
      </c>
      <c r="BU163" s="72">
        <v>0</v>
      </c>
      <c r="BV163" s="72">
        <v>0</v>
      </c>
      <c r="BW163" s="72">
        <v>0</v>
      </c>
      <c r="BX163" s="72">
        <v>0</v>
      </c>
      <c r="BY163" s="72">
        <v>0</v>
      </c>
      <c r="BZ163" s="72">
        <v>0</v>
      </c>
      <c r="CA163" s="72">
        <v>0</v>
      </c>
      <c r="CB163" s="72">
        <v>0</v>
      </c>
      <c r="CC163" s="72">
        <v>0</v>
      </c>
      <c r="CD163" s="72">
        <v>0</v>
      </c>
      <c r="CE163" s="72">
        <v>0</v>
      </c>
      <c r="CF163" s="72">
        <v>0</v>
      </c>
      <c r="CG163" s="72">
        <v>0</v>
      </c>
      <c r="CH163" s="72">
        <v>0</v>
      </c>
      <c r="CI163" s="72">
        <v>0</v>
      </c>
      <c r="CJ163" s="72">
        <v>0</v>
      </c>
      <c r="CK163" s="72">
        <v>0</v>
      </c>
      <c r="CL163" s="72">
        <v>0</v>
      </c>
      <c r="CM163" s="72">
        <v>0</v>
      </c>
      <c r="CN163" s="72">
        <v>0</v>
      </c>
      <c r="CO163" s="72">
        <v>0</v>
      </c>
      <c r="CP163" s="72">
        <v>0</v>
      </c>
      <c r="CQ163" s="72">
        <v>0</v>
      </c>
      <c r="CR163" s="72">
        <v>0</v>
      </c>
      <c r="CS163" s="72">
        <v>0</v>
      </c>
      <c r="CT163" s="72">
        <v>0</v>
      </c>
      <c r="CU163" s="72">
        <v>0</v>
      </c>
      <c r="CV163" s="72">
        <v>0</v>
      </c>
      <c r="CW163" s="72">
        <v>0</v>
      </c>
      <c r="CX163" s="72">
        <v>0</v>
      </c>
      <c r="CY163" s="72">
        <v>0</v>
      </c>
      <c r="CZ163" s="72">
        <v>0</v>
      </c>
      <c r="DA163" s="72">
        <v>0</v>
      </c>
      <c r="DB163" s="72">
        <v>0</v>
      </c>
      <c r="DC163" s="72">
        <v>0</v>
      </c>
      <c r="DD163" s="72">
        <v>0</v>
      </c>
      <c r="DE163" s="72">
        <v>0</v>
      </c>
      <c r="DF163" s="72">
        <v>0</v>
      </c>
      <c r="DG163" s="72">
        <v>0</v>
      </c>
      <c r="DH163" s="72">
        <v>0</v>
      </c>
      <c r="DI163" s="72">
        <v>0</v>
      </c>
      <c r="DJ163" s="72">
        <v>0</v>
      </c>
      <c r="DK163" s="72">
        <v>0</v>
      </c>
      <c r="DL163" s="72">
        <v>0</v>
      </c>
      <c r="DM163" s="72">
        <v>0</v>
      </c>
      <c r="DN163" s="72">
        <v>0</v>
      </c>
      <c r="DO163" s="72">
        <v>0</v>
      </c>
      <c r="DP163" s="72">
        <v>0</v>
      </c>
      <c r="DQ163" s="72">
        <v>0</v>
      </c>
      <c r="DR163" s="72">
        <v>0</v>
      </c>
      <c r="DS163" s="72">
        <v>0</v>
      </c>
      <c r="DT163" s="72">
        <v>0</v>
      </c>
      <c r="DU163" s="72">
        <v>0</v>
      </c>
      <c r="DV163" s="72">
        <v>0</v>
      </c>
      <c r="DW163" s="72">
        <v>0</v>
      </c>
      <c r="DX163" s="72">
        <v>0</v>
      </c>
      <c r="DY163" s="72">
        <v>0</v>
      </c>
      <c r="DZ163" s="72">
        <v>0</v>
      </c>
      <c r="EA163" s="72">
        <v>0</v>
      </c>
      <c r="EB163" s="72">
        <v>0</v>
      </c>
      <c r="EC163" s="72">
        <v>0</v>
      </c>
      <c r="ED163" s="72">
        <v>0</v>
      </c>
      <c r="EE163" s="72">
        <v>0</v>
      </c>
      <c r="EF163" s="72">
        <v>0</v>
      </c>
      <c r="EG163" s="72">
        <v>0</v>
      </c>
      <c r="EH163" s="72">
        <v>0</v>
      </c>
      <c r="EI163" s="72">
        <v>0</v>
      </c>
      <c r="EJ163" s="72">
        <v>0</v>
      </c>
      <c r="EK163" s="72">
        <v>0</v>
      </c>
      <c r="EL163" s="72">
        <v>0</v>
      </c>
      <c r="EM163" s="72">
        <v>0</v>
      </c>
      <c r="EN163" s="72">
        <v>0</v>
      </c>
      <c r="EO163" s="72">
        <v>0</v>
      </c>
      <c r="EP163" s="72">
        <v>0</v>
      </c>
      <c r="EQ163" s="72">
        <v>0</v>
      </c>
      <c r="ER163" s="72">
        <v>0</v>
      </c>
      <c r="ES163" s="72">
        <v>0</v>
      </c>
      <c r="ET163" s="72">
        <v>0</v>
      </c>
      <c r="EU163" s="72">
        <v>0</v>
      </c>
      <c r="EV163" s="72">
        <v>0</v>
      </c>
      <c r="EW163" s="72">
        <v>0</v>
      </c>
      <c r="EX163" s="72">
        <v>0</v>
      </c>
      <c r="EY163" s="72">
        <v>0</v>
      </c>
      <c r="EZ163" s="72">
        <v>0</v>
      </c>
      <c r="FA163" s="72">
        <v>0</v>
      </c>
      <c r="FB163" s="72">
        <v>0</v>
      </c>
      <c r="FC163" s="72">
        <v>0</v>
      </c>
      <c r="FD163" s="72">
        <v>0</v>
      </c>
      <c r="FE163" s="72">
        <v>0</v>
      </c>
      <c r="FF163" s="72">
        <v>0</v>
      </c>
      <c r="FG163" s="72">
        <v>0</v>
      </c>
      <c r="FH163" s="72">
        <v>0</v>
      </c>
      <c r="FI163" s="72">
        <v>0</v>
      </c>
      <c r="FJ163" s="72">
        <v>0</v>
      </c>
      <c r="FK163" s="72">
        <v>0</v>
      </c>
      <c r="FL163" s="72">
        <v>0</v>
      </c>
      <c r="FM163" s="72">
        <v>0</v>
      </c>
      <c r="FN163" s="72">
        <v>0</v>
      </c>
      <c r="FO163" s="72">
        <v>0</v>
      </c>
      <c r="FP163" s="72">
        <v>0</v>
      </c>
      <c r="FQ163" s="72">
        <v>0</v>
      </c>
      <c r="FR163" s="72">
        <v>0</v>
      </c>
      <c r="FS163" s="72">
        <v>0</v>
      </c>
      <c r="FT163" s="72">
        <v>0</v>
      </c>
      <c r="FU163" s="72">
        <v>0</v>
      </c>
      <c r="FV163" s="74">
        <v>4.1564151748664004</v>
      </c>
      <c r="FW163" s="74">
        <v>12.109698556864894</v>
      </c>
      <c r="FX163" s="74">
        <v>19.401747980770693</v>
      </c>
      <c r="FY163" s="74">
        <v>30.29332896731087</v>
      </c>
      <c r="FZ163" s="74">
        <v>103.32359936221661</v>
      </c>
      <c r="GA163" s="74">
        <v>167.02650173874349</v>
      </c>
      <c r="GB163" s="74">
        <v>260.24948966470015</v>
      </c>
      <c r="GC163" s="74">
        <v>501.12119982827323</v>
      </c>
      <c r="GD163" s="74">
        <v>1488.0934874936506</v>
      </c>
      <c r="GE163" s="74">
        <v>334.8781867936558</v>
      </c>
      <c r="GF163" s="74">
        <v>366.62165253100437</v>
      </c>
      <c r="GG163" s="74">
        <v>1324.6637017323633</v>
      </c>
      <c r="GH163" s="74">
        <v>781.89974564207432</v>
      </c>
      <c r="GI163" s="74">
        <v>1841.836472877852</v>
      </c>
      <c r="GJ163" s="72">
        <v>0</v>
      </c>
      <c r="GK163" s="72">
        <v>0</v>
      </c>
      <c r="GL163" s="72">
        <v>0</v>
      </c>
      <c r="GM163" s="72">
        <v>0</v>
      </c>
      <c r="GN163" s="72">
        <v>0</v>
      </c>
      <c r="GO163" s="72">
        <v>0</v>
      </c>
      <c r="GP163" s="72">
        <v>6.9849193096160889E-9</v>
      </c>
      <c r="GQ163" s="72">
        <v>22504.811808213544</v>
      </c>
      <c r="GR163" s="72">
        <f t="shared" si="2"/>
        <v>611012.3810198569</v>
      </c>
      <c r="GS163" s="72">
        <f>SUM(FD$5:FD$202)</f>
        <v>611012.38101985713</v>
      </c>
      <c r="GT163" s="73">
        <v>0</v>
      </c>
    </row>
    <row r="164" spans="1:202" outlineLevel="1" x14ac:dyDescent="0.2">
      <c r="A164" s="66" t="s">
        <v>1218</v>
      </c>
      <c r="B164" s="72">
        <v>1118.8538427124995</v>
      </c>
      <c r="C164" s="72">
        <v>26.908314068483751</v>
      </c>
      <c r="D164" s="72">
        <v>29.582459305133337</v>
      </c>
      <c r="E164" s="72">
        <v>221.72953557278447</v>
      </c>
      <c r="F164" s="72">
        <v>56.953035015311244</v>
      </c>
      <c r="G164" s="72">
        <v>105.76663972475593</v>
      </c>
      <c r="H164" s="72">
        <v>243.32474845632623</v>
      </c>
      <c r="I164" s="72">
        <v>801.21138269641847</v>
      </c>
      <c r="J164" s="72">
        <v>212.71329492058359</v>
      </c>
      <c r="K164" s="72">
        <v>108.00901726381473</v>
      </c>
      <c r="L164" s="72">
        <v>114.48722440646921</v>
      </c>
      <c r="M164" s="72">
        <v>16.863169849026157</v>
      </c>
      <c r="N164" s="72">
        <v>27.768232085274704</v>
      </c>
      <c r="O164" s="72">
        <v>152.68679485527548</v>
      </c>
      <c r="P164" s="72">
        <v>393.50207195847975</v>
      </c>
      <c r="Q164" s="72">
        <v>372.9884917110216</v>
      </c>
      <c r="R164" s="72">
        <v>183.77685091183355</v>
      </c>
      <c r="S164" s="72">
        <v>217.83688193161635</v>
      </c>
      <c r="T164" s="72">
        <v>508.93578957147747</v>
      </c>
      <c r="U164" s="72">
        <v>78.145785037207048</v>
      </c>
      <c r="V164" s="72">
        <v>237.37197515176146</v>
      </c>
      <c r="W164" s="72">
        <v>43.220654150020017</v>
      </c>
      <c r="X164" s="72">
        <v>316.04639902859941</v>
      </c>
      <c r="Y164" s="72">
        <v>165.45947620368602</v>
      </c>
      <c r="Z164" s="72">
        <v>357.17435635609286</v>
      </c>
      <c r="AA164" s="72">
        <v>544.1590949435116</v>
      </c>
      <c r="AB164" s="72">
        <v>185.3558942204574</v>
      </c>
      <c r="AC164" s="72">
        <v>71.805641111585999</v>
      </c>
      <c r="AD164" s="72">
        <v>87.614797115897431</v>
      </c>
      <c r="AE164" s="72">
        <v>297.50011855170885</v>
      </c>
      <c r="AF164" s="72">
        <v>78.635597255721436</v>
      </c>
      <c r="AG164" s="72">
        <v>104.37732217173064</v>
      </c>
      <c r="AH164" s="72">
        <v>119.56026874805158</v>
      </c>
      <c r="AI164" s="72">
        <v>1054.6133187949517</v>
      </c>
      <c r="AJ164" s="72">
        <v>427.1660313120509</v>
      </c>
      <c r="AK164" s="72">
        <v>1807.7451659517201</v>
      </c>
      <c r="AL164" s="72">
        <v>5503.951452375446</v>
      </c>
      <c r="AM164" s="72">
        <v>3568.8940076222289</v>
      </c>
      <c r="AN164" s="72">
        <v>2717.8338766932384</v>
      </c>
      <c r="AO164" s="72">
        <v>1392.6613957182092</v>
      </c>
      <c r="AP164" s="72">
        <v>1285.2769357186166</v>
      </c>
      <c r="AQ164" s="72">
        <v>31.760503679352439</v>
      </c>
      <c r="AR164" s="72">
        <v>516.12642697146759</v>
      </c>
      <c r="AS164" s="72">
        <v>3483.8922840072596</v>
      </c>
      <c r="AT164" s="72">
        <v>91015.691558653809</v>
      </c>
      <c r="AU164" s="72">
        <v>5513.30682604098</v>
      </c>
      <c r="AV164" s="72">
        <v>981.08716690940253</v>
      </c>
      <c r="AW164" s="72">
        <v>1374.3966529710601</v>
      </c>
      <c r="AX164" s="72">
        <v>2540.8611087609697</v>
      </c>
      <c r="AY164" s="72">
        <v>658.04958093666642</v>
      </c>
      <c r="AZ164" s="72">
        <v>2234.1187028535333</v>
      </c>
      <c r="BA164" s="72">
        <v>244.05185625585685</v>
      </c>
      <c r="BB164" s="72">
        <v>7679.6651869272628</v>
      </c>
      <c r="BC164" s="72">
        <v>20660.974675723035</v>
      </c>
      <c r="BD164" s="72">
        <v>355.20172292186191</v>
      </c>
      <c r="BE164" s="72">
        <v>4060.8572243240546</v>
      </c>
      <c r="BF164" s="72">
        <v>611.2099055043949</v>
      </c>
      <c r="BG164" s="72">
        <v>252.3180608915203</v>
      </c>
      <c r="BH164" s="72">
        <v>1165.5191720937939</v>
      </c>
      <c r="BI164" s="72">
        <v>119.93354026323985</v>
      </c>
      <c r="BJ164" s="72">
        <v>2732.7177754076856</v>
      </c>
      <c r="BK164" s="72">
        <v>0</v>
      </c>
      <c r="BL164" s="72">
        <v>0</v>
      </c>
      <c r="BM164" s="72">
        <v>0</v>
      </c>
      <c r="BN164" s="72">
        <v>0</v>
      </c>
      <c r="BO164" s="72">
        <v>0</v>
      </c>
      <c r="BP164" s="72">
        <v>0</v>
      </c>
      <c r="BQ164" s="72">
        <v>0</v>
      </c>
      <c r="BR164" s="72">
        <v>0</v>
      </c>
      <c r="BS164" s="72">
        <v>0</v>
      </c>
      <c r="BT164" s="72">
        <v>0</v>
      </c>
      <c r="BU164" s="72">
        <v>0</v>
      </c>
      <c r="BV164" s="72">
        <v>0</v>
      </c>
      <c r="BW164" s="72">
        <v>0</v>
      </c>
      <c r="BX164" s="72">
        <v>0</v>
      </c>
      <c r="BY164" s="72">
        <v>0</v>
      </c>
      <c r="BZ164" s="72">
        <v>0</v>
      </c>
      <c r="CA164" s="72">
        <v>0</v>
      </c>
      <c r="CB164" s="72">
        <v>0</v>
      </c>
      <c r="CC164" s="72">
        <v>0</v>
      </c>
      <c r="CD164" s="72">
        <v>0</v>
      </c>
      <c r="CE164" s="72">
        <v>0</v>
      </c>
      <c r="CF164" s="72">
        <v>0</v>
      </c>
      <c r="CG164" s="72">
        <v>0</v>
      </c>
      <c r="CH164" s="72">
        <v>0</v>
      </c>
      <c r="CI164" s="72">
        <v>0</v>
      </c>
      <c r="CJ164" s="72">
        <v>0</v>
      </c>
      <c r="CK164" s="72">
        <v>0</v>
      </c>
      <c r="CL164" s="72">
        <v>0</v>
      </c>
      <c r="CM164" s="72">
        <v>0</v>
      </c>
      <c r="CN164" s="72">
        <v>0</v>
      </c>
      <c r="CO164" s="72">
        <v>0</v>
      </c>
      <c r="CP164" s="72">
        <v>0</v>
      </c>
      <c r="CQ164" s="72">
        <v>0</v>
      </c>
      <c r="CR164" s="72">
        <v>0</v>
      </c>
      <c r="CS164" s="72">
        <v>0</v>
      </c>
      <c r="CT164" s="72">
        <v>0</v>
      </c>
      <c r="CU164" s="72">
        <v>0</v>
      </c>
      <c r="CV164" s="72">
        <v>0</v>
      </c>
      <c r="CW164" s="72">
        <v>0</v>
      </c>
      <c r="CX164" s="72">
        <v>0</v>
      </c>
      <c r="CY164" s="72">
        <v>0</v>
      </c>
      <c r="CZ164" s="72">
        <v>0</v>
      </c>
      <c r="DA164" s="72">
        <v>0</v>
      </c>
      <c r="DB164" s="72">
        <v>0</v>
      </c>
      <c r="DC164" s="72">
        <v>0</v>
      </c>
      <c r="DD164" s="72">
        <v>0</v>
      </c>
      <c r="DE164" s="72">
        <v>0</v>
      </c>
      <c r="DF164" s="72">
        <v>0</v>
      </c>
      <c r="DG164" s="72">
        <v>0</v>
      </c>
      <c r="DH164" s="72">
        <v>0</v>
      </c>
      <c r="DI164" s="72">
        <v>0</v>
      </c>
      <c r="DJ164" s="72">
        <v>0</v>
      </c>
      <c r="DK164" s="72">
        <v>0</v>
      </c>
      <c r="DL164" s="72">
        <v>0</v>
      </c>
      <c r="DM164" s="72">
        <v>0</v>
      </c>
      <c r="DN164" s="72">
        <v>0</v>
      </c>
      <c r="DO164" s="72">
        <v>0</v>
      </c>
      <c r="DP164" s="72">
        <v>0</v>
      </c>
      <c r="DQ164" s="72">
        <v>0</v>
      </c>
      <c r="DR164" s="72">
        <v>0</v>
      </c>
      <c r="DS164" s="72">
        <v>0</v>
      </c>
      <c r="DT164" s="72">
        <v>0</v>
      </c>
      <c r="DU164" s="72">
        <v>0</v>
      </c>
      <c r="DV164" s="72">
        <v>0</v>
      </c>
      <c r="DW164" s="72">
        <v>0</v>
      </c>
      <c r="DX164" s="72">
        <v>0</v>
      </c>
      <c r="DY164" s="72">
        <v>0</v>
      </c>
      <c r="DZ164" s="72">
        <v>0</v>
      </c>
      <c r="EA164" s="72">
        <v>0</v>
      </c>
      <c r="EB164" s="72">
        <v>0</v>
      </c>
      <c r="EC164" s="72">
        <v>0</v>
      </c>
      <c r="ED164" s="72">
        <v>0</v>
      </c>
      <c r="EE164" s="72">
        <v>0</v>
      </c>
      <c r="EF164" s="72">
        <v>0</v>
      </c>
      <c r="EG164" s="72">
        <v>0</v>
      </c>
      <c r="EH164" s="72">
        <v>0</v>
      </c>
      <c r="EI164" s="72">
        <v>0</v>
      </c>
      <c r="EJ164" s="72">
        <v>0</v>
      </c>
      <c r="EK164" s="72">
        <v>0</v>
      </c>
      <c r="EL164" s="72">
        <v>0</v>
      </c>
      <c r="EM164" s="72">
        <v>0</v>
      </c>
      <c r="EN164" s="72">
        <v>0</v>
      </c>
      <c r="EO164" s="72">
        <v>0</v>
      </c>
      <c r="EP164" s="72">
        <v>0</v>
      </c>
      <c r="EQ164" s="72">
        <v>0</v>
      </c>
      <c r="ER164" s="72">
        <v>0</v>
      </c>
      <c r="ES164" s="72">
        <v>0</v>
      </c>
      <c r="ET164" s="72">
        <v>0</v>
      </c>
      <c r="EU164" s="72">
        <v>0</v>
      </c>
      <c r="EV164" s="72">
        <v>0</v>
      </c>
      <c r="EW164" s="72">
        <v>0</v>
      </c>
      <c r="EX164" s="72">
        <v>0</v>
      </c>
      <c r="EY164" s="72">
        <v>0</v>
      </c>
      <c r="EZ164" s="72">
        <v>0</v>
      </c>
      <c r="FA164" s="72">
        <v>0</v>
      </c>
      <c r="FB164" s="72">
        <v>0</v>
      </c>
      <c r="FC164" s="72">
        <v>0</v>
      </c>
      <c r="FD164" s="72">
        <v>0</v>
      </c>
      <c r="FE164" s="72">
        <v>0</v>
      </c>
      <c r="FF164" s="72">
        <v>0</v>
      </c>
      <c r="FG164" s="72">
        <v>0</v>
      </c>
      <c r="FH164" s="72">
        <v>0</v>
      </c>
      <c r="FI164" s="72">
        <v>0</v>
      </c>
      <c r="FJ164" s="72">
        <v>0</v>
      </c>
      <c r="FK164" s="72">
        <v>0</v>
      </c>
      <c r="FL164" s="72">
        <v>0</v>
      </c>
      <c r="FM164" s="72">
        <v>0</v>
      </c>
      <c r="FN164" s="72">
        <v>0</v>
      </c>
      <c r="FO164" s="72">
        <v>0</v>
      </c>
      <c r="FP164" s="72">
        <v>0</v>
      </c>
      <c r="FQ164" s="72">
        <v>0</v>
      </c>
      <c r="FR164" s="72">
        <v>0</v>
      </c>
      <c r="FS164" s="72">
        <v>0</v>
      </c>
      <c r="FT164" s="72">
        <v>0</v>
      </c>
      <c r="FU164" s="72">
        <v>0</v>
      </c>
      <c r="FV164" s="74">
        <v>1958.4450404557676</v>
      </c>
      <c r="FW164" s="74">
        <v>2823.1848395931538</v>
      </c>
      <c r="FX164" s="74">
        <v>3478.7931350037707</v>
      </c>
      <c r="FY164" s="74">
        <v>4225.1681814277099</v>
      </c>
      <c r="FZ164" s="74">
        <v>5065.9813072250117</v>
      </c>
      <c r="GA164" s="74">
        <v>6615.2519748612394</v>
      </c>
      <c r="GB164" s="74">
        <v>8613.6742292615199</v>
      </c>
      <c r="GC164" s="74">
        <v>12213.762014660508</v>
      </c>
      <c r="GD164" s="74">
        <v>19497.455390703108</v>
      </c>
      <c r="GE164" s="74">
        <v>4481.647352513045</v>
      </c>
      <c r="GF164" s="74">
        <v>5317.9675084114433</v>
      </c>
      <c r="GG164" s="74">
        <v>6046.6728794656474</v>
      </c>
      <c r="GH164" s="74">
        <v>6878.8428381153717</v>
      </c>
      <c r="GI164" s="74">
        <v>9164.7335531522403</v>
      </c>
      <c r="GJ164" s="72">
        <v>0</v>
      </c>
      <c r="GK164" s="72">
        <v>0</v>
      </c>
      <c r="GL164" s="72">
        <v>0</v>
      </c>
      <c r="GM164" s="72">
        <v>0</v>
      </c>
      <c r="GN164" s="72">
        <v>0</v>
      </c>
      <c r="GO164" s="72">
        <v>0</v>
      </c>
      <c r="GP164" s="72">
        <v>1.4901161193847656E-8</v>
      </c>
      <c r="GQ164" s="72">
        <v>6713.799567054496</v>
      </c>
      <c r="GR164" s="72">
        <f t="shared" si="2"/>
        <v>274685.58708526526</v>
      </c>
      <c r="GS164" s="72">
        <f>SUM(FE$5:FE$202)</f>
        <v>274685.58708526514</v>
      </c>
      <c r="GT164" s="73">
        <v>0</v>
      </c>
    </row>
    <row r="165" spans="1:202" outlineLevel="1" x14ac:dyDescent="0.2">
      <c r="A165" s="66" t="s">
        <v>1225</v>
      </c>
      <c r="B165" s="72">
        <v>13201.500703219217</v>
      </c>
      <c r="C165" s="72">
        <v>984.58988417132127</v>
      </c>
      <c r="D165" s="72">
        <v>355.99632104222871</v>
      </c>
      <c r="E165" s="72">
        <v>14377.874433442794</v>
      </c>
      <c r="F165" s="72">
        <v>4971.9503021330456</v>
      </c>
      <c r="G165" s="72">
        <v>22677.444321595329</v>
      </c>
      <c r="H165" s="72">
        <v>12488.039884834296</v>
      </c>
      <c r="I165" s="72">
        <v>5310.4085444693792</v>
      </c>
      <c r="J165" s="72">
        <v>2247.0379989971029</v>
      </c>
      <c r="K165" s="72">
        <v>377.74046774267265</v>
      </c>
      <c r="L165" s="72">
        <v>259.27354455650311</v>
      </c>
      <c r="M165" s="72">
        <v>98.804455698505819</v>
      </c>
      <c r="N165" s="72">
        <v>54.547367328616012</v>
      </c>
      <c r="O165" s="72">
        <v>829.88418801281716</v>
      </c>
      <c r="P165" s="72">
        <v>2322.1225751418992</v>
      </c>
      <c r="Q165" s="72">
        <v>896.56298008804606</v>
      </c>
      <c r="R165" s="72">
        <v>3830.3697030869735</v>
      </c>
      <c r="S165" s="72">
        <v>2923.5376766319851</v>
      </c>
      <c r="T165" s="72">
        <v>2278.5634902184997</v>
      </c>
      <c r="U165" s="72">
        <v>511.95900671865172</v>
      </c>
      <c r="V165" s="72">
        <v>1011.9347373495164</v>
      </c>
      <c r="W165" s="72">
        <v>394.2836839064928</v>
      </c>
      <c r="X165" s="72">
        <v>1145.1819843100782</v>
      </c>
      <c r="Y165" s="72">
        <v>4130.2241483430162</v>
      </c>
      <c r="Z165" s="72">
        <v>1303.4460699070439</v>
      </c>
      <c r="AA165" s="72">
        <v>1137.9775366636977</v>
      </c>
      <c r="AB165" s="72">
        <v>433.29409620454754</v>
      </c>
      <c r="AC165" s="72">
        <v>134.51405875290905</v>
      </c>
      <c r="AD165" s="72">
        <v>132.31314242464737</v>
      </c>
      <c r="AE165" s="72">
        <v>1216.5439927493528</v>
      </c>
      <c r="AF165" s="72">
        <v>276.80983617000652</v>
      </c>
      <c r="AG165" s="72">
        <v>194.16884554476198</v>
      </c>
      <c r="AH165" s="72">
        <v>441.97751484491386</v>
      </c>
      <c r="AI165" s="72">
        <v>35005.266594876121</v>
      </c>
      <c r="AJ165" s="72">
        <v>7050.9383949951389</v>
      </c>
      <c r="AK165" s="72">
        <v>5806.2713524457613</v>
      </c>
      <c r="AL165" s="72">
        <v>10755.958485309407</v>
      </c>
      <c r="AM165" s="72">
        <v>10805.532864936004</v>
      </c>
      <c r="AN165" s="72">
        <v>4491.9888552810989</v>
      </c>
      <c r="AO165" s="72">
        <v>9474.087034967175</v>
      </c>
      <c r="AP165" s="72">
        <v>12911.476224275093</v>
      </c>
      <c r="AQ165" s="72">
        <v>411.14497572815458</v>
      </c>
      <c r="AR165" s="72">
        <v>4207.5000431445542</v>
      </c>
      <c r="AS165" s="72">
        <v>18014.419279609181</v>
      </c>
      <c r="AT165" s="72">
        <v>13024.166912697989</v>
      </c>
      <c r="AU165" s="72">
        <v>976.32595158418326</v>
      </c>
      <c r="AV165" s="72">
        <v>1698.90469473641</v>
      </c>
      <c r="AW165" s="72">
        <v>684.78914844771793</v>
      </c>
      <c r="AX165" s="72">
        <v>4913.4465050791587</v>
      </c>
      <c r="AY165" s="72">
        <v>3515.4360759609467</v>
      </c>
      <c r="AZ165" s="72">
        <v>9436.4436078957169</v>
      </c>
      <c r="BA165" s="72">
        <v>694.02388547928217</v>
      </c>
      <c r="BB165" s="72">
        <v>32486.925661866131</v>
      </c>
      <c r="BC165" s="72">
        <v>26790.162784395234</v>
      </c>
      <c r="BD165" s="72">
        <v>1713.235457866693</v>
      </c>
      <c r="BE165" s="72">
        <v>12156.679877736886</v>
      </c>
      <c r="BF165" s="72">
        <v>7826.854532416879</v>
      </c>
      <c r="BG165" s="72">
        <v>897.83857910138397</v>
      </c>
      <c r="BH165" s="72">
        <v>2824.8668114589073</v>
      </c>
      <c r="BI165" s="72">
        <v>155.31312129519765</v>
      </c>
      <c r="BJ165" s="72">
        <v>8404.3143658514909</v>
      </c>
      <c r="BK165" s="72">
        <v>0</v>
      </c>
      <c r="BL165" s="72">
        <v>0</v>
      </c>
      <c r="BM165" s="72">
        <v>0</v>
      </c>
      <c r="BN165" s="72">
        <v>0</v>
      </c>
      <c r="BO165" s="72">
        <v>0</v>
      </c>
      <c r="BP165" s="72">
        <v>0</v>
      </c>
      <c r="BQ165" s="72">
        <v>0</v>
      </c>
      <c r="BR165" s="72">
        <v>0</v>
      </c>
      <c r="BS165" s="72">
        <v>0</v>
      </c>
      <c r="BT165" s="72">
        <v>0</v>
      </c>
      <c r="BU165" s="72">
        <v>0</v>
      </c>
      <c r="BV165" s="72">
        <v>0</v>
      </c>
      <c r="BW165" s="72">
        <v>0</v>
      </c>
      <c r="BX165" s="72">
        <v>0</v>
      </c>
      <c r="BY165" s="72">
        <v>0</v>
      </c>
      <c r="BZ165" s="72">
        <v>0</v>
      </c>
      <c r="CA165" s="72">
        <v>0</v>
      </c>
      <c r="CB165" s="72">
        <v>0</v>
      </c>
      <c r="CC165" s="72">
        <v>0</v>
      </c>
      <c r="CD165" s="72">
        <v>0</v>
      </c>
      <c r="CE165" s="72">
        <v>0</v>
      </c>
      <c r="CF165" s="72">
        <v>0</v>
      </c>
      <c r="CG165" s="72">
        <v>0</v>
      </c>
      <c r="CH165" s="72">
        <v>0</v>
      </c>
      <c r="CI165" s="72">
        <v>0</v>
      </c>
      <c r="CJ165" s="72">
        <v>0</v>
      </c>
      <c r="CK165" s="72">
        <v>0</v>
      </c>
      <c r="CL165" s="72">
        <v>0</v>
      </c>
      <c r="CM165" s="72">
        <v>0</v>
      </c>
      <c r="CN165" s="72">
        <v>0</v>
      </c>
      <c r="CO165" s="72">
        <v>0</v>
      </c>
      <c r="CP165" s="72">
        <v>0</v>
      </c>
      <c r="CQ165" s="72">
        <v>0</v>
      </c>
      <c r="CR165" s="72">
        <v>0</v>
      </c>
      <c r="CS165" s="72">
        <v>0</v>
      </c>
      <c r="CT165" s="72">
        <v>0</v>
      </c>
      <c r="CU165" s="72">
        <v>0</v>
      </c>
      <c r="CV165" s="72">
        <v>0</v>
      </c>
      <c r="CW165" s="72">
        <v>0</v>
      </c>
      <c r="CX165" s="72">
        <v>0</v>
      </c>
      <c r="CY165" s="72">
        <v>0</v>
      </c>
      <c r="CZ165" s="72">
        <v>0</v>
      </c>
      <c r="DA165" s="72">
        <v>0</v>
      </c>
      <c r="DB165" s="72">
        <v>0</v>
      </c>
      <c r="DC165" s="72">
        <v>0</v>
      </c>
      <c r="DD165" s="72">
        <v>0</v>
      </c>
      <c r="DE165" s="72">
        <v>0</v>
      </c>
      <c r="DF165" s="72">
        <v>0</v>
      </c>
      <c r="DG165" s="72">
        <v>0</v>
      </c>
      <c r="DH165" s="72">
        <v>0</v>
      </c>
      <c r="DI165" s="72">
        <v>0</v>
      </c>
      <c r="DJ165" s="72">
        <v>0</v>
      </c>
      <c r="DK165" s="72">
        <v>0</v>
      </c>
      <c r="DL165" s="72">
        <v>0</v>
      </c>
      <c r="DM165" s="72">
        <v>0</v>
      </c>
      <c r="DN165" s="72">
        <v>0</v>
      </c>
      <c r="DO165" s="72">
        <v>0</v>
      </c>
      <c r="DP165" s="72">
        <v>0</v>
      </c>
      <c r="DQ165" s="72">
        <v>0</v>
      </c>
      <c r="DR165" s="72">
        <v>0</v>
      </c>
      <c r="DS165" s="72">
        <v>0</v>
      </c>
      <c r="DT165" s="72">
        <v>0</v>
      </c>
      <c r="DU165" s="72">
        <v>0</v>
      </c>
      <c r="DV165" s="72">
        <v>0</v>
      </c>
      <c r="DW165" s="72">
        <v>0</v>
      </c>
      <c r="DX165" s="72">
        <v>0</v>
      </c>
      <c r="DY165" s="72">
        <v>0</v>
      </c>
      <c r="DZ165" s="72">
        <v>0</v>
      </c>
      <c r="EA165" s="72">
        <v>0</v>
      </c>
      <c r="EB165" s="72">
        <v>0</v>
      </c>
      <c r="EC165" s="72">
        <v>0</v>
      </c>
      <c r="ED165" s="72">
        <v>0</v>
      </c>
      <c r="EE165" s="72">
        <v>0</v>
      </c>
      <c r="EF165" s="72">
        <v>0</v>
      </c>
      <c r="EG165" s="72">
        <v>0</v>
      </c>
      <c r="EH165" s="72">
        <v>0</v>
      </c>
      <c r="EI165" s="72">
        <v>0</v>
      </c>
      <c r="EJ165" s="72">
        <v>0</v>
      </c>
      <c r="EK165" s="72">
        <v>0</v>
      </c>
      <c r="EL165" s="72">
        <v>0</v>
      </c>
      <c r="EM165" s="72">
        <v>0</v>
      </c>
      <c r="EN165" s="72">
        <v>0</v>
      </c>
      <c r="EO165" s="72">
        <v>0</v>
      </c>
      <c r="EP165" s="72">
        <v>0</v>
      </c>
      <c r="EQ165" s="72">
        <v>0</v>
      </c>
      <c r="ER165" s="72">
        <v>0</v>
      </c>
      <c r="ES165" s="72">
        <v>0</v>
      </c>
      <c r="ET165" s="72">
        <v>0</v>
      </c>
      <c r="EU165" s="72">
        <v>0</v>
      </c>
      <c r="EV165" s="72">
        <v>0</v>
      </c>
      <c r="EW165" s="72">
        <v>0</v>
      </c>
      <c r="EX165" s="72">
        <v>0</v>
      </c>
      <c r="EY165" s="72">
        <v>0</v>
      </c>
      <c r="EZ165" s="72">
        <v>0</v>
      </c>
      <c r="FA165" s="72">
        <v>0</v>
      </c>
      <c r="FB165" s="72">
        <v>0</v>
      </c>
      <c r="FC165" s="72">
        <v>0</v>
      </c>
      <c r="FD165" s="72">
        <v>0</v>
      </c>
      <c r="FE165" s="72">
        <v>0</v>
      </c>
      <c r="FF165" s="72">
        <v>0</v>
      </c>
      <c r="FG165" s="72">
        <v>0</v>
      </c>
      <c r="FH165" s="72">
        <v>0</v>
      </c>
      <c r="FI165" s="72">
        <v>0</v>
      </c>
      <c r="FJ165" s="72">
        <v>0</v>
      </c>
      <c r="FK165" s="72">
        <v>0</v>
      </c>
      <c r="FL165" s="72">
        <v>0</v>
      </c>
      <c r="FM165" s="72">
        <v>0</v>
      </c>
      <c r="FN165" s="72">
        <v>0</v>
      </c>
      <c r="FO165" s="72">
        <v>0</v>
      </c>
      <c r="FP165" s="72">
        <v>0</v>
      </c>
      <c r="FQ165" s="72">
        <v>0</v>
      </c>
      <c r="FR165" s="72">
        <v>0</v>
      </c>
      <c r="FS165" s="72">
        <v>0</v>
      </c>
      <c r="FT165" s="72">
        <v>0</v>
      </c>
      <c r="FU165" s="72">
        <v>0</v>
      </c>
      <c r="FV165" s="74">
        <v>571.52021639596296</v>
      </c>
      <c r="FW165" s="74">
        <v>1145.5087891347109</v>
      </c>
      <c r="FX165" s="74">
        <v>1680.4328933838849</v>
      </c>
      <c r="FY165" s="74">
        <v>2503.2696612768659</v>
      </c>
      <c r="FZ165" s="74">
        <v>2750.5483634547063</v>
      </c>
      <c r="GA165" s="74">
        <v>3512.3455820054023</v>
      </c>
      <c r="GB165" s="74">
        <v>6580.9316961405311</v>
      </c>
      <c r="GC165" s="74">
        <v>9860.2588726255053</v>
      </c>
      <c r="GD165" s="74">
        <v>18287.719807213001</v>
      </c>
      <c r="GE165" s="74">
        <v>5768.5555440236849</v>
      </c>
      <c r="GF165" s="74">
        <v>6376.9980554449803</v>
      </c>
      <c r="GG165" s="74">
        <v>7491.1224157625002</v>
      </c>
      <c r="GH165" s="74">
        <v>11319.749768450656</v>
      </c>
      <c r="GI165" s="74">
        <v>22275.587557748175</v>
      </c>
      <c r="GJ165" s="72">
        <v>0</v>
      </c>
      <c r="GK165" s="72">
        <v>0</v>
      </c>
      <c r="GL165" s="72">
        <v>0</v>
      </c>
      <c r="GM165" s="72">
        <v>0</v>
      </c>
      <c r="GN165" s="72">
        <v>0</v>
      </c>
      <c r="GO165" s="72">
        <v>0</v>
      </c>
      <c r="GP165" s="72">
        <v>-1.100124791264534E-8</v>
      </c>
      <c r="GQ165" s="72">
        <v>9291.5139292116874</v>
      </c>
      <c r="GR165" s="72">
        <f t="shared" si="2"/>
        <v>459501.25272800017</v>
      </c>
      <c r="GS165" s="72">
        <f>SUM(FF$5:FF$202)</f>
        <v>459501.25272800005</v>
      </c>
      <c r="GT165" s="73">
        <v>0</v>
      </c>
    </row>
    <row r="166" spans="1:202" outlineLevel="1" x14ac:dyDescent="0.2">
      <c r="A166" s="66" t="s">
        <v>1233</v>
      </c>
      <c r="B166" s="72">
        <v>0</v>
      </c>
      <c r="C166" s="72">
        <v>0</v>
      </c>
      <c r="D166" s="72">
        <v>18.844898113227529</v>
      </c>
      <c r="E166" s="72">
        <v>785.24729246687684</v>
      </c>
      <c r="F166" s="72">
        <v>627.70038351012386</v>
      </c>
      <c r="G166" s="72">
        <v>2894.0192470457368</v>
      </c>
      <c r="H166" s="72">
        <v>393.35133736509613</v>
      </c>
      <c r="I166" s="72">
        <v>511.86601868300386</v>
      </c>
      <c r="J166" s="72">
        <v>148.42914948592374</v>
      </c>
      <c r="K166" s="72">
        <v>32.929538568901492</v>
      </c>
      <c r="L166" s="72">
        <v>38.796941597959645</v>
      </c>
      <c r="M166" s="72">
        <v>5.8427624602365515</v>
      </c>
      <c r="N166" s="72">
        <v>14.06359332542244</v>
      </c>
      <c r="O166" s="72">
        <v>37.25628684868957</v>
      </c>
      <c r="P166" s="72">
        <v>273.58589146417012</v>
      </c>
      <c r="Q166" s="72">
        <v>141.54072994020237</v>
      </c>
      <c r="R166" s="72">
        <v>124.26300727264852</v>
      </c>
      <c r="S166" s="72">
        <v>120.12737084175642</v>
      </c>
      <c r="T166" s="72">
        <v>266.64836178418352</v>
      </c>
      <c r="U166" s="72">
        <v>35.970283710869325</v>
      </c>
      <c r="V166" s="72">
        <v>64.590623739794367</v>
      </c>
      <c r="W166" s="72">
        <v>7.6178411353270974</v>
      </c>
      <c r="X166" s="72">
        <v>172.76821833794233</v>
      </c>
      <c r="Y166" s="72">
        <v>108.63665270169021</v>
      </c>
      <c r="Z166" s="72">
        <v>87.160157920097006</v>
      </c>
      <c r="AA166" s="72">
        <v>152.90563394317104</v>
      </c>
      <c r="AB166" s="72">
        <v>53.80920167132173</v>
      </c>
      <c r="AC166" s="72">
        <v>17.909515353947107</v>
      </c>
      <c r="AD166" s="72">
        <v>23.775519391363641</v>
      </c>
      <c r="AE166" s="72">
        <v>193.11322188289017</v>
      </c>
      <c r="AF166" s="72">
        <v>32.710753989417185</v>
      </c>
      <c r="AG166" s="72">
        <v>31.691032550129414</v>
      </c>
      <c r="AH166" s="72">
        <v>32.087178179413925</v>
      </c>
      <c r="AI166" s="72">
        <v>125.88554940229969</v>
      </c>
      <c r="AJ166" s="72">
        <v>21.271430415056944</v>
      </c>
      <c r="AK166" s="72">
        <v>593.9894690535308</v>
      </c>
      <c r="AL166" s="72">
        <v>2414.597297203894</v>
      </c>
      <c r="AM166" s="72">
        <v>1063.9439998671658</v>
      </c>
      <c r="AN166" s="72">
        <v>955.77099450308015</v>
      </c>
      <c r="AO166" s="72">
        <v>749.00029208944341</v>
      </c>
      <c r="AP166" s="72">
        <v>338.76623102924702</v>
      </c>
      <c r="AQ166" s="72">
        <v>12.111697253206026</v>
      </c>
      <c r="AR166" s="72">
        <v>821.8029103559569</v>
      </c>
      <c r="AS166" s="72">
        <v>349.52920585283226</v>
      </c>
      <c r="AT166" s="72">
        <v>1826.0734567406735</v>
      </c>
      <c r="AU166" s="72">
        <v>2572.5580884380261</v>
      </c>
      <c r="AV166" s="72">
        <v>1854.4580364973856</v>
      </c>
      <c r="AW166" s="72">
        <v>278.89163321368926</v>
      </c>
      <c r="AX166" s="72">
        <v>528.59902469998588</v>
      </c>
      <c r="AY166" s="72">
        <v>65.1249839025228</v>
      </c>
      <c r="AZ166" s="72">
        <v>235.04806515251425</v>
      </c>
      <c r="BA166" s="72">
        <v>94.555117970482812</v>
      </c>
      <c r="BB166" s="72">
        <v>1233.0174602685358</v>
      </c>
      <c r="BC166" s="72">
        <v>2846.3065601964072</v>
      </c>
      <c r="BD166" s="72">
        <v>1165.7696859045357</v>
      </c>
      <c r="BE166" s="72">
        <v>708.83082594151745</v>
      </c>
      <c r="BF166" s="72">
        <v>28.239547107242519</v>
      </c>
      <c r="BG166" s="72">
        <v>101.75743428293309</v>
      </c>
      <c r="BH166" s="72">
        <v>629.62034121218755</v>
      </c>
      <c r="BI166" s="72">
        <v>13.573709381303363</v>
      </c>
      <c r="BJ166" s="72">
        <v>694.41749764785118</v>
      </c>
      <c r="BK166" s="72">
        <v>0</v>
      </c>
      <c r="BL166" s="72">
        <v>0</v>
      </c>
      <c r="BM166" s="72">
        <v>0</v>
      </c>
      <c r="BN166" s="72">
        <v>0</v>
      </c>
      <c r="BO166" s="72">
        <v>0</v>
      </c>
      <c r="BP166" s="72">
        <v>0</v>
      </c>
      <c r="BQ166" s="72">
        <v>0</v>
      </c>
      <c r="BR166" s="72">
        <v>0</v>
      </c>
      <c r="BS166" s="72">
        <v>0</v>
      </c>
      <c r="BT166" s="72">
        <v>0</v>
      </c>
      <c r="BU166" s="72">
        <v>0</v>
      </c>
      <c r="BV166" s="72">
        <v>0</v>
      </c>
      <c r="BW166" s="72">
        <v>0</v>
      </c>
      <c r="BX166" s="72">
        <v>0</v>
      </c>
      <c r="BY166" s="72">
        <v>0</v>
      </c>
      <c r="BZ166" s="72">
        <v>0</v>
      </c>
      <c r="CA166" s="72">
        <v>0</v>
      </c>
      <c r="CB166" s="72">
        <v>0</v>
      </c>
      <c r="CC166" s="72">
        <v>0</v>
      </c>
      <c r="CD166" s="72">
        <v>0</v>
      </c>
      <c r="CE166" s="72">
        <v>0</v>
      </c>
      <c r="CF166" s="72">
        <v>0</v>
      </c>
      <c r="CG166" s="72">
        <v>0</v>
      </c>
      <c r="CH166" s="72">
        <v>0</v>
      </c>
      <c r="CI166" s="72">
        <v>0</v>
      </c>
      <c r="CJ166" s="72">
        <v>0</v>
      </c>
      <c r="CK166" s="72">
        <v>0</v>
      </c>
      <c r="CL166" s="72">
        <v>0</v>
      </c>
      <c r="CM166" s="72">
        <v>0</v>
      </c>
      <c r="CN166" s="72">
        <v>0</v>
      </c>
      <c r="CO166" s="72">
        <v>0</v>
      </c>
      <c r="CP166" s="72">
        <v>0</v>
      </c>
      <c r="CQ166" s="72">
        <v>0</v>
      </c>
      <c r="CR166" s="72">
        <v>0</v>
      </c>
      <c r="CS166" s="72">
        <v>0</v>
      </c>
      <c r="CT166" s="72">
        <v>0</v>
      </c>
      <c r="CU166" s="72">
        <v>0</v>
      </c>
      <c r="CV166" s="72">
        <v>0</v>
      </c>
      <c r="CW166" s="72">
        <v>0</v>
      </c>
      <c r="CX166" s="72">
        <v>0</v>
      </c>
      <c r="CY166" s="72">
        <v>0</v>
      </c>
      <c r="CZ166" s="72">
        <v>0</v>
      </c>
      <c r="DA166" s="72">
        <v>0</v>
      </c>
      <c r="DB166" s="72">
        <v>0</v>
      </c>
      <c r="DC166" s="72">
        <v>0</v>
      </c>
      <c r="DD166" s="72">
        <v>0</v>
      </c>
      <c r="DE166" s="72">
        <v>0</v>
      </c>
      <c r="DF166" s="72">
        <v>0</v>
      </c>
      <c r="DG166" s="72">
        <v>0</v>
      </c>
      <c r="DH166" s="72">
        <v>0</v>
      </c>
      <c r="DI166" s="72">
        <v>0</v>
      </c>
      <c r="DJ166" s="72">
        <v>0</v>
      </c>
      <c r="DK166" s="72">
        <v>0</v>
      </c>
      <c r="DL166" s="72">
        <v>0</v>
      </c>
      <c r="DM166" s="72">
        <v>0</v>
      </c>
      <c r="DN166" s="72">
        <v>0</v>
      </c>
      <c r="DO166" s="72">
        <v>0</v>
      </c>
      <c r="DP166" s="72">
        <v>0</v>
      </c>
      <c r="DQ166" s="72">
        <v>0</v>
      </c>
      <c r="DR166" s="72">
        <v>0</v>
      </c>
      <c r="DS166" s="72">
        <v>0</v>
      </c>
      <c r="DT166" s="72">
        <v>0</v>
      </c>
      <c r="DU166" s="72">
        <v>0</v>
      </c>
      <c r="DV166" s="72">
        <v>0</v>
      </c>
      <c r="DW166" s="72">
        <v>0</v>
      </c>
      <c r="DX166" s="72">
        <v>0</v>
      </c>
      <c r="DY166" s="72">
        <v>0</v>
      </c>
      <c r="DZ166" s="72">
        <v>0</v>
      </c>
      <c r="EA166" s="72">
        <v>0</v>
      </c>
      <c r="EB166" s="72">
        <v>0</v>
      </c>
      <c r="EC166" s="72">
        <v>0</v>
      </c>
      <c r="ED166" s="72">
        <v>0</v>
      </c>
      <c r="EE166" s="72">
        <v>0</v>
      </c>
      <c r="EF166" s="72">
        <v>0</v>
      </c>
      <c r="EG166" s="72">
        <v>0</v>
      </c>
      <c r="EH166" s="72">
        <v>0</v>
      </c>
      <c r="EI166" s="72">
        <v>0</v>
      </c>
      <c r="EJ166" s="72">
        <v>0</v>
      </c>
      <c r="EK166" s="72">
        <v>0</v>
      </c>
      <c r="EL166" s="72">
        <v>0</v>
      </c>
      <c r="EM166" s="72">
        <v>0</v>
      </c>
      <c r="EN166" s="72">
        <v>0</v>
      </c>
      <c r="EO166" s="72">
        <v>0</v>
      </c>
      <c r="EP166" s="72">
        <v>0</v>
      </c>
      <c r="EQ166" s="72">
        <v>0</v>
      </c>
      <c r="ER166" s="72">
        <v>0</v>
      </c>
      <c r="ES166" s="72">
        <v>0</v>
      </c>
      <c r="ET166" s="72">
        <v>0</v>
      </c>
      <c r="EU166" s="72">
        <v>0</v>
      </c>
      <c r="EV166" s="72">
        <v>0</v>
      </c>
      <c r="EW166" s="72">
        <v>0</v>
      </c>
      <c r="EX166" s="72">
        <v>0</v>
      </c>
      <c r="EY166" s="72">
        <v>0</v>
      </c>
      <c r="EZ166" s="72">
        <v>0</v>
      </c>
      <c r="FA166" s="72">
        <v>0</v>
      </c>
      <c r="FB166" s="72">
        <v>0</v>
      </c>
      <c r="FC166" s="72">
        <v>0</v>
      </c>
      <c r="FD166" s="72">
        <v>0</v>
      </c>
      <c r="FE166" s="72">
        <v>0</v>
      </c>
      <c r="FF166" s="72">
        <v>0</v>
      </c>
      <c r="FG166" s="72">
        <v>0</v>
      </c>
      <c r="FH166" s="72">
        <v>0</v>
      </c>
      <c r="FI166" s="72">
        <v>0</v>
      </c>
      <c r="FJ166" s="72">
        <v>0</v>
      </c>
      <c r="FK166" s="72">
        <v>0</v>
      </c>
      <c r="FL166" s="72">
        <v>0</v>
      </c>
      <c r="FM166" s="72">
        <v>0</v>
      </c>
      <c r="FN166" s="72">
        <v>0</v>
      </c>
      <c r="FO166" s="72">
        <v>0</v>
      </c>
      <c r="FP166" s="72">
        <v>0</v>
      </c>
      <c r="FQ166" s="72">
        <v>0</v>
      </c>
      <c r="FR166" s="72">
        <v>0</v>
      </c>
      <c r="FS166" s="72">
        <v>0</v>
      </c>
      <c r="FT166" s="72">
        <v>0</v>
      </c>
      <c r="FU166" s="72">
        <v>0</v>
      </c>
      <c r="FV166" s="74">
        <v>0</v>
      </c>
      <c r="FW166" s="74">
        <v>0</v>
      </c>
      <c r="FX166" s="74">
        <v>0</v>
      </c>
      <c r="FY166" s="74">
        <v>0</v>
      </c>
      <c r="FZ166" s="74">
        <v>0</v>
      </c>
      <c r="GA166" s="74">
        <v>0</v>
      </c>
      <c r="GB166" s="74">
        <v>0</v>
      </c>
      <c r="GC166" s="74">
        <v>0</v>
      </c>
      <c r="GD166" s="74">
        <v>0</v>
      </c>
      <c r="GE166" s="74">
        <v>0</v>
      </c>
      <c r="GF166" s="74">
        <v>0</v>
      </c>
      <c r="GG166" s="74">
        <v>0</v>
      </c>
      <c r="GH166" s="74">
        <v>0</v>
      </c>
      <c r="GI166" s="74">
        <v>0</v>
      </c>
      <c r="GJ166" s="72">
        <v>0</v>
      </c>
      <c r="GK166" s="72">
        <v>0</v>
      </c>
      <c r="GL166" s="72">
        <v>0</v>
      </c>
      <c r="GM166" s="72">
        <v>0</v>
      </c>
      <c r="GN166" s="72">
        <v>0</v>
      </c>
      <c r="GO166" s="72">
        <v>0</v>
      </c>
      <c r="GP166" s="72">
        <v>-5.2168616093695164E-9</v>
      </c>
      <c r="GQ166" s="72">
        <v>0</v>
      </c>
      <c r="GR166" s="72">
        <f t="shared" si="2"/>
        <v>29772.769190859817</v>
      </c>
      <c r="GS166" s="72">
        <f>SUM(FG$5:FG$202)</f>
        <v>29772.769190859821</v>
      </c>
      <c r="GT166" s="73">
        <v>0</v>
      </c>
    </row>
    <row r="167" spans="1:202" outlineLevel="1" x14ac:dyDescent="0.2">
      <c r="A167" s="66" t="s">
        <v>1240</v>
      </c>
      <c r="B167" s="72">
        <v>0</v>
      </c>
      <c r="C167" s="72">
        <v>0</v>
      </c>
      <c r="D167" s="72">
        <v>67.686356008955329</v>
      </c>
      <c r="E167" s="72">
        <v>2548.1733682366003</v>
      </c>
      <c r="F167" s="72">
        <v>2053.6908074031976</v>
      </c>
      <c r="G167" s="72">
        <v>9395.081403568598</v>
      </c>
      <c r="H167" s="72">
        <v>1290.8649798474403</v>
      </c>
      <c r="I167" s="72">
        <v>1655.5678794294681</v>
      </c>
      <c r="J167" s="72">
        <v>479.62091625615619</v>
      </c>
      <c r="K167" s="72">
        <v>103.3254671773561</v>
      </c>
      <c r="L167" s="72">
        <v>123.88678714263487</v>
      </c>
      <c r="M167" s="72">
        <v>18.054246055548454</v>
      </c>
      <c r="N167" s="72">
        <v>44.052500918408043</v>
      </c>
      <c r="O167" s="72">
        <v>122.19480733428264</v>
      </c>
      <c r="P167" s="72">
        <v>851.733475169249</v>
      </c>
      <c r="Q167" s="72">
        <v>441.36846998165913</v>
      </c>
      <c r="R167" s="72">
        <v>424.56228395480838</v>
      </c>
      <c r="S167" s="72">
        <v>373.74382817366853</v>
      </c>
      <c r="T167" s="72">
        <v>843.74632062185765</v>
      </c>
      <c r="U167" s="72">
        <v>113.27442866481822</v>
      </c>
      <c r="V167" s="72">
        <v>198.78325036176309</v>
      </c>
      <c r="W167" s="72">
        <v>24.169974519360601</v>
      </c>
      <c r="X167" s="72">
        <v>531.0542984660724</v>
      </c>
      <c r="Y167" s="72">
        <v>389.17971379084861</v>
      </c>
      <c r="Z167" s="72">
        <v>279.77947090125826</v>
      </c>
      <c r="AA167" s="72">
        <v>494.49797865227811</v>
      </c>
      <c r="AB167" s="72">
        <v>176.79094111657972</v>
      </c>
      <c r="AC167" s="72">
        <v>57.499920803458146</v>
      </c>
      <c r="AD167" s="72">
        <v>76.864986663908894</v>
      </c>
      <c r="AE167" s="72">
        <v>663.56211018201168</v>
      </c>
      <c r="AF167" s="72">
        <v>105.73827318201296</v>
      </c>
      <c r="AG167" s="72">
        <v>100.63990309552491</v>
      </c>
      <c r="AH167" s="72">
        <v>105.56342404780148</v>
      </c>
      <c r="AI167" s="72">
        <v>411.99679119503611</v>
      </c>
      <c r="AJ167" s="72">
        <v>69.667146567315825</v>
      </c>
      <c r="AK167" s="72">
        <v>1859.615044298409</v>
      </c>
      <c r="AL167" s="72">
        <v>7935.9378942398544</v>
      </c>
      <c r="AM167" s="72">
        <v>3468.8505062881204</v>
      </c>
      <c r="AN167" s="72">
        <v>3139.9660433379786</v>
      </c>
      <c r="AO167" s="72">
        <v>2989.5623592340307</v>
      </c>
      <c r="AP167" s="72">
        <v>1123.5076106500326</v>
      </c>
      <c r="AQ167" s="72">
        <v>40.242401559532091</v>
      </c>
      <c r="AR167" s="72">
        <v>997.22735357508373</v>
      </c>
      <c r="AS167" s="72">
        <v>1147.3530951849561</v>
      </c>
      <c r="AT167" s="72">
        <v>5846.3015701222794</v>
      </c>
      <c r="AU167" s="72">
        <v>0</v>
      </c>
      <c r="AV167" s="72">
        <v>1082.5296666201996</v>
      </c>
      <c r="AW167" s="72">
        <v>162.80145507967856</v>
      </c>
      <c r="AX167" s="72">
        <v>6234.096593398066</v>
      </c>
      <c r="AY167" s="72">
        <v>3736.292956813194</v>
      </c>
      <c r="AZ167" s="72">
        <v>12751.464099879531</v>
      </c>
      <c r="BA167" s="72">
        <v>833.4232369809107</v>
      </c>
      <c r="BB167" s="72">
        <v>20075.205104573288</v>
      </c>
      <c r="BC167" s="72">
        <v>4039.0052724457555</v>
      </c>
      <c r="BD167" s="72">
        <v>512.77819583538167</v>
      </c>
      <c r="BE167" s="72">
        <v>3752.2873300271831</v>
      </c>
      <c r="BF167" s="72">
        <v>311.87850140047112</v>
      </c>
      <c r="BG167" s="72">
        <v>335.4413752222452</v>
      </c>
      <c r="BH167" s="72">
        <v>1611.3866929751823</v>
      </c>
      <c r="BI167" s="72">
        <v>44.092487605715888</v>
      </c>
      <c r="BJ167" s="72">
        <v>2361.8188351211347</v>
      </c>
      <c r="BK167" s="72">
        <v>0</v>
      </c>
      <c r="BL167" s="72">
        <v>0</v>
      </c>
      <c r="BM167" s="72">
        <v>0</v>
      </c>
      <c r="BN167" s="72">
        <v>0</v>
      </c>
      <c r="BO167" s="72">
        <v>0</v>
      </c>
      <c r="BP167" s="72">
        <v>0</v>
      </c>
      <c r="BQ167" s="72">
        <v>0</v>
      </c>
      <c r="BR167" s="72">
        <v>0</v>
      </c>
      <c r="BS167" s="72">
        <v>0</v>
      </c>
      <c r="BT167" s="72">
        <v>0</v>
      </c>
      <c r="BU167" s="72">
        <v>0</v>
      </c>
      <c r="BV167" s="72">
        <v>0</v>
      </c>
      <c r="BW167" s="72">
        <v>0</v>
      </c>
      <c r="BX167" s="72">
        <v>0</v>
      </c>
      <c r="BY167" s="72">
        <v>0</v>
      </c>
      <c r="BZ167" s="72">
        <v>0</v>
      </c>
      <c r="CA167" s="72">
        <v>0</v>
      </c>
      <c r="CB167" s="72">
        <v>0</v>
      </c>
      <c r="CC167" s="72">
        <v>0</v>
      </c>
      <c r="CD167" s="72">
        <v>0</v>
      </c>
      <c r="CE167" s="72">
        <v>0</v>
      </c>
      <c r="CF167" s="72">
        <v>0</v>
      </c>
      <c r="CG167" s="72">
        <v>0</v>
      </c>
      <c r="CH167" s="72">
        <v>0</v>
      </c>
      <c r="CI167" s="72">
        <v>0</v>
      </c>
      <c r="CJ167" s="72">
        <v>0</v>
      </c>
      <c r="CK167" s="72">
        <v>0</v>
      </c>
      <c r="CL167" s="72">
        <v>0</v>
      </c>
      <c r="CM167" s="72">
        <v>0</v>
      </c>
      <c r="CN167" s="72">
        <v>0</v>
      </c>
      <c r="CO167" s="72">
        <v>0</v>
      </c>
      <c r="CP167" s="72">
        <v>0</v>
      </c>
      <c r="CQ167" s="72">
        <v>0</v>
      </c>
      <c r="CR167" s="72">
        <v>0</v>
      </c>
      <c r="CS167" s="72">
        <v>0</v>
      </c>
      <c r="CT167" s="72">
        <v>0</v>
      </c>
      <c r="CU167" s="72">
        <v>0</v>
      </c>
      <c r="CV167" s="72">
        <v>0</v>
      </c>
      <c r="CW167" s="72">
        <v>0</v>
      </c>
      <c r="CX167" s="72">
        <v>0</v>
      </c>
      <c r="CY167" s="72">
        <v>0</v>
      </c>
      <c r="CZ167" s="72">
        <v>0</v>
      </c>
      <c r="DA167" s="72">
        <v>0</v>
      </c>
      <c r="DB167" s="72">
        <v>0</v>
      </c>
      <c r="DC167" s="72">
        <v>0</v>
      </c>
      <c r="DD167" s="72">
        <v>0</v>
      </c>
      <c r="DE167" s="72">
        <v>0</v>
      </c>
      <c r="DF167" s="72">
        <v>0</v>
      </c>
      <c r="DG167" s="72">
        <v>0</v>
      </c>
      <c r="DH167" s="72">
        <v>0</v>
      </c>
      <c r="DI167" s="72">
        <v>0</v>
      </c>
      <c r="DJ167" s="72">
        <v>0</v>
      </c>
      <c r="DK167" s="72">
        <v>0</v>
      </c>
      <c r="DL167" s="72">
        <v>0</v>
      </c>
      <c r="DM167" s="72">
        <v>0</v>
      </c>
      <c r="DN167" s="72">
        <v>0</v>
      </c>
      <c r="DO167" s="72">
        <v>0</v>
      </c>
      <c r="DP167" s="72">
        <v>0</v>
      </c>
      <c r="DQ167" s="72">
        <v>0</v>
      </c>
      <c r="DR167" s="72">
        <v>0</v>
      </c>
      <c r="DS167" s="72">
        <v>0</v>
      </c>
      <c r="DT167" s="72">
        <v>0</v>
      </c>
      <c r="DU167" s="72">
        <v>0</v>
      </c>
      <c r="DV167" s="72">
        <v>0</v>
      </c>
      <c r="DW167" s="72">
        <v>0</v>
      </c>
      <c r="DX167" s="72">
        <v>0</v>
      </c>
      <c r="DY167" s="72">
        <v>0</v>
      </c>
      <c r="DZ167" s="72">
        <v>0</v>
      </c>
      <c r="EA167" s="72">
        <v>0</v>
      </c>
      <c r="EB167" s="72">
        <v>0</v>
      </c>
      <c r="EC167" s="72">
        <v>0</v>
      </c>
      <c r="ED167" s="72">
        <v>0</v>
      </c>
      <c r="EE167" s="72">
        <v>0</v>
      </c>
      <c r="EF167" s="72">
        <v>0</v>
      </c>
      <c r="EG167" s="72">
        <v>0</v>
      </c>
      <c r="EH167" s="72">
        <v>0</v>
      </c>
      <c r="EI167" s="72">
        <v>0</v>
      </c>
      <c r="EJ167" s="72">
        <v>0</v>
      </c>
      <c r="EK167" s="72">
        <v>0</v>
      </c>
      <c r="EL167" s="72">
        <v>0</v>
      </c>
      <c r="EM167" s="72">
        <v>0</v>
      </c>
      <c r="EN167" s="72">
        <v>0</v>
      </c>
      <c r="EO167" s="72">
        <v>0</v>
      </c>
      <c r="EP167" s="72">
        <v>0</v>
      </c>
      <c r="EQ167" s="72">
        <v>0</v>
      </c>
      <c r="ER167" s="72">
        <v>0</v>
      </c>
      <c r="ES167" s="72">
        <v>0</v>
      </c>
      <c r="ET167" s="72">
        <v>0</v>
      </c>
      <c r="EU167" s="72">
        <v>0</v>
      </c>
      <c r="EV167" s="72">
        <v>0</v>
      </c>
      <c r="EW167" s="72">
        <v>0</v>
      </c>
      <c r="EX167" s="72">
        <v>0</v>
      </c>
      <c r="EY167" s="72">
        <v>0</v>
      </c>
      <c r="EZ167" s="72">
        <v>0</v>
      </c>
      <c r="FA167" s="72">
        <v>0</v>
      </c>
      <c r="FB167" s="72">
        <v>0</v>
      </c>
      <c r="FC167" s="72">
        <v>0</v>
      </c>
      <c r="FD167" s="72">
        <v>0</v>
      </c>
      <c r="FE167" s="72">
        <v>0</v>
      </c>
      <c r="FF167" s="72">
        <v>0</v>
      </c>
      <c r="FG167" s="72">
        <v>0</v>
      </c>
      <c r="FH167" s="72">
        <v>0</v>
      </c>
      <c r="FI167" s="72">
        <v>0</v>
      </c>
      <c r="FJ167" s="72">
        <v>0</v>
      </c>
      <c r="FK167" s="72">
        <v>0</v>
      </c>
      <c r="FL167" s="72">
        <v>0</v>
      </c>
      <c r="FM167" s="72">
        <v>0</v>
      </c>
      <c r="FN167" s="72">
        <v>0</v>
      </c>
      <c r="FO167" s="72">
        <v>0</v>
      </c>
      <c r="FP167" s="72">
        <v>0</v>
      </c>
      <c r="FQ167" s="72">
        <v>0</v>
      </c>
      <c r="FR167" s="72">
        <v>0</v>
      </c>
      <c r="FS167" s="72">
        <v>0</v>
      </c>
      <c r="FT167" s="72">
        <v>0</v>
      </c>
      <c r="FU167" s="72">
        <v>0</v>
      </c>
      <c r="FV167" s="74">
        <v>53.183163080038966</v>
      </c>
      <c r="FW167" s="74">
        <v>107.28046009150538</v>
      </c>
      <c r="FX167" s="74">
        <v>167.45056113073716</v>
      </c>
      <c r="FY167" s="74">
        <v>249.226025870488</v>
      </c>
      <c r="FZ167" s="74">
        <v>448.21764748803952</v>
      </c>
      <c r="GA167" s="74">
        <v>519.63706370503382</v>
      </c>
      <c r="GB167" s="74">
        <v>837.73105689663464</v>
      </c>
      <c r="GC167" s="74">
        <v>1430.0921248801264</v>
      </c>
      <c r="GD167" s="74">
        <v>3086.2912103223916</v>
      </c>
      <c r="GE167" s="74">
        <v>807.69954981704575</v>
      </c>
      <c r="GF167" s="74">
        <v>945.14783058162106</v>
      </c>
      <c r="GG167" s="74">
        <v>1281.8201123506165</v>
      </c>
      <c r="GH167" s="74">
        <v>1461.9674768043722</v>
      </c>
      <c r="GI167" s="74">
        <v>2263.3654478125545</v>
      </c>
      <c r="GJ167" s="72">
        <v>621724.43243871199</v>
      </c>
      <c r="GK167" s="72">
        <v>0</v>
      </c>
      <c r="GL167" s="72">
        <v>0</v>
      </c>
      <c r="GM167" s="72">
        <v>0</v>
      </c>
      <c r="GN167" s="72">
        <v>0</v>
      </c>
      <c r="GO167" s="72">
        <v>0</v>
      </c>
      <c r="GP167" s="72">
        <v>-3.0267983675003052E-8</v>
      </c>
      <c r="GQ167" s="72">
        <v>8520.5313010893224</v>
      </c>
      <c r="GR167" s="72">
        <f t="shared" si="2"/>
        <v>754933.55566256039</v>
      </c>
      <c r="GS167" s="72">
        <f>SUM(FH$5:FH$202)</f>
        <v>754933.55566256039</v>
      </c>
      <c r="GT167" s="73">
        <v>0</v>
      </c>
    </row>
    <row r="168" spans="1:202" outlineLevel="1" x14ac:dyDescent="0.2">
      <c r="A168" s="66" t="s">
        <v>1247</v>
      </c>
      <c r="B168" s="72">
        <v>0</v>
      </c>
      <c r="C168" s="72">
        <v>66.804935325720876</v>
      </c>
      <c r="D168" s="72">
        <v>7.4748296150334248</v>
      </c>
      <c r="E168" s="72">
        <v>105.05943475524987</v>
      </c>
      <c r="F168" s="72">
        <v>174.40339976512223</v>
      </c>
      <c r="G168" s="72">
        <v>271.19997526951721</v>
      </c>
      <c r="H168" s="72">
        <v>452.67905360158795</v>
      </c>
      <c r="I168" s="72">
        <v>130.71260067594267</v>
      </c>
      <c r="J168" s="72">
        <v>140.30862497016193</v>
      </c>
      <c r="K168" s="72">
        <v>21.858219596166474</v>
      </c>
      <c r="L168" s="72">
        <v>26.461044896962804</v>
      </c>
      <c r="M168" s="72">
        <v>1.8738108460934912</v>
      </c>
      <c r="N168" s="72">
        <v>2.7055121349588891</v>
      </c>
      <c r="O168" s="72">
        <v>31.455215807840858</v>
      </c>
      <c r="P168" s="72">
        <v>67.438948410658668</v>
      </c>
      <c r="Q168" s="72">
        <v>83.497491149343546</v>
      </c>
      <c r="R168" s="72">
        <v>39.134885648416613</v>
      </c>
      <c r="S168" s="72">
        <v>34.720158942001504</v>
      </c>
      <c r="T168" s="72">
        <v>117.3309112191094</v>
      </c>
      <c r="U168" s="72">
        <v>25.352941029756593</v>
      </c>
      <c r="V168" s="72">
        <v>30.346618138379412</v>
      </c>
      <c r="W168" s="72">
        <v>13.361926165085563</v>
      </c>
      <c r="X168" s="72">
        <v>33.552107046879215</v>
      </c>
      <c r="Y168" s="72">
        <v>19.558954839590811</v>
      </c>
      <c r="Z168" s="72">
        <v>43.167873817242153</v>
      </c>
      <c r="AA168" s="72">
        <v>130.59087449180421</v>
      </c>
      <c r="AB168" s="72">
        <v>38.483351390907814</v>
      </c>
      <c r="AC168" s="72">
        <v>12.792725344019896</v>
      </c>
      <c r="AD168" s="72">
        <v>21.564655243525934</v>
      </c>
      <c r="AE168" s="72">
        <v>60.642492999388139</v>
      </c>
      <c r="AF168" s="72">
        <v>17.552833910714302</v>
      </c>
      <c r="AG168" s="72">
        <v>8.2842391065317997</v>
      </c>
      <c r="AH168" s="72">
        <v>4.1054519256833615</v>
      </c>
      <c r="AI168" s="72">
        <v>415.26096676133932</v>
      </c>
      <c r="AJ168" s="72">
        <v>200.09873066939781</v>
      </c>
      <c r="AK168" s="72">
        <v>542.94971311761276</v>
      </c>
      <c r="AL168" s="72">
        <v>502.94096611374147</v>
      </c>
      <c r="AM168" s="72">
        <v>259.33693628981968</v>
      </c>
      <c r="AN168" s="72">
        <v>252.82876911886893</v>
      </c>
      <c r="AO168" s="72">
        <v>189.98287852140203</v>
      </c>
      <c r="AP168" s="72">
        <v>173.23928731660078</v>
      </c>
      <c r="AQ168" s="72">
        <v>3.2574132258951503</v>
      </c>
      <c r="AR168" s="72">
        <v>143.51121074418074</v>
      </c>
      <c r="AS168" s="72">
        <v>221.40078441781804</v>
      </c>
      <c r="AT168" s="72">
        <v>363.30341302918595</v>
      </c>
      <c r="AU168" s="72">
        <v>0</v>
      </c>
      <c r="AV168" s="72">
        <v>0</v>
      </c>
      <c r="AW168" s="72">
        <v>0</v>
      </c>
      <c r="AX168" s="72">
        <v>1954.2045283096493</v>
      </c>
      <c r="AY168" s="72">
        <v>970.76648322053757</v>
      </c>
      <c r="AZ168" s="72">
        <v>3441.8704071552779</v>
      </c>
      <c r="BA168" s="72">
        <v>221.29511204766467</v>
      </c>
      <c r="BB168" s="72">
        <v>7557.8174122986384</v>
      </c>
      <c r="BC168" s="72">
        <v>2671.1800792198974</v>
      </c>
      <c r="BD168" s="72">
        <v>1548.7698994591951</v>
      </c>
      <c r="BE168" s="72">
        <v>584.22702608748591</v>
      </c>
      <c r="BF168" s="72">
        <v>49.112677759946585</v>
      </c>
      <c r="BG168" s="72">
        <v>42.073508868817669</v>
      </c>
      <c r="BH168" s="72">
        <v>48.753601192805554</v>
      </c>
      <c r="BI168" s="72">
        <v>7.4125742302084587</v>
      </c>
      <c r="BJ168" s="72">
        <v>142.19032388566322</v>
      </c>
      <c r="BK168" s="72">
        <v>0</v>
      </c>
      <c r="BL168" s="72">
        <v>0</v>
      </c>
      <c r="BM168" s="72">
        <v>0</v>
      </c>
      <c r="BN168" s="72">
        <v>0</v>
      </c>
      <c r="BO168" s="72">
        <v>0</v>
      </c>
      <c r="BP168" s="72">
        <v>0</v>
      </c>
      <c r="BQ168" s="72">
        <v>0</v>
      </c>
      <c r="BR168" s="72">
        <v>0</v>
      </c>
      <c r="BS168" s="72">
        <v>0</v>
      </c>
      <c r="BT168" s="72">
        <v>0</v>
      </c>
      <c r="BU168" s="72">
        <v>0</v>
      </c>
      <c r="BV168" s="72">
        <v>0</v>
      </c>
      <c r="BW168" s="72">
        <v>0</v>
      </c>
      <c r="BX168" s="72">
        <v>0</v>
      </c>
      <c r="BY168" s="72">
        <v>0</v>
      </c>
      <c r="BZ168" s="72">
        <v>0</v>
      </c>
      <c r="CA168" s="72">
        <v>0</v>
      </c>
      <c r="CB168" s="72">
        <v>0</v>
      </c>
      <c r="CC168" s="72">
        <v>0</v>
      </c>
      <c r="CD168" s="72">
        <v>0</v>
      </c>
      <c r="CE168" s="72">
        <v>0</v>
      </c>
      <c r="CF168" s="72">
        <v>0</v>
      </c>
      <c r="CG168" s="72">
        <v>0</v>
      </c>
      <c r="CH168" s="72">
        <v>0</v>
      </c>
      <c r="CI168" s="72">
        <v>0</v>
      </c>
      <c r="CJ168" s="72">
        <v>0</v>
      </c>
      <c r="CK168" s="72">
        <v>0</v>
      </c>
      <c r="CL168" s="72">
        <v>0</v>
      </c>
      <c r="CM168" s="72">
        <v>0</v>
      </c>
      <c r="CN168" s="72">
        <v>0</v>
      </c>
      <c r="CO168" s="72">
        <v>0</v>
      </c>
      <c r="CP168" s="72">
        <v>0</v>
      </c>
      <c r="CQ168" s="72">
        <v>0</v>
      </c>
      <c r="CR168" s="72">
        <v>0</v>
      </c>
      <c r="CS168" s="72">
        <v>0</v>
      </c>
      <c r="CT168" s="72">
        <v>0</v>
      </c>
      <c r="CU168" s="72">
        <v>0</v>
      </c>
      <c r="CV168" s="72">
        <v>0</v>
      </c>
      <c r="CW168" s="72">
        <v>0</v>
      </c>
      <c r="CX168" s="72">
        <v>0</v>
      </c>
      <c r="CY168" s="72">
        <v>0</v>
      </c>
      <c r="CZ168" s="72">
        <v>0</v>
      </c>
      <c r="DA168" s="72">
        <v>0</v>
      </c>
      <c r="DB168" s="72">
        <v>0</v>
      </c>
      <c r="DC168" s="72">
        <v>0</v>
      </c>
      <c r="DD168" s="72">
        <v>0</v>
      </c>
      <c r="DE168" s="72">
        <v>0</v>
      </c>
      <c r="DF168" s="72">
        <v>0</v>
      </c>
      <c r="DG168" s="72">
        <v>0</v>
      </c>
      <c r="DH168" s="72">
        <v>0</v>
      </c>
      <c r="DI168" s="72">
        <v>0</v>
      </c>
      <c r="DJ168" s="72">
        <v>0</v>
      </c>
      <c r="DK168" s="72">
        <v>0</v>
      </c>
      <c r="DL168" s="72">
        <v>0</v>
      </c>
      <c r="DM168" s="72">
        <v>0</v>
      </c>
      <c r="DN168" s="72">
        <v>0</v>
      </c>
      <c r="DO168" s="72">
        <v>0</v>
      </c>
      <c r="DP168" s="72">
        <v>0</v>
      </c>
      <c r="DQ168" s="72">
        <v>0</v>
      </c>
      <c r="DR168" s="72">
        <v>0</v>
      </c>
      <c r="DS168" s="72">
        <v>0</v>
      </c>
      <c r="DT168" s="72">
        <v>0</v>
      </c>
      <c r="DU168" s="72">
        <v>0</v>
      </c>
      <c r="DV168" s="72">
        <v>0</v>
      </c>
      <c r="DW168" s="72">
        <v>0</v>
      </c>
      <c r="DX168" s="72">
        <v>0</v>
      </c>
      <c r="DY168" s="72">
        <v>0</v>
      </c>
      <c r="DZ168" s="72">
        <v>0</v>
      </c>
      <c r="EA168" s="72">
        <v>0</v>
      </c>
      <c r="EB168" s="72">
        <v>0</v>
      </c>
      <c r="EC168" s="72">
        <v>0</v>
      </c>
      <c r="ED168" s="72">
        <v>0</v>
      </c>
      <c r="EE168" s="72">
        <v>0</v>
      </c>
      <c r="EF168" s="72">
        <v>0</v>
      </c>
      <c r="EG168" s="72">
        <v>0</v>
      </c>
      <c r="EH168" s="72">
        <v>0</v>
      </c>
      <c r="EI168" s="72">
        <v>0</v>
      </c>
      <c r="EJ168" s="72">
        <v>0</v>
      </c>
      <c r="EK168" s="72">
        <v>0</v>
      </c>
      <c r="EL168" s="72">
        <v>0</v>
      </c>
      <c r="EM168" s="72">
        <v>0</v>
      </c>
      <c r="EN168" s="72">
        <v>0</v>
      </c>
      <c r="EO168" s="72">
        <v>0</v>
      </c>
      <c r="EP168" s="72">
        <v>0</v>
      </c>
      <c r="EQ168" s="72">
        <v>0</v>
      </c>
      <c r="ER168" s="72">
        <v>0</v>
      </c>
      <c r="ES168" s="72">
        <v>0</v>
      </c>
      <c r="ET168" s="72">
        <v>0</v>
      </c>
      <c r="EU168" s="72">
        <v>0</v>
      </c>
      <c r="EV168" s="72">
        <v>0</v>
      </c>
      <c r="EW168" s="72">
        <v>0</v>
      </c>
      <c r="EX168" s="72">
        <v>0</v>
      </c>
      <c r="EY168" s="72">
        <v>0</v>
      </c>
      <c r="EZ168" s="72">
        <v>0</v>
      </c>
      <c r="FA168" s="72">
        <v>0</v>
      </c>
      <c r="FB168" s="72">
        <v>0</v>
      </c>
      <c r="FC168" s="72">
        <v>0</v>
      </c>
      <c r="FD168" s="72">
        <v>0</v>
      </c>
      <c r="FE168" s="72">
        <v>0</v>
      </c>
      <c r="FF168" s="72">
        <v>0</v>
      </c>
      <c r="FG168" s="72">
        <v>0</v>
      </c>
      <c r="FH168" s="72">
        <v>0</v>
      </c>
      <c r="FI168" s="72">
        <v>0</v>
      </c>
      <c r="FJ168" s="72">
        <v>0</v>
      </c>
      <c r="FK168" s="72">
        <v>0</v>
      </c>
      <c r="FL168" s="72">
        <v>0</v>
      </c>
      <c r="FM168" s="72">
        <v>0</v>
      </c>
      <c r="FN168" s="72">
        <v>0</v>
      </c>
      <c r="FO168" s="72">
        <v>0</v>
      </c>
      <c r="FP168" s="72">
        <v>0</v>
      </c>
      <c r="FQ168" s="72">
        <v>0</v>
      </c>
      <c r="FR168" s="72">
        <v>0</v>
      </c>
      <c r="FS168" s="72">
        <v>0</v>
      </c>
      <c r="FT168" s="72">
        <v>0</v>
      </c>
      <c r="FU168" s="72">
        <v>0</v>
      </c>
      <c r="FV168" s="74">
        <v>546.75528549860871</v>
      </c>
      <c r="FW168" s="74">
        <v>1321.9732923465115</v>
      </c>
      <c r="FX168" s="74">
        <v>1780.9272759237656</v>
      </c>
      <c r="FY168" s="74">
        <v>2561.9356840586515</v>
      </c>
      <c r="FZ168" s="74">
        <v>3272.5937378936478</v>
      </c>
      <c r="GA168" s="74">
        <v>6123.3183669135724</v>
      </c>
      <c r="GB168" s="74">
        <v>7580.5746471279845</v>
      </c>
      <c r="GC168" s="74">
        <v>13088.016328639218</v>
      </c>
      <c r="GD168" s="74">
        <v>29538.768139782827</v>
      </c>
      <c r="GE168" s="74">
        <v>7973.975307403799</v>
      </c>
      <c r="GF168" s="74">
        <v>7697.9968930218465</v>
      </c>
      <c r="GG168" s="74">
        <v>9443.575582458885</v>
      </c>
      <c r="GH168" s="74">
        <v>7124.7736607989527</v>
      </c>
      <c r="GI168" s="74">
        <v>9736.2593981911868</v>
      </c>
      <c r="GJ168" s="72">
        <v>335504.81386511913</v>
      </c>
      <c r="GK168" s="72">
        <v>0</v>
      </c>
      <c r="GL168" s="72">
        <v>0</v>
      </c>
      <c r="GM168" s="72">
        <v>0</v>
      </c>
      <c r="GN168" s="72">
        <v>0</v>
      </c>
      <c r="GO168" s="72">
        <v>0</v>
      </c>
      <c r="GP168" s="72">
        <v>-1.2223608791828156E-9</v>
      </c>
      <c r="GQ168" s="72">
        <v>2997.4278023724182</v>
      </c>
      <c r="GR168" s="72">
        <f t="shared" si="2"/>
        <v>471035.94606869086</v>
      </c>
      <c r="GS168" s="72">
        <f>SUM(FI$5:FI$202)</f>
        <v>471035.94606869086</v>
      </c>
      <c r="GT168" s="73">
        <v>0</v>
      </c>
    </row>
    <row r="169" spans="1:202" outlineLevel="1" x14ac:dyDescent="0.2">
      <c r="A169" s="66" t="s">
        <v>1254</v>
      </c>
      <c r="B169" s="72">
        <v>0</v>
      </c>
      <c r="C169" s="72">
        <v>0</v>
      </c>
      <c r="D169" s="72">
        <v>0</v>
      </c>
      <c r="E169" s="72">
        <v>2617.8291296854286</v>
      </c>
      <c r="F169" s="72">
        <v>2100.3236338201482</v>
      </c>
      <c r="G169" s="72">
        <v>9680.22184204117</v>
      </c>
      <c r="H169" s="72">
        <v>1317.2127212014473</v>
      </c>
      <c r="I169" s="72">
        <v>0</v>
      </c>
      <c r="J169" s="72">
        <v>0</v>
      </c>
      <c r="K169" s="72">
        <v>0</v>
      </c>
      <c r="L169" s="72">
        <v>0</v>
      </c>
      <c r="M169" s="72">
        <v>0</v>
      </c>
      <c r="N169" s="72">
        <v>0</v>
      </c>
      <c r="O169" s="72">
        <v>0</v>
      </c>
      <c r="P169" s="72">
        <v>0</v>
      </c>
      <c r="Q169" s="72">
        <v>0</v>
      </c>
      <c r="R169" s="72">
        <v>0</v>
      </c>
      <c r="S169" s="72">
        <v>0</v>
      </c>
      <c r="T169" s="72">
        <v>0</v>
      </c>
      <c r="U169" s="72">
        <v>0</v>
      </c>
      <c r="V169" s="72">
        <v>0</v>
      </c>
      <c r="W169" s="72">
        <v>0</v>
      </c>
      <c r="X169" s="72">
        <v>0</v>
      </c>
      <c r="Y169" s="72">
        <v>0</v>
      </c>
      <c r="Z169" s="72">
        <v>0</v>
      </c>
      <c r="AA169" s="72">
        <v>0</v>
      </c>
      <c r="AB169" s="72">
        <v>0</v>
      </c>
      <c r="AC169" s="72">
        <v>0</v>
      </c>
      <c r="AD169" s="72">
        <v>0</v>
      </c>
      <c r="AE169" s="72">
        <v>0</v>
      </c>
      <c r="AF169" s="72">
        <v>0</v>
      </c>
      <c r="AG169" s="72">
        <v>0</v>
      </c>
      <c r="AH169" s="72">
        <v>0</v>
      </c>
      <c r="AI169" s="72">
        <v>0</v>
      </c>
      <c r="AJ169" s="72">
        <v>0</v>
      </c>
      <c r="AK169" s="72">
        <v>0</v>
      </c>
      <c r="AL169" s="72">
        <v>0</v>
      </c>
      <c r="AM169" s="72">
        <v>0</v>
      </c>
      <c r="AN169" s="72">
        <v>0</v>
      </c>
      <c r="AO169" s="72">
        <v>0</v>
      </c>
      <c r="AP169" s="72">
        <v>0</v>
      </c>
      <c r="AQ169" s="72">
        <v>0</v>
      </c>
      <c r="AR169" s="72">
        <v>0</v>
      </c>
      <c r="AS169" s="72">
        <v>0</v>
      </c>
      <c r="AT169" s="72">
        <v>0</v>
      </c>
      <c r="AU169" s="72">
        <v>0</v>
      </c>
      <c r="AV169" s="72">
        <v>0</v>
      </c>
      <c r="AW169" s="72">
        <v>0</v>
      </c>
      <c r="AX169" s="72">
        <v>227.94997548762268</v>
      </c>
      <c r="AY169" s="72">
        <v>166.44167231292994</v>
      </c>
      <c r="AZ169" s="72">
        <v>569.45822206721641</v>
      </c>
      <c r="BA169" s="72">
        <v>24.422341417427123</v>
      </c>
      <c r="BB169" s="72">
        <v>688.00405013896795</v>
      </c>
      <c r="BC169" s="72">
        <v>3423.9622296250732</v>
      </c>
      <c r="BD169" s="72">
        <v>5.8964891554259484</v>
      </c>
      <c r="BE169" s="72">
        <v>10191.459506664782</v>
      </c>
      <c r="BF169" s="72">
        <v>0</v>
      </c>
      <c r="BG169" s="72">
        <v>0</v>
      </c>
      <c r="BH169" s="72">
        <v>0</v>
      </c>
      <c r="BI169" s="72">
        <v>0</v>
      </c>
      <c r="BJ169" s="72">
        <v>170.68523948563461</v>
      </c>
      <c r="BK169" s="72">
        <v>0</v>
      </c>
      <c r="BL169" s="72">
        <v>0</v>
      </c>
      <c r="BM169" s="72">
        <v>0</v>
      </c>
      <c r="BN169" s="72">
        <v>0</v>
      </c>
      <c r="BO169" s="72">
        <v>0</v>
      </c>
      <c r="BP169" s="72">
        <v>0</v>
      </c>
      <c r="BQ169" s="72">
        <v>0</v>
      </c>
      <c r="BR169" s="72">
        <v>0</v>
      </c>
      <c r="BS169" s="72">
        <v>0</v>
      </c>
      <c r="BT169" s="72">
        <v>0</v>
      </c>
      <c r="BU169" s="72">
        <v>0</v>
      </c>
      <c r="BV169" s="72">
        <v>0</v>
      </c>
      <c r="BW169" s="72">
        <v>0</v>
      </c>
      <c r="BX169" s="72">
        <v>0</v>
      </c>
      <c r="BY169" s="72">
        <v>0</v>
      </c>
      <c r="BZ169" s="72">
        <v>0</v>
      </c>
      <c r="CA169" s="72">
        <v>0</v>
      </c>
      <c r="CB169" s="72">
        <v>0</v>
      </c>
      <c r="CC169" s="72">
        <v>0</v>
      </c>
      <c r="CD169" s="72">
        <v>0</v>
      </c>
      <c r="CE169" s="72">
        <v>0</v>
      </c>
      <c r="CF169" s="72">
        <v>0</v>
      </c>
      <c r="CG169" s="72">
        <v>0</v>
      </c>
      <c r="CH169" s="72">
        <v>0</v>
      </c>
      <c r="CI169" s="72">
        <v>0</v>
      </c>
      <c r="CJ169" s="72">
        <v>0</v>
      </c>
      <c r="CK169" s="72">
        <v>0</v>
      </c>
      <c r="CL169" s="72">
        <v>0</v>
      </c>
      <c r="CM169" s="72">
        <v>0</v>
      </c>
      <c r="CN169" s="72">
        <v>0</v>
      </c>
      <c r="CO169" s="72">
        <v>0</v>
      </c>
      <c r="CP169" s="72">
        <v>0</v>
      </c>
      <c r="CQ169" s="72">
        <v>0</v>
      </c>
      <c r="CR169" s="72">
        <v>0</v>
      </c>
      <c r="CS169" s="72">
        <v>0</v>
      </c>
      <c r="CT169" s="72">
        <v>0</v>
      </c>
      <c r="CU169" s="72">
        <v>0</v>
      </c>
      <c r="CV169" s="72">
        <v>0</v>
      </c>
      <c r="CW169" s="72">
        <v>0</v>
      </c>
      <c r="CX169" s="72">
        <v>0</v>
      </c>
      <c r="CY169" s="72">
        <v>0</v>
      </c>
      <c r="CZ169" s="72">
        <v>0</v>
      </c>
      <c r="DA169" s="72">
        <v>0</v>
      </c>
      <c r="DB169" s="72">
        <v>0</v>
      </c>
      <c r="DC169" s="72">
        <v>0</v>
      </c>
      <c r="DD169" s="72">
        <v>0</v>
      </c>
      <c r="DE169" s="72">
        <v>0</v>
      </c>
      <c r="DF169" s="72">
        <v>0</v>
      </c>
      <c r="DG169" s="72">
        <v>0</v>
      </c>
      <c r="DH169" s="72">
        <v>0</v>
      </c>
      <c r="DI169" s="72">
        <v>0</v>
      </c>
      <c r="DJ169" s="72">
        <v>0</v>
      </c>
      <c r="DK169" s="72">
        <v>0</v>
      </c>
      <c r="DL169" s="72">
        <v>0</v>
      </c>
      <c r="DM169" s="72">
        <v>0</v>
      </c>
      <c r="DN169" s="72">
        <v>0</v>
      </c>
      <c r="DO169" s="72">
        <v>0</v>
      </c>
      <c r="DP169" s="72">
        <v>0</v>
      </c>
      <c r="DQ169" s="72">
        <v>0</v>
      </c>
      <c r="DR169" s="72">
        <v>0</v>
      </c>
      <c r="DS169" s="72">
        <v>0</v>
      </c>
      <c r="DT169" s="72">
        <v>0</v>
      </c>
      <c r="DU169" s="72">
        <v>0</v>
      </c>
      <c r="DV169" s="72">
        <v>0</v>
      </c>
      <c r="DW169" s="72">
        <v>0</v>
      </c>
      <c r="DX169" s="72">
        <v>0</v>
      </c>
      <c r="DY169" s="72">
        <v>0</v>
      </c>
      <c r="DZ169" s="72">
        <v>0</v>
      </c>
      <c r="EA169" s="72">
        <v>0</v>
      </c>
      <c r="EB169" s="72">
        <v>0</v>
      </c>
      <c r="EC169" s="72">
        <v>0</v>
      </c>
      <c r="ED169" s="72">
        <v>0</v>
      </c>
      <c r="EE169" s="72">
        <v>0</v>
      </c>
      <c r="EF169" s="72">
        <v>0</v>
      </c>
      <c r="EG169" s="72">
        <v>0</v>
      </c>
      <c r="EH169" s="72">
        <v>0</v>
      </c>
      <c r="EI169" s="72">
        <v>0</v>
      </c>
      <c r="EJ169" s="72">
        <v>0</v>
      </c>
      <c r="EK169" s="72">
        <v>0</v>
      </c>
      <c r="EL169" s="72">
        <v>0</v>
      </c>
      <c r="EM169" s="72">
        <v>0</v>
      </c>
      <c r="EN169" s="72">
        <v>0</v>
      </c>
      <c r="EO169" s="72">
        <v>0</v>
      </c>
      <c r="EP169" s="72">
        <v>0</v>
      </c>
      <c r="EQ169" s="72">
        <v>0</v>
      </c>
      <c r="ER169" s="72">
        <v>0</v>
      </c>
      <c r="ES169" s="72">
        <v>0</v>
      </c>
      <c r="ET169" s="72">
        <v>0</v>
      </c>
      <c r="EU169" s="72">
        <v>0</v>
      </c>
      <c r="EV169" s="72">
        <v>0</v>
      </c>
      <c r="EW169" s="72">
        <v>0</v>
      </c>
      <c r="EX169" s="72">
        <v>0</v>
      </c>
      <c r="EY169" s="72">
        <v>0</v>
      </c>
      <c r="EZ169" s="72">
        <v>0</v>
      </c>
      <c r="FA169" s="72">
        <v>0</v>
      </c>
      <c r="FB169" s="72">
        <v>0</v>
      </c>
      <c r="FC169" s="72">
        <v>0</v>
      </c>
      <c r="FD169" s="72">
        <v>0</v>
      </c>
      <c r="FE169" s="72">
        <v>0</v>
      </c>
      <c r="FF169" s="72">
        <v>0</v>
      </c>
      <c r="FG169" s="72">
        <v>0</v>
      </c>
      <c r="FH169" s="72">
        <v>0</v>
      </c>
      <c r="FI169" s="72">
        <v>0</v>
      </c>
      <c r="FJ169" s="72">
        <v>0</v>
      </c>
      <c r="FK169" s="72">
        <v>0</v>
      </c>
      <c r="FL169" s="72">
        <v>0</v>
      </c>
      <c r="FM169" s="72">
        <v>0</v>
      </c>
      <c r="FN169" s="72">
        <v>0</v>
      </c>
      <c r="FO169" s="72">
        <v>0</v>
      </c>
      <c r="FP169" s="72">
        <v>0</v>
      </c>
      <c r="FQ169" s="72">
        <v>0</v>
      </c>
      <c r="FR169" s="72">
        <v>0</v>
      </c>
      <c r="FS169" s="72">
        <v>0</v>
      </c>
      <c r="FT169" s="72">
        <v>0</v>
      </c>
      <c r="FU169" s="72">
        <v>0</v>
      </c>
      <c r="FV169" s="74">
        <v>4119.6988110438851</v>
      </c>
      <c r="FW169" s="74">
        <v>6760.4586038775178</v>
      </c>
      <c r="FX169" s="74">
        <v>8390.3085124311456</v>
      </c>
      <c r="FY169" s="74">
        <v>8576.1336023547028</v>
      </c>
      <c r="FZ169" s="74">
        <v>10648.005607838117</v>
      </c>
      <c r="GA169" s="74">
        <v>12093.540832786883</v>
      </c>
      <c r="GB169" s="74">
        <v>13909.5530616448</v>
      </c>
      <c r="GC169" s="74">
        <v>20667.158052721883</v>
      </c>
      <c r="GD169" s="74">
        <v>42753.726822446981</v>
      </c>
      <c r="GE169" s="74">
        <v>10494.575618092331</v>
      </c>
      <c r="GF169" s="74">
        <v>9862.3525457869018</v>
      </c>
      <c r="GG169" s="74">
        <v>13919.151786431603</v>
      </c>
      <c r="GH169" s="74">
        <v>13468.575826540358</v>
      </c>
      <c r="GI169" s="74">
        <v>26364.612107713041</v>
      </c>
      <c r="GJ169" s="72">
        <v>147266.28947158644</v>
      </c>
      <c r="GK169" s="72">
        <v>0</v>
      </c>
      <c r="GL169" s="72">
        <v>0</v>
      </c>
      <c r="GM169" s="72">
        <v>0</v>
      </c>
      <c r="GN169" s="72">
        <v>0</v>
      </c>
      <c r="GO169" s="72">
        <v>0</v>
      </c>
      <c r="GP169" s="72">
        <v>-7.7416189014911652E-9</v>
      </c>
      <c r="GQ169" s="72">
        <v>88.26179770009017</v>
      </c>
      <c r="GR169" s="72">
        <f t="shared" si="2"/>
        <v>380566.27011409221</v>
      </c>
      <c r="GS169" s="72">
        <f>SUM(FJ$5:FJ$202)</f>
        <v>380566.27011409221</v>
      </c>
      <c r="GT169" s="73">
        <v>0</v>
      </c>
    </row>
    <row r="170" spans="1:202" outlineLevel="1" x14ac:dyDescent="0.2">
      <c r="A170" s="66" t="s">
        <v>1502</v>
      </c>
      <c r="B170" s="72">
        <v>0</v>
      </c>
      <c r="C170" s="72">
        <v>0</v>
      </c>
      <c r="D170" s="72">
        <v>0</v>
      </c>
      <c r="E170" s="72">
        <v>2574.3872378628062</v>
      </c>
      <c r="F170" s="72">
        <v>4081.4376261340594</v>
      </c>
      <c r="G170" s="72">
        <v>5857.2525443394679</v>
      </c>
      <c r="H170" s="72">
        <v>2034.8266586860445</v>
      </c>
      <c r="I170" s="72">
        <v>0</v>
      </c>
      <c r="J170" s="72">
        <v>0</v>
      </c>
      <c r="K170" s="72">
        <v>0</v>
      </c>
      <c r="L170" s="72">
        <v>0</v>
      </c>
      <c r="M170" s="72">
        <v>0</v>
      </c>
      <c r="N170" s="72">
        <v>0</v>
      </c>
      <c r="O170" s="72">
        <v>0</v>
      </c>
      <c r="P170" s="72">
        <v>0</v>
      </c>
      <c r="Q170" s="72">
        <v>0</v>
      </c>
      <c r="R170" s="72">
        <v>0</v>
      </c>
      <c r="S170" s="72">
        <v>0</v>
      </c>
      <c r="T170" s="72">
        <v>0</v>
      </c>
      <c r="U170" s="72">
        <v>0</v>
      </c>
      <c r="V170" s="72">
        <v>0</v>
      </c>
      <c r="W170" s="72">
        <v>0</v>
      </c>
      <c r="X170" s="72">
        <v>0</v>
      </c>
      <c r="Y170" s="72">
        <v>0</v>
      </c>
      <c r="Z170" s="72">
        <v>0</v>
      </c>
      <c r="AA170" s="72">
        <v>0</v>
      </c>
      <c r="AB170" s="72">
        <v>0</v>
      </c>
      <c r="AC170" s="72">
        <v>0</v>
      </c>
      <c r="AD170" s="72">
        <v>0</v>
      </c>
      <c r="AE170" s="72">
        <v>0</v>
      </c>
      <c r="AF170" s="72">
        <v>0</v>
      </c>
      <c r="AG170" s="72">
        <v>0</v>
      </c>
      <c r="AH170" s="72">
        <v>0</v>
      </c>
      <c r="AI170" s="72">
        <v>2.7348991652259449</v>
      </c>
      <c r="AJ170" s="72">
        <v>5.9028634855557405</v>
      </c>
      <c r="AK170" s="72">
        <v>0</v>
      </c>
      <c r="AL170" s="72">
        <v>0</v>
      </c>
      <c r="AM170" s="72">
        <v>0</v>
      </c>
      <c r="AN170" s="72">
        <v>0</v>
      </c>
      <c r="AO170" s="72">
        <v>0</v>
      </c>
      <c r="AP170" s="72">
        <v>0</v>
      </c>
      <c r="AQ170" s="72">
        <v>0</v>
      </c>
      <c r="AR170" s="72">
        <v>0</v>
      </c>
      <c r="AS170" s="72">
        <v>0</v>
      </c>
      <c r="AT170" s="72">
        <v>0</v>
      </c>
      <c r="AU170" s="72">
        <v>0</v>
      </c>
      <c r="AV170" s="72">
        <v>0</v>
      </c>
      <c r="AW170" s="72">
        <v>0</v>
      </c>
      <c r="AX170" s="72">
        <v>3115.6222601911536</v>
      </c>
      <c r="AY170" s="72">
        <v>0</v>
      </c>
      <c r="AZ170" s="72">
        <v>0</v>
      </c>
      <c r="BA170" s="72">
        <v>0</v>
      </c>
      <c r="BB170" s="72">
        <v>0</v>
      </c>
      <c r="BC170" s="72">
        <v>762.28611412386044</v>
      </c>
      <c r="BD170" s="72">
        <v>86.33437192683958</v>
      </c>
      <c r="BE170" s="72">
        <v>47.035198795129048</v>
      </c>
      <c r="BF170" s="72">
        <v>3.6162162200519274</v>
      </c>
      <c r="BG170" s="72">
        <v>0</v>
      </c>
      <c r="BH170" s="72">
        <v>1.2429263251276912</v>
      </c>
      <c r="BI170" s="72">
        <v>0</v>
      </c>
      <c r="BJ170" s="72">
        <v>492.2206909841301</v>
      </c>
      <c r="BK170" s="72">
        <v>0</v>
      </c>
      <c r="BL170" s="72">
        <v>0</v>
      </c>
      <c r="BM170" s="72">
        <v>0</v>
      </c>
      <c r="BN170" s="72">
        <v>0</v>
      </c>
      <c r="BO170" s="72">
        <v>0</v>
      </c>
      <c r="BP170" s="72">
        <v>0</v>
      </c>
      <c r="BQ170" s="72">
        <v>0</v>
      </c>
      <c r="BR170" s="72">
        <v>0</v>
      </c>
      <c r="BS170" s="72">
        <v>0</v>
      </c>
      <c r="BT170" s="72">
        <v>0</v>
      </c>
      <c r="BU170" s="72">
        <v>0</v>
      </c>
      <c r="BV170" s="72">
        <v>0</v>
      </c>
      <c r="BW170" s="72">
        <v>0</v>
      </c>
      <c r="BX170" s="72">
        <v>0</v>
      </c>
      <c r="BY170" s="72">
        <v>0</v>
      </c>
      <c r="BZ170" s="72">
        <v>0</v>
      </c>
      <c r="CA170" s="72">
        <v>0</v>
      </c>
      <c r="CB170" s="72">
        <v>0</v>
      </c>
      <c r="CC170" s="72">
        <v>0</v>
      </c>
      <c r="CD170" s="72">
        <v>0</v>
      </c>
      <c r="CE170" s="72">
        <v>0</v>
      </c>
      <c r="CF170" s="72">
        <v>0</v>
      </c>
      <c r="CG170" s="72">
        <v>0</v>
      </c>
      <c r="CH170" s="72">
        <v>0</v>
      </c>
      <c r="CI170" s="72">
        <v>0</v>
      </c>
      <c r="CJ170" s="72">
        <v>0</v>
      </c>
      <c r="CK170" s="72">
        <v>0</v>
      </c>
      <c r="CL170" s="72">
        <v>0</v>
      </c>
      <c r="CM170" s="72">
        <v>0</v>
      </c>
      <c r="CN170" s="72">
        <v>0</v>
      </c>
      <c r="CO170" s="72">
        <v>0</v>
      </c>
      <c r="CP170" s="72">
        <v>0</v>
      </c>
      <c r="CQ170" s="72">
        <v>0</v>
      </c>
      <c r="CR170" s="72">
        <v>0</v>
      </c>
      <c r="CS170" s="72">
        <v>0</v>
      </c>
      <c r="CT170" s="72">
        <v>0</v>
      </c>
      <c r="CU170" s="72">
        <v>0</v>
      </c>
      <c r="CV170" s="72">
        <v>0</v>
      </c>
      <c r="CW170" s="72">
        <v>0</v>
      </c>
      <c r="CX170" s="72">
        <v>0</v>
      </c>
      <c r="CY170" s="72">
        <v>0</v>
      </c>
      <c r="CZ170" s="72">
        <v>0</v>
      </c>
      <c r="DA170" s="72">
        <v>0</v>
      </c>
      <c r="DB170" s="72">
        <v>0</v>
      </c>
      <c r="DC170" s="72">
        <v>0</v>
      </c>
      <c r="DD170" s="72">
        <v>0</v>
      </c>
      <c r="DE170" s="72">
        <v>0</v>
      </c>
      <c r="DF170" s="72">
        <v>0</v>
      </c>
      <c r="DG170" s="72">
        <v>0</v>
      </c>
      <c r="DH170" s="72">
        <v>0</v>
      </c>
      <c r="DI170" s="72">
        <v>0</v>
      </c>
      <c r="DJ170" s="72">
        <v>0</v>
      </c>
      <c r="DK170" s="72">
        <v>0</v>
      </c>
      <c r="DL170" s="72">
        <v>0</v>
      </c>
      <c r="DM170" s="72">
        <v>0</v>
      </c>
      <c r="DN170" s="72">
        <v>0</v>
      </c>
      <c r="DO170" s="72">
        <v>0</v>
      </c>
      <c r="DP170" s="72">
        <v>0</v>
      </c>
      <c r="DQ170" s="72">
        <v>0</v>
      </c>
      <c r="DR170" s="72">
        <v>0</v>
      </c>
      <c r="DS170" s="72">
        <v>0</v>
      </c>
      <c r="DT170" s="72">
        <v>0</v>
      </c>
      <c r="DU170" s="72">
        <v>0</v>
      </c>
      <c r="DV170" s="72">
        <v>0</v>
      </c>
      <c r="DW170" s="72">
        <v>0</v>
      </c>
      <c r="DX170" s="72">
        <v>0</v>
      </c>
      <c r="DY170" s="72">
        <v>0</v>
      </c>
      <c r="DZ170" s="72">
        <v>0</v>
      </c>
      <c r="EA170" s="72">
        <v>0</v>
      </c>
      <c r="EB170" s="72">
        <v>0</v>
      </c>
      <c r="EC170" s="72">
        <v>0</v>
      </c>
      <c r="ED170" s="72">
        <v>0</v>
      </c>
      <c r="EE170" s="72">
        <v>0</v>
      </c>
      <c r="EF170" s="72">
        <v>0</v>
      </c>
      <c r="EG170" s="72">
        <v>0</v>
      </c>
      <c r="EH170" s="72">
        <v>0</v>
      </c>
      <c r="EI170" s="72">
        <v>0</v>
      </c>
      <c r="EJ170" s="72">
        <v>0</v>
      </c>
      <c r="EK170" s="72">
        <v>0</v>
      </c>
      <c r="EL170" s="72">
        <v>0</v>
      </c>
      <c r="EM170" s="72">
        <v>0</v>
      </c>
      <c r="EN170" s="72">
        <v>0</v>
      </c>
      <c r="EO170" s="72">
        <v>0</v>
      </c>
      <c r="EP170" s="72">
        <v>0</v>
      </c>
      <c r="EQ170" s="72">
        <v>0</v>
      </c>
      <c r="ER170" s="72">
        <v>0</v>
      </c>
      <c r="ES170" s="72">
        <v>0</v>
      </c>
      <c r="ET170" s="72">
        <v>0</v>
      </c>
      <c r="EU170" s="72">
        <v>0</v>
      </c>
      <c r="EV170" s="72">
        <v>0</v>
      </c>
      <c r="EW170" s="72">
        <v>0</v>
      </c>
      <c r="EX170" s="72">
        <v>0</v>
      </c>
      <c r="EY170" s="72">
        <v>0</v>
      </c>
      <c r="EZ170" s="72">
        <v>0</v>
      </c>
      <c r="FA170" s="72">
        <v>0</v>
      </c>
      <c r="FB170" s="72">
        <v>0</v>
      </c>
      <c r="FC170" s="72">
        <v>0</v>
      </c>
      <c r="FD170" s="72">
        <v>0</v>
      </c>
      <c r="FE170" s="72">
        <v>0</v>
      </c>
      <c r="FF170" s="72">
        <v>0</v>
      </c>
      <c r="FG170" s="72">
        <v>0</v>
      </c>
      <c r="FH170" s="72">
        <v>0</v>
      </c>
      <c r="FI170" s="72">
        <v>0</v>
      </c>
      <c r="FJ170" s="72">
        <v>0</v>
      </c>
      <c r="FK170" s="72">
        <v>0</v>
      </c>
      <c r="FL170" s="72">
        <v>0</v>
      </c>
      <c r="FM170" s="72">
        <v>0</v>
      </c>
      <c r="FN170" s="72">
        <v>0</v>
      </c>
      <c r="FO170" s="72">
        <v>0</v>
      </c>
      <c r="FP170" s="72">
        <v>0</v>
      </c>
      <c r="FQ170" s="72">
        <v>0</v>
      </c>
      <c r="FR170" s="72">
        <v>0</v>
      </c>
      <c r="FS170" s="72">
        <v>0</v>
      </c>
      <c r="FT170" s="72">
        <v>0</v>
      </c>
      <c r="FU170" s="72">
        <v>0</v>
      </c>
      <c r="FV170" s="74">
        <v>52.758614281240071</v>
      </c>
      <c r="FW170" s="74">
        <v>119.53875913829938</v>
      </c>
      <c r="FX170" s="74">
        <v>156.23132050244317</v>
      </c>
      <c r="FY170" s="74">
        <v>194.42402773663116</v>
      </c>
      <c r="FZ170" s="74">
        <v>213.64562857396098</v>
      </c>
      <c r="GA170" s="74">
        <v>310.79605924283334</v>
      </c>
      <c r="GB170" s="74">
        <v>542.24168266989409</v>
      </c>
      <c r="GC170" s="74">
        <v>876.06456282361353</v>
      </c>
      <c r="GD170" s="74">
        <v>1873.410435861583</v>
      </c>
      <c r="GE170" s="74">
        <v>680.6775515261096</v>
      </c>
      <c r="GF170" s="74">
        <v>612.27459255664587</v>
      </c>
      <c r="GG170" s="74">
        <v>1000.6670260468057</v>
      </c>
      <c r="GH170" s="74">
        <v>1188.7431307889715</v>
      </c>
      <c r="GI170" s="74">
        <v>1438.8863863111139</v>
      </c>
      <c r="GJ170" s="72">
        <v>0</v>
      </c>
      <c r="GK170" s="72">
        <v>0</v>
      </c>
      <c r="GL170" s="72">
        <v>0</v>
      </c>
      <c r="GM170" s="72">
        <v>0</v>
      </c>
      <c r="GN170" s="72">
        <v>0</v>
      </c>
      <c r="GO170" s="72">
        <v>0</v>
      </c>
      <c r="GP170" s="72">
        <v>1.3205863069742918E-9</v>
      </c>
      <c r="GQ170" s="72">
        <v>23.207739294693667</v>
      </c>
      <c r="GR170" s="72">
        <f t="shared" si="2"/>
        <v>28348.467125595609</v>
      </c>
      <c r="GS170" s="72">
        <f>SUM(FK$5:FK$202)</f>
        <v>28348.467125595605</v>
      </c>
      <c r="GT170" s="73">
        <v>0</v>
      </c>
    </row>
    <row r="171" spans="1:202" x14ac:dyDescent="0.2">
      <c r="A171" s="66" t="s">
        <v>1503</v>
      </c>
      <c r="B171" s="72">
        <v>0</v>
      </c>
      <c r="C171" s="72">
        <v>6.4248107197099955</v>
      </c>
      <c r="D171" s="72">
        <v>6.2809626663052409</v>
      </c>
      <c r="E171" s="72">
        <v>109.1651204364515</v>
      </c>
      <c r="F171" s="72">
        <v>19.173526416078317</v>
      </c>
      <c r="G171" s="72">
        <v>63.631514465447559</v>
      </c>
      <c r="H171" s="72">
        <v>95.816920647934012</v>
      </c>
      <c r="I171" s="72">
        <v>104.85045413437309</v>
      </c>
      <c r="J171" s="72">
        <v>45.784223784270758</v>
      </c>
      <c r="K171" s="72">
        <v>24.130834394191528</v>
      </c>
      <c r="L171" s="72">
        <v>40.579971834676655</v>
      </c>
      <c r="M171" s="72">
        <v>7.2380942538921333</v>
      </c>
      <c r="N171" s="72">
        <v>4.6473999056803743</v>
      </c>
      <c r="O171" s="72">
        <v>53.706324254657694</v>
      </c>
      <c r="P171" s="72">
        <v>49.748937258992854</v>
      </c>
      <c r="Q171" s="72">
        <v>105.4779789601255</v>
      </c>
      <c r="R171" s="72">
        <v>21.422675228290672</v>
      </c>
      <c r="S171" s="72">
        <v>36.301046467435185</v>
      </c>
      <c r="T171" s="72">
        <v>103.92008245463396</v>
      </c>
      <c r="U171" s="72">
        <v>15.814998008516685</v>
      </c>
      <c r="V171" s="72">
        <v>44.099671106257951</v>
      </c>
      <c r="W171" s="72">
        <v>11.297036777280441</v>
      </c>
      <c r="X171" s="72">
        <v>51.991441917060015</v>
      </c>
      <c r="Y171" s="72">
        <v>28.53361119547823</v>
      </c>
      <c r="Z171" s="72">
        <v>181.33788236961897</v>
      </c>
      <c r="AA171" s="72">
        <v>183.76261192980121</v>
      </c>
      <c r="AB171" s="72">
        <v>87.351228334039874</v>
      </c>
      <c r="AC171" s="72">
        <v>32.805145709366641</v>
      </c>
      <c r="AD171" s="72">
        <v>28.890977966158701</v>
      </c>
      <c r="AE171" s="72">
        <v>40.752354698307364</v>
      </c>
      <c r="AF171" s="72">
        <v>69.847042348648543</v>
      </c>
      <c r="AG171" s="72">
        <v>37.29804525785076</v>
      </c>
      <c r="AH171" s="72">
        <v>34.955747780859355</v>
      </c>
      <c r="AI171" s="72">
        <v>751.04199781517627</v>
      </c>
      <c r="AJ171" s="72">
        <v>18.292770517552427</v>
      </c>
      <c r="AK171" s="72">
        <v>927.91934888590379</v>
      </c>
      <c r="AL171" s="72">
        <v>1861.3249331777788</v>
      </c>
      <c r="AM171" s="72">
        <v>1158.0073448874728</v>
      </c>
      <c r="AN171" s="72">
        <v>746.41629846155467</v>
      </c>
      <c r="AO171" s="72">
        <v>809.97838643623277</v>
      </c>
      <c r="AP171" s="72">
        <v>174.91866370103187</v>
      </c>
      <c r="AQ171" s="72">
        <v>28.590555717805977</v>
      </c>
      <c r="AR171" s="72">
        <v>21.48407553280995</v>
      </c>
      <c r="AS171" s="72">
        <v>812.11385637282456</v>
      </c>
      <c r="AT171" s="72">
        <v>138.74784761755467</v>
      </c>
      <c r="AU171" s="72">
        <v>0</v>
      </c>
      <c r="AV171" s="72">
        <v>0</v>
      </c>
      <c r="AW171" s="72">
        <v>0</v>
      </c>
      <c r="AX171" s="72">
        <v>186.86453272429063</v>
      </c>
      <c r="AY171" s="72">
        <v>213.93159371262306</v>
      </c>
      <c r="AZ171" s="72">
        <v>390.79503747407728</v>
      </c>
      <c r="BA171" s="72">
        <v>32.033365455065372</v>
      </c>
      <c r="BB171" s="72">
        <v>3440.5525012269836</v>
      </c>
      <c r="BC171" s="72">
        <v>3332.0362784055314</v>
      </c>
      <c r="BD171" s="72">
        <v>988.16628657576382</v>
      </c>
      <c r="BE171" s="72">
        <v>762.65878146054672</v>
      </c>
      <c r="BF171" s="72">
        <v>44.226910191794801</v>
      </c>
      <c r="BG171" s="72">
        <v>37.801733111406094</v>
      </c>
      <c r="BH171" s="72">
        <v>148.5039885566494</v>
      </c>
      <c r="BI171" s="72">
        <v>31.473196412994099</v>
      </c>
      <c r="BJ171" s="72">
        <v>469.9479296027373</v>
      </c>
      <c r="BK171" s="72">
        <v>0</v>
      </c>
      <c r="BL171" s="72">
        <v>0</v>
      </c>
      <c r="BM171" s="72">
        <v>0</v>
      </c>
      <c r="BN171" s="72">
        <v>0</v>
      </c>
      <c r="BO171" s="72">
        <v>0</v>
      </c>
      <c r="BP171" s="72">
        <v>0</v>
      </c>
      <c r="BQ171" s="72">
        <v>0</v>
      </c>
      <c r="BR171" s="72">
        <v>0</v>
      </c>
      <c r="BS171" s="72">
        <v>0</v>
      </c>
      <c r="BT171" s="72">
        <v>0</v>
      </c>
      <c r="BU171" s="72">
        <v>0</v>
      </c>
      <c r="BV171" s="72">
        <v>0</v>
      </c>
      <c r="BW171" s="72">
        <v>0</v>
      </c>
      <c r="BX171" s="72">
        <v>0</v>
      </c>
      <c r="BY171" s="72">
        <v>0</v>
      </c>
      <c r="BZ171" s="72">
        <v>0</v>
      </c>
      <c r="CA171" s="72">
        <v>0</v>
      </c>
      <c r="CB171" s="72">
        <v>0</v>
      </c>
      <c r="CC171" s="72">
        <v>0</v>
      </c>
      <c r="CD171" s="72">
        <v>0</v>
      </c>
      <c r="CE171" s="72">
        <v>0</v>
      </c>
      <c r="CF171" s="72">
        <v>0</v>
      </c>
      <c r="CG171" s="72">
        <v>0</v>
      </c>
      <c r="CH171" s="72">
        <v>0</v>
      </c>
      <c r="CI171" s="72">
        <v>0</v>
      </c>
      <c r="CJ171" s="72">
        <v>0</v>
      </c>
      <c r="CK171" s="72">
        <v>0</v>
      </c>
      <c r="CL171" s="72">
        <v>0</v>
      </c>
      <c r="CM171" s="72">
        <v>0</v>
      </c>
      <c r="CN171" s="72">
        <v>0</v>
      </c>
      <c r="CO171" s="72">
        <v>0</v>
      </c>
      <c r="CP171" s="72">
        <v>0</v>
      </c>
      <c r="CQ171" s="72">
        <v>0</v>
      </c>
      <c r="CR171" s="72">
        <v>0</v>
      </c>
      <c r="CS171" s="72">
        <v>0</v>
      </c>
      <c r="CT171" s="72">
        <v>0</v>
      </c>
      <c r="CU171" s="72">
        <v>0</v>
      </c>
      <c r="CV171" s="72">
        <v>0</v>
      </c>
      <c r="CW171" s="72">
        <v>0</v>
      </c>
      <c r="CX171" s="72">
        <v>0</v>
      </c>
      <c r="CY171" s="72">
        <v>0</v>
      </c>
      <c r="CZ171" s="72">
        <v>0</v>
      </c>
      <c r="DA171" s="72">
        <v>0</v>
      </c>
      <c r="DB171" s="72">
        <v>0</v>
      </c>
      <c r="DC171" s="72">
        <v>0</v>
      </c>
      <c r="DD171" s="72">
        <v>0</v>
      </c>
      <c r="DE171" s="72">
        <v>0</v>
      </c>
      <c r="DF171" s="72">
        <v>0</v>
      </c>
      <c r="DG171" s="72">
        <v>0</v>
      </c>
      <c r="DH171" s="72">
        <v>0</v>
      </c>
      <c r="DI171" s="72">
        <v>0</v>
      </c>
      <c r="DJ171" s="72">
        <v>0</v>
      </c>
      <c r="DK171" s="72">
        <v>0</v>
      </c>
      <c r="DL171" s="72">
        <v>0</v>
      </c>
      <c r="DM171" s="72">
        <v>0</v>
      </c>
      <c r="DN171" s="72">
        <v>0</v>
      </c>
      <c r="DO171" s="72">
        <v>0</v>
      </c>
      <c r="DP171" s="72">
        <v>0</v>
      </c>
      <c r="DQ171" s="72">
        <v>0</v>
      </c>
      <c r="DR171" s="72">
        <v>0</v>
      </c>
      <c r="DS171" s="72">
        <v>0</v>
      </c>
      <c r="DT171" s="72">
        <v>0</v>
      </c>
      <c r="DU171" s="72">
        <v>0</v>
      </c>
      <c r="DV171" s="72">
        <v>0</v>
      </c>
      <c r="DW171" s="72">
        <v>0</v>
      </c>
      <c r="DX171" s="72">
        <v>0</v>
      </c>
      <c r="DY171" s="72">
        <v>0</v>
      </c>
      <c r="DZ171" s="72">
        <v>0</v>
      </c>
      <c r="EA171" s="72">
        <v>0</v>
      </c>
      <c r="EB171" s="72">
        <v>0</v>
      </c>
      <c r="EC171" s="72">
        <v>0</v>
      </c>
      <c r="ED171" s="72">
        <v>0</v>
      </c>
      <c r="EE171" s="72">
        <v>0</v>
      </c>
      <c r="EF171" s="72">
        <v>0</v>
      </c>
      <c r="EG171" s="72">
        <v>0</v>
      </c>
      <c r="EH171" s="72">
        <v>0</v>
      </c>
      <c r="EI171" s="72">
        <v>0</v>
      </c>
      <c r="EJ171" s="72">
        <v>0</v>
      </c>
      <c r="EK171" s="72">
        <v>0</v>
      </c>
      <c r="EL171" s="72">
        <v>0</v>
      </c>
      <c r="EM171" s="72">
        <v>0</v>
      </c>
      <c r="EN171" s="72">
        <v>0</v>
      </c>
      <c r="EO171" s="72">
        <v>0</v>
      </c>
      <c r="EP171" s="72">
        <v>0</v>
      </c>
      <c r="EQ171" s="72">
        <v>0</v>
      </c>
      <c r="ER171" s="72">
        <v>0</v>
      </c>
      <c r="ES171" s="72">
        <v>0</v>
      </c>
      <c r="ET171" s="72">
        <v>0</v>
      </c>
      <c r="EU171" s="72">
        <v>0</v>
      </c>
      <c r="EV171" s="72">
        <v>0</v>
      </c>
      <c r="EW171" s="72">
        <v>0</v>
      </c>
      <c r="EX171" s="72">
        <v>0</v>
      </c>
      <c r="EY171" s="72">
        <v>0</v>
      </c>
      <c r="EZ171" s="72">
        <v>0</v>
      </c>
      <c r="FA171" s="72">
        <v>0</v>
      </c>
      <c r="FB171" s="72">
        <v>0</v>
      </c>
      <c r="FC171" s="72">
        <v>0</v>
      </c>
      <c r="FD171" s="72">
        <v>0</v>
      </c>
      <c r="FE171" s="72">
        <v>0</v>
      </c>
      <c r="FF171" s="72">
        <v>0</v>
      </c>
      <c r="FG171" s="72">
        <v>0</v>
      </c>
      <c r="FH171" s="72">
        <v>0</v>
      </c>
      <c r="FI171" s="72">
        <v>0</v>
      </c>
      <c r="FJ171" s="72">
        <v>0</v>
      </c>
      <c r="FK171" s="72">
        <v>0</v>
      </c>
      <c r="FL171" s="72">
        <v>0</v>
      </c>
      <c r="FM171" s="72">
        <v>0</v>
      </c>
      <c r="FN171" s="72">
        <v>0</v>
      </c>
      <c r="FO171" s="72">
        <v>0</v>
      </c>
      <c r="FP171" s="72">
        <v>0</v>
      </c>
      <c r="FQ171" s="72">
        <v>0</v>
      </c>
      <c r="FR171" s="72">
        <v>0</v>
      </c>
      <c r="FS171" s="72">
        <v>0</v>
      </c>
      <c r="FT171" s="72">
        <v>0</v>
      </c>
      <c r="FU171" s="72">
        <v>0</v>
      </c>
      <c r="FV171" s="74">
        <v>743.88143488581943</v>
      </c>
      <c r="FW171" s="74">
        <v>1685.4624573391736</v>
      </c>
      <c r="FX171" s="74">
        <v>2202.8171219574369</v>
      </c>
      <c r="FY171" s="74">
        <v>2741.3234160782836</v>
      </c>
      <c r="FZ171" s="74">
        <v>3012.342513271662</v>
      </c>
      <c r="GA171" s="74">
        <v>4382.135915738515</v>
      </c>
      <c r="GB171" s="74">
        <v>7645.4532867215612</v>
      </c>
      <c r="GC171" s="74">
        <v>12352.260818904322</v>
      </c>
      <c r="GD171" s="74">
        <v>26414.553569014377</v>
      </c>
      <c r="GE171" s="74">
        <v>9597.3596088905324</v>
      </c>
      <c r="GF171" s="74">
        <v>8632.8973696551529</v>
      </c>
      <c r="GG171" s="74">
        <v>14109.120061618252</v>
      </c>
      <c r="GH171" s="74">
        <v>16760.939571462462</v>
      </c>
      <c r="GI171" s="74">
        <v>20287.888229607699</v>
      </c>
      <c r="GJ171" s="72">
        <v>0</v>
      </c>
      <c r="GK171" s="72">
        <v>0</v>
      </c>
      <c r="GL171" s="72">
        <v>0</v>
      </c>
      <c r="GM171" s="72">
        <v>0</v>
      </c>
      <c r="GN171" s="72">
        <v>0</v>
      </c>
      <c r="GO171" s="72">
        <v>0</v>
      </c>
      <c r="GP171" s="72">
        <v>1.9528670236468315E-8</v>
      </c>
      <c r="GQ171" s="72">
        <v>16389.049941962563</v>
      </c>
      <c r="GR171" s="72">
        <f t="shared" si="2"/>
        <v>166232.35220484389</v>
      </c>
      <c r="GS171" s="72">
        <f>SUM(FL$5:FL$202)</f>
        <v>166232.35220484386</v>
      </c>
      <c r="GT171" s="73">
        <v>0</v>
      </c>
    </row>
    <row r="172" spans="1:202" x14ac:dyDescent="0.2">
      <c r="A172" s="66" t="s">
        <v>1504</v>
      </c>
      <c r="B172" s="72">
        <v>0</v>
      </c>
      <c r="C172" s="72">
        <v>0</v>
      </c>
      <c r="D172" s="72">
        <v>0</v>
      </c>
      <c r="E172" s="72">
        <v>0</v>
      </c>
      <c r="F172" s="72">
        <v>0</v>
      </c>
      <c r="G172" s="72">
        <v>0</v>
      </c>
      <c r="H172" s="72">
        <v>0</v>
      </c>
      <c r="I172" s="72">
        <v>0</v>
      </c>
      <c r="J172" s="72">
        <v>0</v>
      </c>
      <c r="K172" s="72">
        <v>0</v>
      </c>
      <c r="L172" s="72">
        <v>0</v>
      </c>
      <c r="M172" s="72">
        <v>0</v>
      </c>
      <c r="N172" s="72">
        <v>0</v>
      </c>
      <c r="O172" s="72">
        <v>0</v>
      </c>
      <c r="P172" s="72">
        <v>0</v>
      </c>
      <c r="Q172" s="72">
        <v>0</v>
      </c>
      <c r="R172" s="72">
        <v>0</v>
      </c>
      <c r="S172" s="72">
        <v>0</v>
      </c>
      <c r="T172" s="72">
        <v>0</v>
      </c>
      <c r="U172" s="72">
        <v>0</v>
      </c>
      <c r="V172" s="72">
        <v>0</v>
      </c>
      <c r="W172" s="72">
        <v>0</v>
      </c>
      <c r="X172" s="72">
        <v>0</v>
      </c>
      <c r="Y172" s="72">
        <v>0</v>
      </c>
      <c r="Z172" s="72">
        <v>0</v>
      </c>
      <c r="AA172" s="72">
        <v>0</v>
      </c>
      <c r="AB172" s="72">
        <v>0</v>
      </c>
      <c r="AC172" s="72">
        <v>0</v>
      </c>
      <c r="AD172" s="72">
        <v>0</v>
      </c>
      <c r="AE172" s="72">
        <v>0</v>
      </c>
      <c r="AF172" s="72">
        <v>0</v>
      </c>
      <c r="AG172" s="72">
        <v>0</v>
      </c>
      <c r="AH172" s="72">
        <v>0</v>
      </c>
      <c r="AI172" s="72">
        <v>325.49702454379451</v>
      </c>
      <c r="AJ172" s="72">
        <v>435.85857267927554</v>
      </c>
      <c r="AK172" s="72">
        <v>0</v>
      </c>
      <c r="AL172" s="72">
        <v>0</v>
      </c>
      <c r="AM172" s="72">
        <v>0</v>
      </c>
      <c r="AN172" s="72">
        <v>0</v>
      </c>
      <c r="AO172" s="72">
        <v>0</v>
      </c>
      <c r="AP172" s="72">
        <v>0</v>
      </c>
      <c r="AQ172" s="72">
        <v>0</v>
      </c>
      <c r="AR172" s="72">
        <v>0</v>
      </c>
      <c r="AS172" s="72">
        <v>0</v>
      </c>
      <c r="AT172" s="72">
        <v>0</v>
      </c>
      <c r="AU172" s="72">
        <v>0</v>
      </c>
      <c r="AV172" s="72">
        <v>0</v>
      </c>
      <c r="AW172" s="72">
        <v>0</v>
      </c>
      <c r="AX172" s="72">
        <v>0</v>
      </c>
      <c r="AY172" s="72">
        <v>0</v>
      </c>
      <c r="AZ172" s="72">
        <v>0</v>
      </c>
      <c r="BA172" s="72">
        <v>0</v>
      </c>
      <c r="BB172" s="72">
        <v>0</v>
      </c>
      <c r="BC172" s="72">
        <v>1265.7519959679896</v>
      </c>
      <c r="BD172" s="72">
        <v>52.185663828918919</v>
      </c>
      <c r="BE172" s="72">
        <v>253.74228057139129</v>
      </c>
      <c r="BF172" s="72">
        <v>0</v>
      </c>
      <c r="BG172" s="72">
        <v>0</v>
      </c>
      <c r="BH172" s="72">
        <v>14.516900576703948</v>
      </c>
      <c r="BI172" s="72">
        <v>421.9038822496077</v>
      </c>
      <c r="BJ172" s="72">
        <v>2109.893692532265</v>
      </c>
      <c r="BK172" s="72">
        <v>0</v>
      </c>
      <c r="BL172" s="72">
        <v>0</v>
      </c>
      <c r="BM172" s="72">
        <v>0</v>
      </c>
      <c r="BN172" s="72">
        <v>0</v>
      </c>
      <c r="BO172" s="72">
        <v>0</v>
      </c>
      <c r="BP172" s="72">
        <v>0</v>
      </c>
      <c r="BQ172" s="72">
        <v>0</v>
      </c>
      <c r="BR172" s="72">
        <v>0</v>
      </c>
      <c r="BS172" s="72">
        <v>0</v>
      </c>
      <c r="BT172" s="72">
        <v>0</v>
      </c>
      <c r="BU172" s="72">
        <v>0</v>
      </c>
      <c r="BV172" s="72">
        <v>0</v>
      </c>
      <c r="BW172" s="72">
        <v>0</v>
      </c>
      <c r="BX172" s="72">
        <v>0</v>
      </c>
      <c r="BY172" s="72">
        <v>0</v>
      </c>
      <c r="BZ172" s="72">
        <v>0</v>
      </c>
      <c r="CA172" s="72">
        <v>0</v>
      </c>
      <c r="CB172" s="72">
        <v>0</v>
      </c>
      <c r="CC172" s="72">
        <v>0</v>
      </c>
      <c r="CD172" s="72">
        <v>0</v>
      </c>
      <c r="CE172" s="72">
        <v>0</v>
      </c>
      <c r="CF172" s="72">
        <v>0</v>
      </c>
      <c r="CG172" s="72">
        <v>0</v>
      </c>
      <c r="CH172" s="72">
        <v>0</v>
      </c>
      <c r="CI172" s="72">
        <v>0</v>
      </c>
      <c r="CJ172" s="72">
        <v>0</v>
      </c>
      <c r="CK172" s="72">
        <v>0</v>
      </c>
      <c r="CL172" s="72">
        <v>0</v>
      </c>
      <c r="CM172" s="72">
        <v>0</v>
      </c>
      <c r="CN172" s="72">
        <v>0</v>
      </c>
      <c r="CO172" s="72">
        <v>0</v>
      </c>
      <c r="CP172" s="72">
        <v>0</v>
      </c>
      <c r="CQ172" s="72">
        <v>0</v>
      </c>
      <c r="CR172" s="72">
        <v>0</v>
      </c>
      <c r="CS172" s="72">
        <v>0</v>
      </c>
      <c r="CT172" s="72">
        <v>0</v>
      </c>
      <c r="CU172" s="72">
        <v>0</v>
      </c>
      <c r="CV172" s="72">
        <v>0</v>
      </c>
      <c r="CW172" s="72">
        <v>0</v>
      </c>
      <c r="CX172" s="72">
        <v>0</v>
      </c>
      <c r="CY172" s="72">
        <v>0</v>
      </c>
      <c r="CZ172" s="72">
        <v>0</v>
      </c>
      <c r="DA172" s="72">
        <v>0</v>
      </c>
      <c r="DB172" s="72">
        <v>0</v>
      </c>
      <c r="DC172" s="72">
        <v>0</v>
      </c>
      <c r="DD172" s="72">
        <v>0</v>
      </c>
      <c r="DE172" s="72">
        <v>0</v>
      </c>
      <c r="DF172" s="72">
        <v>0</v>
      </c>
      <c r="DG172" s="72">
        <v>0</v>
      </c>
      <c r="DH172" s="72">
        <v>0</v>
      </c>
      <c r="DI172" s="72">
        <v>0</v>
      </c>
      <c r="DJ172" s="72">
        <v>0</v>
      </c>
      <c r="DK172" s="72">
        <v>0</v>
      </c>
      <c r="DL172" s="72">
        <v>0</v>
      </c>
      <c r="DM172" s="72">
        <v>0</v>
      </c>
      <c r="DN172" s="72">
        <v>0</v>
      </c>
      <c r="DO172" s="72">
        <v>0</v>
      </c>
      <c r="DP172" s="72">
        <v>0</v>
      </c>
      <c r="DQ172" s="72">
        <v>0</v>
      </c>
      <c r="DR172" s="72">
        <v>0</v>
      </c>
      <c r="DS172" s="72">
        <v>0</v>
      </c>
      <c r="DT172" s="72">
        <v>0</v>
      </c>
      <c r="DU172" s="72">
        <v>0</v>
      </c>
      <c r="DV172" s="72">
        <v>0</v>
      </c>
      <c r="DW172" s="72">
        <v>0</v>
      </c>
      <c r="DX172" s="72">
        <v>0</v>
      </c>
      <c r="DY172" s="72">
        <v>0</v>
      </c>
      <c r="DZ172" s="72">
        <v>0</v>
      </c>
      <c r="EA172" s="72">
        <v>0</v>
      </c>
      <c r="EB172" s="72">
        <v>0</v>
      </c>
      <c r="EC172" s="72">
        <v>0</v>
      </c>
      <c r="ED172" s="72">
        <v>0</v>
      </c>
      <c r="EE172" s="72">
        <v>0</v>
      </c>
      <c r="EF172" s="72">
        <v>0</v>
      </c>
      <c r="EG172" s="72">
        <v>0</v>
      </c>
      <c r="EH172" s="72">
        <v>0</v>
      </c>
      <c r="EI172" s="72">
        <v>0</v>
      </c>
      <c r="EJ172" s="72">
        <v>0</v>
      </c>
      <c r="EK172" s="72">
        <v>0</v>
      </c>
      <c r="EL172" s="72">
        <v>0</v>
      </c>
      <c r="EM172" s="72">
        <v>0</v>
      </c>
      <c r="EN172" s="72">
        <v>0</v>
      </c>
      <c r="EO172" s="72">
        <v>0</v>
      </c>
      <c r="EP172" s="72">
        <v>0</v>
      </c>
      <c r="EQ172" s="72">
        <v>0</v>
      </c>
      <c r="ER172" s="72">
        <v>0</v>
      </c>
      <c r="ES172" s="72">
        <v>0</v>
      </c>
      <c r="ET172" s="72">
        <v>0</v>
      </c>
      <c r="EU172" s="72">
        <v>0</v>
      </c>
      <c r="EV172" s="72">
        <v>0</v>
      </c>
      <c r="EW172" s="72">
        <v>0</v>
      </c>
      <c r="EX172" s="72">
        <v>0</v>
      </c>
      <c r="EY172" s="72">
        <v>0</v>
      </c>
      <c r="EZ172" s="72">
        <v>0</v>
      </c>
      <c r="FA172" s="72">
        <v>0</v>
      </c>
      <c r="FB172" s="72">
        <v>0</v>
      </c>
      <c r="FC172" s="72">
        <v>0</v>
      </c>
      <c r="FD172" s="72">
        <v>0</v>
      </c>
      <c r="FE172" s="72">
        <v>0</v>
      </c>
      <c r="FF172" s="72">
        <v>0</v>
      </c>
      <c r="FG172" s="72">
        <v>0</v>
      </c>
      <c r="FH172" s="72">
        <v>0</v>
      </c>
      <c r="FI172" s="72">
        <v>0</v>
      </c>
      <c r="FJ172" s="72">
        <v>0</v>
      </c>
      <c r="FK172" s="72">
        <v>0</v>
      </c>
      <c r="FL172" s="72">
        <v>0</v>
      </c>
      <c r="FM172" s="72">
        <v>0</v>
      </c>
      <c r="FN172" s="72">
        <v>0</v>
      </c>
      <c r="FO172" s="72">
        <v>0</v>
      </c>
      <c r="FP172" s="72">
        <v>0</v>
      </c>
      <c r="FQ172" s="72">
        <v>0</v>
      </c>
      <c r="FR172" s="72">
        <v>0</v>
      </c>
      <c r="FS172" s="72">
        <v>0</v>
      </c>
      <c r="FT172" s="72">
        <v>0</v>
      </c>
      <c r="FU172" s="72">
        <v>0</v>
      </c>
      <c r="FV172" s="74">
        <v>520.15424972578296</v>
      </c>
      <c r="FW172" s="74">
        <v>1178.5486487813741</v>
      </c>
      <c r="FX172" s="74">
        <v>1540.3055293761324</v>
      </c>
      <c r="FY172" s="74">
        <v>1916.8525491764519</v>
      </c>
      <c r="FZ172" s="74">
        <v>2106.3608882084905</v>
      </c>
      <c r="GA172" s="74">
        <v>3064.1800057790711</v>
      </c>
      <c r="GB172" s="74">
        <v>5346.0334290754126</v>
      </c>
      <c r="GC172" s="74">
        <v>8637.2379486262726</v>
      </c>
      <c r="GD172" s="74">
        <v>18470.20459065646</v>
      </c>
      <c r="GE172" s="74">
        <v>6710.8912154491964</v>
      </c>
      <c r="GF172" s="74">
        <v>6036.4972745447158</v>
      </c>
      <c r="GG172" s="74">
        <v>9865.7103346966942</v>
      </c>
      <c r="GH172" s="74">
        <v>11719.977860223704</v>
      </c>
      <c r="GI172" s="74">
        <v>14186.173744491851</v>
      </c>
      <c r="GJ172" s="72">
        <v>0</v>
      </c>
      <c r="GK172" s="72">
        <v>0</v>
      </c>
      <c r="GL172" s="72">
        <v>0</v>
      </c>
      <c r="GM172" s="72">
        <v>0</v>
      </c>
      <c r="GN172" s="72">
        <v>0</v>
      </c>
      <c r="GO172" s="72">
        <v>0</v>
      </c>
      <c r="GP172" s="72">
        <v>6.2718754634261131E-9</v>
      </c>
      <c r="GQ172" s="72">
        <v>753.23581436009101</v>
      </c>
      <c r="GR172" s="72">
        <f t="shared" si="2"/>
        <v>96931.714096127922</v>
      </c>
      <c r="GS172" s="72">
        <f>SUM(FM$5:FM$202)</f>
        <v>96931.714096127907</v>
      </c>
      <c r="GT172" s="73">
        <v>0</v>
      </c>
    </row>
    <row r="173" spans="1:202" x14ac:dyDescent="0.2">
      <c r="A173" s="66" t="s">
        <v>1505</v>
      </c>
      <c r="B173" s="72">
        <v>0</v>
      </c>
      <c r="C173" s="72">
        <v>0</v>
      </c>
      <c r="D173" s="72">
        <v>0</v>
      </c>
      <c r="E173" s="72">
        <v>0</v>
      </c>
      <c r="F173" s="72">
        <v>0</v>
      </c>
      <c r="G173" s="72">
        <v>0</v>
      </c>
      <c r="H173" s="72">
        <v>0</v>
      </c>
      <c r="I173" s="72">
        <v>0</v>
      </c>
      <c r="J173" s="72">
        <v>0</v>
      </c>
      <c r="K173" s="72">
        <v>0</v>
      </c>
      <c r="L173" s="72">
        <v>0</v>
      </c>
      <c r="M173" s="72">
        <v>0</v>
      </c>
      <c r="N173" s="72">
        <v>0</v>
      </c>
      <c r="O173" s="72">
        <v>0</v>
      </c>
      <c r="P173" s="72">
        <v>0</v>
      </c>
      <c r="Q173" s="72">
        <v>0</v>
      </c>
      <c r="R173" s="72">
        <v>0</v>
      </c>
      <c r="S173" s="72">
        <v>0</v>
      </c>
      <c r="T173" s="72">
        <v>0</v>
      </c>
      <c r="U173" s="72">
        <v>0</v>
      </c>
      <c r="V173" s="72">
        <v>0</v>
      </c>
      <c r="W173" s="72">
        <v>0</v>
      </c>
      <c r="X173" s="72">
        <v>0</v>
      </c>
      <c r="Y173" s="72">
        <v>0</v>
      </c>
      <c r="Z173" s="72">
        <v>0</v>
      </c>
      <c r="AA173" s="72">
        <v>0</v>
      </c>
      <c r="AB173" s="72">
        <v>0</v>
      </c>
      <c r="AC173" s="72">
        <v>0</v>
      </c>
      <c r="AD173" s="72">
        <v>0</v>
      </c>
      <c r="AE173" s="72">
        <v>0</v>
      </c>
      <c r="AF173" s="72">
        <v>0</v>
      </c>
      <c r="AG173" s="72">
        <v>0</v>
      </c>
      <c r="AH173" s="72">
        <v>0</v>
      </c>
      <c r="AI173" s="72">
        <v>0</v>
      </c>
      <c r="AJ173" s="72">
        <v>0</v>
      </c>
      <c r="AK173" s="72">
        <v>0</v>
      </c>
      <c r="AL173" s="72">
        <v>0</v>
      </c>
      <c r="AM173" s="72">
        <v>0</v>
      </c>
      <c r="AN173" s="72">
        <v>0</v>
      </c>
      <c r="AO173" s="72">
        <v>0</v>
      </c>
      <c r="AP173" s="72">
        <v>0</v>
      </c>
      <c r="AQ173" s="72">
        <v>0</v>
      </c>
      <c r="AR173" s="72">
        <v>0</v>
      </c>
      <c r="AS173" s="72">
        <v>0</v>
      </c>
      <c r="AT173" s="72">
        <v>0</v>
      </c>
      <c r="AU173" s="72">
        <v>0</v>
      </c>
      <c r="AV173" s="72">
        <v>0</v>
      </c>
      <c r="AW173" s="72">
        <v>0</v>
      </c>
      <c r="AX173" s="72">
        <v>0</v>
      </c>
      <c r="AY173" s="72">
        <v>0</v>
      </c>
      <c r="AZ173" s="72">
        <v>0</v>
      </c>
      <c r="BA173" s="72">
        <v>0</v>
      </c>
      <c r="BB173" s="72">
        <v>0</v>
      </c>
      <c r="BC173" s="72">
        <v>0</v>
      </c>
      <c r="BD173" s="72">
        <v>0</v>
      </c>
      <c r="BE173" s="72">
        <v>0</v>
      </c>
      <c r="BF173" s="72">
        <v>0</v>
      </c>
      <c r="BG173" s="72">
        <v>0</v>
      </c>
      <c r="BH173" s="72">
        <v>0</v>
      </c>
      <c r="BI173" s="72">
        <v>0</v>
      </c>
      <c r="BJ173" s="72">
        <v>0</v>
      </c>
      <c r="BK173" s="72">
        <v>0</v>
      </c>
      <c r="BL173" s="72">
        <v>0</v>
      </c>
      <c r="BM173" s="72">
        <v>0</v>
      </c>
      <c r="BN173" s="72">
        <v>0</v>
      </c>
      <c r="BO173" s="72">
        <v>0</v>
      </c>
      <c r="BP173" s="72">
        <v>0</v>
      </c>
      <c r="BQ173" s="72">
        <v>0</v>
      </c>
      <c r="BR173" s="72">
        <v>0</v>
      </c>
      <c r="BS173" s="72">
        <v>0</v>
      </c>
      <c r="BT173" s="72">
        <v>0</v>
      </c>
      <c r="BU173" s="72">
        <v>0</v>
      </c>
      <c r="BV173" s="72">
        <v>0</v>
      </c>
      <c r="BW173" s="72">
        <v>0</v>
      </c>
      <c r="BX173" s="72">
        <v>0</v>
      </c>
      <c r="BY173" s="72">
        <v>0</v>
      </c>
      <c r="BZ173" s="72">
        <v>0</v>
      </c>
      <c r="CA173" s="72">
        <v>0</v>
      </c>
      <c r="CB173" s="72">
        <v>0</v>
      </c>
      <c r="CC173" s="72">
        <v>0</v>
      </c>
      <c r="CD173" s="72">
        <v>0</v>
      </c>
      <c r="CE173" s="72">
        <v>0</v>
      </c>
      <c r="CF173" s="72">
        <v>0</v>
      </c>
      <c r="CG173" s="72">
        <v>0</v>
      </c>
      <c r="CH173" s="72">
        <v>0</v>
      </c>
      <c r="CI173" s="72">
        <v>0</v>
      </c>
      <c r="CJ173" s="72">
        <v>0</v>
      </c>
      <c r="CK173" s="72">
        <v>0</v>
      </c>
      <c r="CL173" s="72">
        <v>0</v>
      </c>
      <c r="CM173" s="72">
        <v>0</v>
      </c>
      <c r="CN173" s="72">
        <v>0</v>
      </c>
      <c r="CO173" s="72">
        <v>0</v>
      </c>
      <c r="CP173" s="72">
        <v>0</v>
      </c>
      <c r="CQ173" s="72">
        <v>0</v>
      </c>
      <c r="CR173" s="72">
        <v>0</v>
      </c>
      <c r="CS173" s="72">
        <v>0</v>
      </c>
      <c r="CT173" s="72">
        <v>0</v>
      </c>
      <c r="CU173" s="72">
        <v>0</v>
      </c>
      <c r="CV173" s="72">
        <v>0</v>
      </c>
      <c r="CW173" s="72">
        <v>0</v>
      </c>
      <c r="CX173" s="72">
        <v>0</v>
      </c>
      <c r="CY173" s="72">
        <v>0</v>
      </c>
      <c r="CZ173" s="72">
        <v>0</v>
      </c>
      <c r="DA173" s="72">
        <v>0</v>
      </c>
      <c r="DB173" s="72">
        <v>0</v>
      </c>
      <c r="DC173" s="72">
        <v>0</v>
      </c>
      <c r="DD173" s="72">
        <v>0</v>
      </c>
      <c r="DE173" s="72">
        <v>0</v>
      </c>
      <c r="DF173" s="72">
        <v>0</v>
      </c>
      <c r="DG173" s="72">
        <v>0</v>
      </c>
      <c r="DH173" s="72">
        <v>0</v>
      </c>
      <c r="DI173" s="72">
        <v>0</v>
      </c>
      <c r="DJ173" s="72">
        <v>0</v>
      </c>
      <c r="DK173" s="72">
        <v>0</v>
      </c>
      <c r="DL173" s="72">
        <v>0</v>
      </c>
      <c r="DM173" s="72">
        <v>0</v>
      </c>
      <c r="DN173" s="72">
        <v>0</v>
      </c>
      <c r="DO173" s="72">
        <v>0</v>
      </c>
      <c r="DP173" s="72">
        <v>0</v>
      </c>
      <c r="DQ173" s="72">
        <v>0</v>
      </c>
      <c r="DR173" s="72">
        <v>0</v>
      </c>
      <c r="DS173" s="72">
        <v>0</v>
      </c>
      <c r="DT173" s="72">
        <v>0</v>
      </c>
      <c r="DU173" s="72">
        <v>0</v>
      </c>
      <c r="DV173" s="72">
        <v>0</v>
      </c>
      <c r="DW173" s="72">
        <v>0</v>
      </c>
      <c r="DX173" s="72">
        <v>0</v>
      </c>
      <c r="DY173" s="72">
        <v>0</v>
      </c>
      <c r="DZ173" s="72">
        <v>0</v>
      </c>
      <c r="EA173" s="72">
        <v>0</v>
      </c>
      <c r="EB173" s="72">
        <v>0</v>
      </c>
      <c r="EC173" s="72">
        <v>0</v>
      </c>
      <c r="ED173" s="72">
        <v>0</v>
      </c>
      <c r="EE173" s="72">
        <v>0</v>
      </c>
      <c r="EF173" s="72">
        <v>0</v>
      </c>
      <c r="EG173" s="72">
        <v>0</v>
      </c>
      <c r="EH173" s="72">
        <v>0</v>
      </c>
      <c r="EI173" s="72">
        <v>0</v>
      </c>
      <c r="EJ173" s="72">
        <v>0</v>
      </c>
      <c r="EK173" s="72">
        <v>0</v>
      </c>
      <c r="EL173" s="72">
        <v>0</v>
      </c>
      <c r="EM173" s="72">
        <v>0</v>
      </c>
      <c r="EN173" s="72">
        <v>0</v>
      </c>
      <c r="EO173" s="72">
        <v>0</v>
      </c>
      <c r="EP173" s="72">
        <v>0</v>
      </c>
      <c r="EQ173" s="72">
        <v>0</v>
      </c>
      <c r="ER173" s="72">
        <v>0</v>
      </c>
      <c r="ES173" s="72">
        <v>0</v>
      </c>
      <c r="ET173" s="72">
        <v>0</v>
      </c>
      <c r="EU173" s="72">
        <v>0</v>
      </c>
      <c r="EV173" s="72">
        <v>0</v>
      </c>
      <c r="EW173" s="72">
        <v>0</v>
      </c>
      <c r="EX173" s="72">
        <v>0</v>
      </c>
      <c r="EY173" s="72">
        <v>0</v>
      </c>
      <c r="EZ173" s="72">
        <v>0</v>
      </c>
      <c r="FA173" s="72">
        <v>0</v>
      </c>
      <c r="FB173" s="72">
        <v>0</v>
      </c>
      <c r="FC173" s="72">
        <v>0</v>
      </c>
      <c r="FD173" s="72">
        <v>0</v>
      </c>
      <c r="FE173" s="72">
        <v>0</v>
      </c>
      <c r="FF173" s="72">
        <v>0</v>
      </c>
      <c r="FG173" s="72">
        <v>0</v>
      </c>
      <c r="FH173" s="72">
        <v>0</v>
      </c>
      <c r="FI173" s="72">
        <v>0</v>
      </c>
      <c r="FJ173" s="72">
        <v>0</v>
      </c>
      <c r="FK173" s="72">
        <v>0</v>
      </c>
      <c r="FL173" s="72">
        <v>0</v>
      </c>
      <c r="FM173" s="72">
        <v>0</v>
      </c>
      <c r="FN173" s="72">
        <v>0</v>
      </c>
      <c r="FO173" s="72">
        <v>0</v>
      </c>
      <c r="FP173" s="72">
        <v>0</v>
      </c>
      <c r="FQ173" s="72">
        <v>0</v>
      </c>
      <c r="FR173" s="72">
        <v>0</v>
      </c>
      <c r="FS173" s="72">
        <v>0</v>
      </c>
      <c r="FT173" s="72">
        <v>0</v>
      </c>
      <c r="FU173" s="72">
        <v>0</v>
      </c>
      <c r="FV173" s="74">
        <v>355.63357710103656</v>
      </c>
      <c r="FW173" s="74">
        <v>805.7830383480914</v>
      </c>
      <c r="FX173" s="74">
        <v>1053.1190805983474</v>
      </c>
      <c r="FY173" s="74">
        <v>1310.5672580743924</v>
      </c>
      <c r="FZ173" s="74">
        <v>1440.1356092624671</v>
      </c>
      <c r="GA173" s="74">
        <v>2095.0041202415855</v>
      </c>
      <c r="GB173" s="74">
        <v>3655.125364612722</v>
      </c>
      <c r="GC173" s="74">
        <v>5905.347941619485</v>
      </c>
      <c r="GD173" s="74">
        <v>12628.22505406044</v>
      </c>
      <c r="GE173" s="74">
        <v>4588.289434805748</v>
      </c>
      <c r="GF173" s="74">
        <v>4127.2009601743021</v>
      </c>
      <c r="GG173" s="74">
        <v>6745.2642342545814</v>
      </c>
      <c r="GH173" s="74">
        <v>8013.0416163544187</v>
      </c>
      <c r="GI173" s="74">
        <v>9699.1992602004666</v>
      </c>
      <c r="GJ173" s="72">
        <v>0</v>
      </c>
      <c r="GK173" s="72">
        <v>0</v>
      </c>
      <c r="GL173" s="72">
        <v>0</v>
      </c>
      <c r="GM173" s="72">
        <v>0</v>
      </c>
      <c r="GN173" s="72">
        <v>0</v>
      </c>
      <c r="GO173" s="72">
        <v>0</v>
      </c>
      <c r="GP173" s="72">
        <v>0</v>
      </c>
      <c r="GQ173" s="72">
        <v>0</v>
      </c>
      <c r="GR173" s="72">
        <f t="shared" si="2"/>
        <v>62421.936549708087</v>
      </c>
      <c r="GS173" s="72">
        <f>SUM(FN$5:FN$202)</f>
        <v>62421.93654970808</v>
      </c>
      <c r="GT173" s="73">
        <v>0</v>
      </c>
    </row>
    <row r="174" spans="1:202" x14ac:dyDescent="0.2">
      <c r="A174" s="66" t="s">
        <v>1518</v>
      </c>
      <c r="B174" s="72">
        <v>0</v>
      </c>
      <c r="C174" s="72">
        <v>0</v>
      </c>
      <c r="D174" s="72">
        <v>0</v>
      </c>
      <c r="E174" s="72">
        <v>0</v>
      </c>
      <c r="F174" s="72">
        <v>0</v>
      </c>
      <c r="G174" s="72">
        <v>0</v>
      </c>
      <c r="H174" s="72">
        <v>0</v>
      </c>
      <c r="I174" s="72">
        <v>0</v>
      </c>
      <c r="J174" s="72">
        <v>0</v>
      </c>
      <c r="K174" s="72">
        <v>0</v>
      </c>
      <c r="L174" s="72">
        <v>0</v>
      </c>
      <c r="M174" s="72">
        <v>0</v>
      </c>
      <c r="N174" s="72">
        <v>0</v>
      </c>
      <c r="O174" s="72">
        <v>0</v>
      </c>
      <c r="P174" s="72">
        <v>0</v>
      </c>
      <c r="Q174" s="72">
        <v>0</v>
      </c>
      <c r="R174" s="72">
        <v>0</v>
      </c>
      <c r="S174" s="72">
        <v>0</v>
      </c>
      <c r="T174" s="72">
        <v>0</v>
      </c>
      <c r="U174" s="72">
        <v>0</v>
      </c>
      <c r="V174" s="72">
        <v>0</v>
      </c>
      <c r="W174" s="72">
        <v>0</v>
      </c>
      <c r="X174" s="72">
        <v>0</v>
      </c>
      <c r="Y174" s="72">
        <v>0</v>
      </c>
      <c r="Z174" s="72">
        <v>0</v>
      </c>
      <c r="AA174" s="72">
        <v>0</v>
      </c>
      <c r="AB174" s="72">
        <v>0</v>
      </c>
      <c r="AC174" s="72">
        <v>0</v>
      </c>
      <c r="AD174" s="72">
        <v>0</v>
      </c>
      <c r="AE174" s="72">
        <v>0</v>
      </c>
      <c r="AF174" s="72">
        <v>0</v>
      </c>
      <c r="AG174" s="72">
        <v>0</v>
      </c>
      <c r="AH174" s="72">
        <v>0</v>
      </c>
      <c r="AI174" s="72">
        <v>0</v>
      </c>
      <c r="AJ174" s="72">
        <v>0</v>
      </c>
      <c r="AK174" s="72">
        <v>0</v>
      </c>
      <c r="AL174" s="72">
        <v>0</v>
      </c>
      <c r="AM174" s="72">
        <v>0</v>
      </c>
      <c r="AN174" s="72">
        <v>0</v>
      </c>
      <c r="AO174" s="72">
        <v>0</v>
      </c>
      <c r="AP174" s="72">
        <v>0</v>
      </c>
      <c r="AQ174" s="72">
        <v>0</v>
      </c>
      <c r="AR174" s="72">
        <v>0</v>
      </c>
      <c r="AS174" s="72">
        <v>0</v>
      </c>
      <c r="AT174" s="72">
        <v>0</v>
      </c>
      <c r="AU174" s="72">
        <v>0</v>
      </c>
      <c r="AV174" s="72">
        <v>0</v>
      </c>
      <c r="AW174" s="72">
        <v>0</v>
      </c>
      <c r="AX174" s="72">
        <v>0</v>
      </c>
      <c r="AY174" s="72">
        <v>0</v>
      </c>
      <c r="AZ174" s="72">
        <v>0</v>
      </c>
      <c r="BA174" s="72">
        <v>0</v>
      </c>
      <c r="BB174" s="72">
        <v>0</v>
      </c>
      <c r="BC174" s="72">
        <v>0</v>
      </c>
      <c r="BD174" s="72">
        <v>0</v>
      </c>
      <c r="BE174" s="72">
        <v>0</v>
      </c>
      <c r="BF174" s="72">
        <v>0</v>
      </c>
      <c r="BG174" s="72">
        <v>0</v>
      </c>
      <c r="BH174" s="72">
        <v>0</v>
      </c>
      <c r="BI174" s="72">
        <v>0</v>
      </c>
      <c r="BJ174" s="72">
        <v>0</v>
      </c>
      <c r="BK174" s="72">
        <v>8496.9361584489561</v>
      </c>
      <c r="BL174" s="72">
        <v>19717.212557529452</v>
      </c>
      <c r="BM174" s="72">
        <v>3869.6631768998768</v>
      </c>
      <c r="BN174" s="72">
        <v>1079.479909972425</v>
      </c>
      <c r="BO174" s="72">
        <v>214.20279550134853</v>
      </c>
      <c r="BP174" s="72">
        <v>8571.9246557561928</v>
      </c>
      <c r="BQ174" s="72">
        <v>3.9648833045012268</v>
      </c>
      <c r="BR174" s="72">
        <v>20609.121698335995</v>
      </c>
      <c r="BS174" s="72">
        <v>2263.7769830628458</v>
      </c>
      <c r="BT174" s="72">
        <v>835.07562253401909</v>
      </c>
      <c r="BU174" s="72">
        <v>28213.544966626105</v>
      </c>
      <c r="BV174" s="72">
        <v>3218.8839458284565</v>
      </c>
      <c r="BW174" s="72">
        <v>27226.76280391093</v>
      </c>
      <c r="BX174" s="72">
        <v>4586.4942485838574</v>
      </c>
      <c r="BY174" s="72">
        <v>8504.0748247797037</v>
      </c>
      <c r="BZ174" s="72">
        <v>11151.251959471669</v>
      </c>
      <c r="CA174" s="72">
        <v>4794.3252431306455</v>
      </c>
      <c r="CB174" s="72">
        <v>17980.218132078073</v>
      </c>
      <c r="CC174" s="72">
        <v>16995.451446816362</v>
      </c>
      <c r="CD174" s="72">
        <v>3450.4227403403838</v>
      </c>
      <c r="CE174" s="72">
        <v>9932.7893820221143</v>
      </c>
      <c r="CF174" s="72">
        <v>7169.7795312846392</v>
      </c>
      <c r="CG174" s="72">
        <v>7854.0501017411825</v>
      </c>
      <c r="CH174" s="72">
        <v>24452.593158950887</v>
      </c>
      <c r="CI174" s="72">
        <v>35788.065544246034</v>
      </c>
      <c r="CJ174" s="72">
        <v>18576.484094076415</v>
      </c>
      <c r="CK174" s="72">
        <v>10687.811441657273</v>
      </c>
      <c r="CL174" s="72">
        <v>400.13866099216494</v>
      </c>
      <c r="CM174" s="72">
        <v>5066.6451080007346</v>
      </c>
      <c r="CN174" s="72">
        <v>4160.0088038115891</v>
      </c>
      <c r="CO174" s="72">
        <v>1173.1906980347874</v>
      </c>
      <c r="CP174" s="72">
        <v>2054.8361876736203</v>
      </c>
      <c r="CQ174" s="72">
        <v>29445.671460613121</v>
      </c>
      <c r="CR174" s="72">
        <v>2526.9876288563628</v>
      </c>
      <c r="CS174" s="72">
        <v>12554.845673254085</v>
      </c>
      <c r="CT174" s="72">
        <v>6754.9805384587735</v>
      </c>
      <c r="CU174" s="72">
        <v>3158.1059491480528</v>
      </c>
      <c r="CV174" s="72">
        <v>10034.613306069477</v>
      </c>
      <c r="CW174" s="72">
        <v>951.10305969193405</v>
      </c>
      <c r="CX174" s="72">
        <v>64317.238254440119</v>
      </c>
      <c r="CY174" s="72">
        <v>12959.555183299102</v>
      </c>
      <c r="CZ174" s="72">
        <v>5867.5873758843609</v>
      </c>
      <c r="DA174" s="72">
        <v>40159.189791038734</v>
      </c>
      <c r="DB174" s="72">
        <v>20122.460320346403</v>
      </c>
      <c r="DC174" s="72">
        <v>7163.6404079229887</v>
      </c>
      <c r="DD174" s="72">
        <v>8910.8433904371668</v>
      </c>
      <c r="DE174" s="72">
        <v>4132.7321845271845</v>
      </c>
      <c r="DF174" s="72">
        <v>1756.4887800074926</v>
      </c>
      <c r="DG174" s="72">
        <v>4055.7158399342497</v>
      </c>
      <c r="DH174" s="72">
        <v>1325.7009825187242</v>
      </c>
      <c r="DI174" s="72">
        <v>10736.173168166046</v>
      </c>
      <c r="DJ174" s="72">
        <v>2280.3180021603102</v>
      </c>
      <c r="DK174" s="72">
        <v>3162.610860358026</v>
      </c>
      <c r="DL174" s="72">
        <v>19194.252205282555</v>
      </c>
      <c r="DM174" s="72">
        <v>9419.516388883354</v>
      </c>
      <c r="DN174" s="72">
        <v>9054.2293659475072</v>
      </c>
      <c r="DO174" s="72">
        <v>8893.9408119339914</v>
      </c>
      <c r="DP174" s="72">
        <v>4114.805677243543</v>
      </c>
      <c r="DQ174" s="72">
        <v>5603.4343751119268</v>
      </c>
      <c r="DR174" s="72">
        <v>3646.1610167710342</v>
      </c>
      <c r="DS174" s="72">
        <v>6603.1225622226721</v>
      </c>
      <c r="DT174" s="72">
        <v>16402.622750306211</v>
      </c>
      <c r="DU174" s="72">
        <v>2048.9468163601259</v>
      </c>
      <c r="DV174" s="72">
        <v>128.70193166708319</v>
      </c>
      <c r="DW174" s="72">
        <v>1452.68850016744</v>
      </c>
      <c r="DX174" s="72">
        <v>30797.456490755369</v>
      </c>
      <c r="DY174" s="72">
        <v>13136.843726307041</v>
      </c>
      <c r="DZ174" s="72">
        <v>17729.416695380187</v>
      </c>
      <c r="EA174" s="72">
        <v>19787.79303864824</v>
      </c>
      <c r="EB174" s="72">
        <v>38771.695549972777</v>
      </c>
      <c r="EC174" s="72">
        <v>12831.647730796816</v>
      </c>
      <c r="ED174" s="72">
        <v>73402.281690322125</v>
      </c>
      <c r="EE174" s="72">
        <v>2613.7264507470313</v>
      </c>
      <c r="EF174" s="72">
        <v>81.767520129049686</v>
      </c>
      <c r="EG174" s="72">
        <v>1863.7711691871907</v>
      </c>
      <c r="EH174" s="72">
        <v>432.58812345392221</v>
      </c>
      <c r="EI174" s="72">
        <v>1815.1593033874626</v>
      </c>
      <c r="EJ174" s="72">
        <v>0</v>
      </c>
      <c r="EK174" s="72">
        <v>0</v>
      </c>
      <c r="EL174" s="72">
        <v>0</v>
      </c>
      <c r="EM174" s="72">
        <v>0</v>
      </c>
      <c r="EN174" s="72">
        <v>0</v>
      </c>
      <c r="EO174" s="72">
        <v>0</v>
      </c>
      <c r="EP174" s="72">
        <v>0</v>
      </c>
      <c r="EQ174" s="72">
        <v>0</v>
      </c>
      <c r="ER174" s="72">
        <v>0</v>
      </c>
      <c r="ES174" s="72">
        <v>0</v>
      </c>
      <c r="ET174" s="72">
        <v>0</v>
      </c>
      <c r="EU174" s="72">
        <v>0</v>
      </c>
      <c r="EV174" s="72">
        <v>0</v>
      </c>
      <c r="EW174" s="72">
        <v>0</v>
      </c>
      <c r="EX174" s="72">
        <v>0</v>
      </c>
      <c r="EY174" s="72">
        <v>0</v>
      </c>
      <c r="EZ174" s="72">
        <v>0</v>
      </c>
      <c r="FA174" s="72">
        <v>0</v>
      </c>
      <c r="FB174" s="72">
        <v>0</v>
      </c>
      <c r="FC174" s="72">
        <v>0</v>
      </c>
      <c r="FD174" s="72">
        <v>0</v>
      </c>
      <c r="FE174" s="72">
        <v>0</v>
      </c>
      <c r="FF174" s="72">
        <v>0</v>
      </c>
      <c r="FG174" s="72">
        <v>0</v>
      </c>
      <c r="FH174" s="72">
        <v>0</v>
      </c>
      <c r="FI174" s="72">
        <v>0</v>
      </c>
      <c r="FJ174" s="72">
        <v>0</v>
      </c>
      <c r="FK174" s="72">
        <v>0</v>
      </c>
      <c r="FL174" s="72">
        <v>0</v>
      </c>
      <c r="FM174" s="72">
        <v>0</v>
      </c>
      <c r="FN174" s="72">
        <v>0</v>
      </c>
      <c r="FO174" s="72">
        <v>0</v>
      </c>
      <c r="FP174" s="72">
        <v>0</v>
      </c>
      <c r="FQ174" s="72">
        <v>0</v>
      </c>
      <c r="FR174" s="72">
        <v>0</v>
      </c>
      <c r="FS174" s="72">
        <v>0</v>
      </c>
      <c r="FT174" s="72">
        <v>0</v>
      </c>
      <c r="FU174" s="72">
        <v>0</v>
      </c>
      <c r="FV174" s="72">
        <v>0</v>
      </c>
      <c r="FW174" s="72">
        <v>0</v>
      </c>
      <c r="FX174" s="72">
        <v>0</v>
      </c>
      <c r="FY174" s="72">
        <v>0</v>
      </c>
      <c r="FZ174" s="72">
        <v>0</v>
      </c>
      <c r="GA174" s="72">
        <v>0</v>
      </c>
      <c r="GB174" s="72">
        <v>0</v>
      </c>
      <c r="GC174" s="72">
        <v>0</v>
      </c>
      <c r="GD174" s="72">
        <v>0</v>
      </c>
      <c r="GE174" s="72">
        <v>0</v>
      </c>
      <c r="GF174" s="72">
        <v>0</v>
      </c>
      <c r="GG174" s="72">
        <v>0</v>
      </c>
      <c r="GH174" s="72">
        <v>0</v>
      </c>
      <c r="GI174" s="72">
        <v>0</v>
      </c>
      <c r="GJ174" s="72">
        <v>0</v>
      </c>
      <c r="GK174" s="72">
        <v>0</v>
      </c>
      <c r="GL174" s="72">
        <v>0</v>
      </c>
      <c r="GM174" s="72">
        <v>0</v>
      </c>
      <c r="GN174" s="72">
        <v>0</v>
      </c>
      <c r="GO174" s="72">
        <v>0</v>
      </c>
      <c r="GP174" s="72">
        <v>0</v>
      </c>
      <c r="GQ174" s="72">
        <v>0</v>
      </c>
      <c r="GR174" s="72">
        <f t="shared" si="2"/>
        <v>871302.31351352052</v>
      </c>
      <c r="GS174" s="72">
        <f>SUM(FO$5:FO$202)</f>
        <v>871302.31351352064</v>
      </c>
      <c r="GT174" s="73">
        <v>0</v>
      </c>
    </row>
    <row r="175" spans="1:202" x14ac:dyDescent="0.2">
      <c r="A175" s="75" t="s" cm="1">
        <v>1605</v>
      </c>
      <c r="B175" s="76">
        <v>12156.195227113696</v>
      </c>
      <c r="C175" s="76">
        <v>312.2289727313447</v>
      </c>
      <c r="D175" s="76">
        <v>1167.8116735136061</v>
      </c>
      <c r="E175" s="76">
        <v>711.92301425660435</v>
      </c>
      <c r="F175" s="76">
        <v>1700.858450580645</v>
      </c>
      <c r="G175" s="76">
        <v>10251.332728398665</v>
      </c>
      <c r="H175" s="76">
        <v>1437.2167773279396</v>
      </c>
      <c r="I175" s="76">
        <v>3782.6038256914449</v>
      </c>
      <c r="J175" s="76">
        <v>1040.8265779103335</v>
      </c>
      <c r="K175" s="76">
        <v>429.38551048326912</v>
      </c>
      <c r="L175" s="76">
        <v>1216.2827123076072</v>
      </c>
      <c r="M175" s="76">
        <v>66.972630662681041</v>
      </c>
      <c r="N175" s="76">
        <v>45.378953777314649</v>
      </c>
      <c r="O175" s="76">
        <v>1208.5392243245747</v>
      </c>
      <c r="P175" s="76">
        <v>1099.6819872984945</v>
      </c>
      <c r="Q175" s="76">
        <v>920.15304478332041</v>
      </c>
      <c r="R175" s="76">
        <v>509.61172755116303</v>
      </c>
      <c r="S175" s="76">
        <v>634.39689886750978</v>
      </c>
      <c r="T175" s="76">
        <v>1382.8426791497347</v>
      </c>
      <c r="U175" s="76">
        <v>309.30273879968945</v>
      </c>
      <c r="V175" s="76">
        <v>506.67733907758247</v>
      </c>
      <c r="W175" s="76">
        <v>143.34385461104699</v>
      </c>
      <c r="X175" s="76">
        <v>1204.7334311925176</v>
      </c>
      <c r="Y175" s="76">
        <v>1015.3853907081995</v>
      </c>
      <c r="Z175" s="76">
        <v>1763.1656904540866</v>
      </c>
      <c r="AA175" s="76">
        <v>1471.3431717659626</v>
      </c>
      <c r="AB175" s="76">
        <v>973.84072669445322</v>
      </c>
      <c r="AC175" s="76">
        <v>78.498420415402848</v>
      </c>
      <c r="AD175" s="76">
        <v>196.05184414150304</v>
      </c>
      <c r="AE175" s="76">
        <v>746.07256431903886</v>
      </c>
      <c r="AF175" s="76">
        <v>209.66583647024635</v>
      </c>
      <c r="AG175" s="76">
        <v>280.59137125721162</v>
      </c>
      <c r="AH175" s="76">
        <v>530.76332878093592</v>
      </c>
      <c r="AI175" s="76">
        <v>4007.5349151979381</v>
      </c>
      <c r="AJ175" s="76">
        <v>1360.478600892742</v>
      </c>
      <c r="AK175" s="76">
        <v>12524.084042007957</v>
      </c>
      <c r="AL175" s="76">
        <v>5964.3341202491056</v>
      </c>
      <c r="AM175" s="76">
        <v>4086.5972218545076</v>
      </c>
      <c r="AN175" s="76">
        <v>2559.60755355837</v>
      </c>
      <c r="AO175" s="76">
        <v>1900.7773604220076</v>
      </c>
      <c r="AP175" s="76">
        <v>5559.275510159202</v>
      </c>
      <c r="AQ175" s="76">
        <v>59.6445020324634</v>
      </c>
      <c r="AR175" s="76">
        <v>111.65683994804586</v>
      </c>
      <c r="AS175" s="76">
        <v>1261.3092255297602</v>
      </c>
      <c r="AT175" s="76">
        <v>590.31131246938628</v>
      </c>
      <c r="AU175" s="76">
        <v>4596.1296064194876</v>
      </c>
      <c r="AV175" s="76">
        <v>1916.6563471547699</v>
      </c>
      <c r="AW175" s="76">
        <v>1690.4049121957937</v>
      </c>
      <c r="AX175" s="76">
        <v>1926.2363210226438</v>
      </c>
      <c r="AY175" s="76">
        <v>611.42677914991259</v>
      </c>
      <c r="AZ175" s="76">
        <v>1702.6479837725788</v>
      </c>
      <c r="BA175" s="76">
        <v>872.54827713627049</v>
      </c>
      <c r="BB175" s="76">
        <v>10552.967061733574</v>
      </c>
      <c r="BC175" s="76">
        <v>18238.687656387196</v>
      </c>
      <c r="BD175" s="76">
        <v>24488.295667465507</v>
      </c>
      <c r="BE175" s="76">
        <v>10561.801362679449</v>
      </c>
      <c r="BF175" s="76">
        <v>5417.5401504751453</v>
      </c>
      <c r="BG175" s="76">
        <v>474.83472800626475</v>
      </c>
      <c r="BH175" s="76">
        <v>759.57730442772345</v>
      </c>
      <c r="BI175" s="76">
        <v>204.63958837499533</v>
      </c>
      <c r="BJ175" s="76">
        <v>54991.038871437893</v>
      </c>
      <c r="BK175" s="72">
        <v>0</v>
      </c>
      <c r="BL175" s="72">
        <v>0</v>
      </c>
      <c r="BM175" s="72">
        <v>0</v>
      </c>
      <c r="BN175" s="72">
        <v>0</v>
      </c>
      <c r="BO175" s="72">
        <v>0</v>
      </c>
      <c r="BP175" s="72">
        <v>0</v>
      </c>
      <c r="BQ175" s="72">
        <v>0</v>
      </c>
      <c r="BR175" s="72">
        <v>0</v>
      </c>
      <c r="BS175" s="72">
        <v>0</v>
      </c>
      <c r="BT175" s="72">
        <v>0</v>
      </c>
      <c r="BU175" s="72">
        <v>0</v>
      </c>
      <c r="BV175" s="72">
        <v>0</v>
      </c>
      <c r="BW175" s="72">
        <v>0</v>
      </c>
      <c r="BX175" s="72">
        <v>0</v>
      </c>
      <c r="BY175" s="72">
        <v>0</v>
      </c>
      <c r="BZ175" s="72">
        <v>0</v>
      </c>
      <c r="CA175" s="72">
        <v>0</v>
      </c>
      <c r="CB175" s="72">
        <v>0</v>
      </c>
      <c r="CC175" s="72">
        <v>0</v>
      </c>
      <c r="CD175" s="72">
        <v>0</v>
      </c>
      <c r="CE175" s="72">
        <v>0</v>
      </c>
      <c r="CF175" s="72">
        <v>0</v>
      </c>
      <c r="CG175" s="72">
        <v>0</v>
      </c>
      <c r="CH175" s="72">
        <v>0</v>
      </c>
      <c r="CI175" s="72">
        <v>0</v>
      </c>
      <c r="CJ175" s="72">
        <v>0</v>
      </c>
      <c r="CK175" s="72">
        <v>0</v>
      </c>
      <c r="CL175" s="72">
        <v>0</v>
      </c>
      <c r="CM175" s="72">
        <v>0</v>
      </c>
      <c r="CN175" s="72">
        <v>0</v>
      </c>
      <c r="CO175" s="72">
        <v>0</v>
      </c>
      <c r="CP175" s="72">
        <v>0</v>
      </c>
      <c r="CQ175" s="72">
        <v>0</v>
      </c>
      <c r="CR175" s="72">
        <v>0</v>
      </c>
      <c r="CS175" s="72">
        <v>0</v>
      </c>
      <c r="CT175" s="72">
        <v>0</v>
      </c>
      <c r="CU175" s="72">
        <v>0</v>
      </c>
      <c r="CV175" s="72">
        <v>0</v>
      </c>
      <c r="CW175" s="72">
        <v>0</v>
      </c>
      <c r="CX175" s="72">
        <v>0</v>
      </c>
      <c r="CY175" s="72">
        <v>0</v>
      </c>
      <c r="CZ175" s="72">
        <v>0</v>
      </c>
      <c r="DA175" s="72">
        <v>0</v>
      </c>
      <c r="DB175" s="72">
        <v>0</v>
      </c>
      <c r="DC175" s="72">
        <v>0</v>
      </c>
      <c r="DD175" s="72">
        <v>0</v>
      </c>
      <c r="DE175" s="72">
        <v>0</v>
      </c>
      <c r="DF175" s="72">
        <v>0</v>
      </c>
      <c r="DG175" s="72">
        <v>0</v>
      </c>
      <c r="DH175" s="72">
        <v>0</v>
      </c>
      <c r="DI175" s="72">
        <v>0</v>
      </c>
      <c r="DJ175" s="72">
        <v>0</v>
      </c>
      <c r="DK175" s="72">
        <v>0</v>
      </c>
      <c r="DL175" s="72">
        <v>0</v>
      </c>
      <c r="DM175" s="72">
        <v>0</v>
      </c>
      <c r="DN175" s="72">
        <v>0</v>
      </c>
      <c r="DO175" s="72">
        <v>0</v>
      </c>
      <c r="DP175" s="72">
        <v>0</v>
      </c>
      <c r="DQ175" s="72">
        <v>0</v>
      </c>
      <c r="DR175" s="72">
        <v>0</v>
      </c>
      <c r="DS175" s="72">
        <v>0</v>
      </c>
      <c r="DT175" s="72">
        <v>0</v>
      </c>
      <c r="DU175" s="72">
        <v>0</v>
      </c>
      <c r="DV175" s="72">
        <v>0</v>
      </c>
      <c r="DW175" s="72">
        <v>0</v>
      </c>
      <c r="DX175" s="72">
        <v>0</v>
      </c>
      <c r="DY175" s="72">
        <v>0</v>
      </c>
      <c r="DZ175" s="72">
        <v>0</v>
      </c>
      <c r="EA175" s="72">
        <v>0</v>
      </c>
      <c r="EB175" s="72">
        <v>0</v>
      </c>
      <c r="EC175" s="72">
        <v>0</v>
      </c>
      <c r="ED175" s="72">
        <v>0</v>
      </c>
      <c r="EE175" s="72">
        <v>0</v>
      </c>
      <c r="EF175" s="72">
        <v>0</v>
      </c>
      <c r="EG175" s="72">
        <v>0</v>
      </c>
      <c r="EH175" s="72">
        <v>0</v>
      </c>
      <c r="EI175" s="72">
        <v>0</v>
      </c>
      <c r="EJ175" s="72">
        <v>0</v>
      </c>
      <c r="EK175" s="72">
        <v>0</v>
      </c>
      <c r="EL175" s="72">
        <v>0</v>
      </c>
      <c r="EM175" s="72">
        <v>0</v>
      </c>
      <c r="EN175" s="72">
        <v>0</v>
      </c>
      <c r="EO175" s="72">
        <v>0</v>
      </c>
      <c r="EP175" s="72">
        <v>0</v>
      </c>
      <c r="EQ175" s="72">
        <v>0</v>
      </c>
      <c r="ER175" s="72">
        <v>0</v>
      </c>
      <c r="ES175" s="72">
        <v>0</v>
      </c>
      <c r="ET175" s="72">
        <v>0</v>
      </c>
      <c r="EU175" s="72">
        <v>0</v>
      </c>
      <c r="EV175" s="72">
        <v>0</v>
      </c>
      <c r="EW175" s="72">
        <v>0</v>
      </c>
      <c r="EX175" s="72">
        <v>0</v>
      </c>
      <c r="EY175" s="72">
        <v>0</v>
      </c>
      <c r="EZ175" s="72">
        <v>0</v>
      </c>
      <c r="FA175" s="72">
        <v>0</v>
      </c>
      <c r="FB175" s="72">
        <v>0</v>
      </c>
      <c r="FC175" s="72">
        <v>0</v>
      </c>
      <c r="FD175" s="72">
        <v>0</v>
      </c>
      <c r="FE175" s="72">
        <v>0</v>
      </c>
      <c r="FF175" s="72">
        <v>0</v>
      </c>
      <c r="FG175" s="72">
        <v>0</v>
      </c>
      <c r="FH175" s="72">
        <v>0</v>
      </c>
      <c r="FI175" s="72">
        <v>0</v>
      </c>
      <c r="FJ175" s="72">
        <v>0</v>
      </c>
      <c r="FK175" s="72">
        <v>0</v>
      </c>
      <c r="FL175" s="72">
        <v>0</v>
      </c>
      <c r="FM175" s="72">
        <v>0</v>
      </c>
      <c r="FN175" s="72">
        <v>0</v>
      </c>
      <c r="FO175" s="72">
        <v>0</v>
      </c>
      <c r="FP175" s="72">
        <v>0</v>
      </c>
      <c r="FQ175" s="72">
        <v>0</v>
      </c>
      <c r="FR175" s="72">
        <v>0</v>
      </c>
      <c r="FS175" s="72">
        <v>0</v>
      </c>
      <c r="FT175" s="72">
        <v>0</v>
      </c>
      <c r="FU175" s="72">
        <v>0</v>
      </c>
      <c r="FV175" s="72">
        <v>0</v>
      </c>
      <c r="FW175" s="72">
        <v>0</v>
      </c>
      <c r="FX175" s="72">
        <v>0</v>
      </c>
      <c r="FY175" s="72">
        <v>0</v>
      </c>
      <c r="FZ175" s="72">
        <v>0</v>
      </c>
      <c r="GA175" s="72">
        <v>0</v>
      </c>
      <c r="GB175" s="72">
        <v>0</v>
      </c>
      <c r="GC175" s="72">
        <v>0</v>
      </c>
      <c r="GD175" s="72">
        <v>0</v>
      </c>
      <c r="GE175" s="72">
        <v>0</v>
      </c>
      <c r="GF175" s="72">
        <v>0</v>
      </c>
      <c r="GG175" s="72">
        <v>0</v>
      </c>
      <c r="GH175" s="72">
        <v>0</v>
      </c>
      <c r="GI175" s="72">
        <v>0</v>
      </c>
      <c r="GJ175" s="72">
        <v>0</v>
      </c>
      <c r="GK175" s="72">
        <v>0</v>
      </c>
      <c r="GL175" s="72">
        <v>0</v>
      </c>
      <c r="GM175" s="72">
        <v>0</v>
      </c>
      <c r="GN175" s="72">
        <v>0</v>
      </c>
      <c r="GO175" s="72">
        <v>0</v>
      </c>
      <c r="GP175" s="72">
        <v>0</v>
      </c>
      <c r="GQ175" s="77">
        <v>1075.24256789997</v>
      </c>
      <c r="GR175" s="72">
        <f t="shared" si="2"/>
        <v>229569.96471547851</v>
      </c>
      <c r="GS175" s="72">
        <f>SUM(FP$5:FP$202)</f>
        <v>229569.96471547851</v>
      </c>
      <c r="GT175" s="73">
        <v>0</v>
      </c>
    </row>
    <row r="176" spans="1:202" x14ac:dyDescent="0.2">
      <c r="A176" s="75" t="s">
        <v>1606</v>
      </c>
      <c r="B176" s="76">
        <v>15741.333148457377</v>
      </c>
      <c r="C176" s="76">
        <v>595.66405222454978</v>
      </c>
      <c r="D176" s="76">
        <v>1576.7057890204044</v>
      </c>
      <c r="E176" s="76">
        <v>3863.4316513387266</v>
      </c>
      <c r="F176" s="76">
        <v>6129.0356914117101</v>
      </c>
      <c r="G176" s="76">
        <v>23539.582960448446</v>
      </c>
      <c r="H176" s="76">
        <v>1490.5564984808655</v>
      </c>
      <c r="I176" s="76">
        <v>12864.271762979315</v>
      </c>
      <c r="J176" s="76">
        <v>2978.8862056245953</v>
      </c>
      <c r="K176" s="76">
        <v>1835.6518935987049</v>
      </c>
      <c r="L176" s="76">
        <v>2413.1379717522423</v>
      </c>
      <c r="M176" s="76">
        <v>369.23082313805531</v>
      </c>
      <c r="N176" s="76">
        <v>499.83111087076981</v>
      </c>
      <c r="O176" s="76">
        <v>2369.9688688796837</v>
      </c>
      <c r="P176" s="76">
        <v>2945.6665362617487</v>
      </c>
      <c r="Q176" s="76">
        <v>2634.5358804650818</v>
      </c>
      <c r="R176" s="76">
        <v>2568.457024050193</v>
      </c>
      <c r="S176" s="76">
        <v>2615.8747679608687</v>
      </c>
      <c r="T176" s="76">
        <v>4233.8476637433732</v>
      </c>
      <c r="U176" s="76">
        <v>716.61285435757475</v>
      </c>
      <c r="V176" s="76">
        <v>3985.3405180214722</v>
      </c>
      <c r="W176" s="76">
        <v>710.4361982941416</v>
      </c>
      <c r="X176" s="76">
        <v>2937.8414861087426</v>
      </c>
      <c r="Y176" s="76">
        <v>3820.2787847912336</v>
      </c>
      <c r="Z176" s="76">
        <v>7607.1850608057584</v>
      </c>
      <c r="AA176" s="76">
        <v>6323.484406560463</v>
      </c>
      <c r="AB176" s="76">
        <v>3340.27667610039</v>
      </c>
      <c r="AC176" s="76">
        <v>132.48188655720867</v>
      </c>
      <c r="AD176" s="76">
        <v>323.51763649449231</v>
      </c>
      <c r="AE176" s="76">
        <v>5157.9707338607141</v>
      </c>
      <c r="AF176" s="76">
        <v>1533.0301863939139</v>
      </c>
      <c r="AG176" s="76">
        <v>1246.7705031127916</v>
      </c>
      <c r="AH176" s="76">
        <v>2244.8676827421568</v>
      </c>
      <c r="AI176" s="76">
        <v>4570.4355811296164</v>
      </c>
      <c r="AJ176" s="76">
        <v>2772.7751914339215</v>
      </c>
      <c r="AK176" s="76">
        <v>30935.752063225667</v>
      </c>
      <c r="AL176" s="76">
        <v>31007.388052983861</v>
      </c>
      <c r="AM176" s="76">
        <v>25827.64268190505</v>
      </c>
      <c r="AN176" s="76">
        <v>13665.594735792003</v>
      </c>
      <c r="AO176" s="76">
        <v>10317.867469871449</v>
      </c>
      <c r="AP176" s="76">
        <v>20268.091822278126</v>
      </c>
      <c r="AQ176" s="76">
        <v>256.98835166495576</v>
      </c>
      <c r="AR176" s="76">
        <v>1747.6589154039837</v>
      </c>
      <c r="AS176" s="76">
        <v>5519.4916533870601</v>
      </c>
      <c r="AT176" s="76">
        <v>5828.3708161985996</v>
      </c>
      <c r="AU176" s="76">
        <v>15406.136612427355</v>
      </c>
      <c r="AV176" s="76">
        <v>6709.6942777214435</v>
      </c>
      <c r="AW176" s="76">
        <v>5003.817358166456</v>
      </c>
      <c r="AX176" s="76">
        <v>3584.0155885299287</v>
      </c>
      <c r="AY176" s="76">
        <v>2252.431176374444</v>
      </c>
      <c r="AZ176" s="76">
        <v>2078.598119827604</v>
      </c>
      <c r="BA176" s="76">
        <v>402.3325922266846</v>
      </c>
      <c r="BB176" s="76">
        <v>41961.678337345991</v>
      </c>
      <c r="BC176" s="76">
        <v>23952.335237520962</v>
      </c>
      <c r="BD176" s="76">
        <v>12586.994619378791</v>
      </c>
      <c r="BE176" s="76">
        <v>12810.188116934019</v>
      </c>
      <c r="BF176" s="76">
        <v>10011.300990161957</v>
      </c>
      <c r="BG176" s="76">
        <v>492.38438469147218</v>
      </c>
      <c r="BH176" s="76">
        <v>4304.4604567526912</v>
      </c>
      <c r="BI176" s="76">
        <v>821.29509568855656</v>
      </c>
      <c r="BJ176" s="76">
        <v>91576.254937852704</v>
      </c>
      <c r="BK176" s="72">
        <v>0</v>
      </c>
      <c r="BL176" s="72">
        <v>0</v>
      </c>
      <c r="BM176" s="72">
        <v>0</v>
      </c>
      <c r="BN176" s="72">
        <v>0</v>
      </c>
      <c r="BO176" s="72">
        <v>0</v>
      </c>
      <c r="BP176" s="72">
        <v>0</v>
      </c>
      <c r="BQ176" s="72">
        <v>0</v>
      </c>
      <c r="BR176" s="72">
        <v>0</v>
      </c>
      <c r="BS176" s="72">
        <v>0</v>
      </c>
      <c r="BT176" s="72">
        <v>0</v>
      </c>
      <c r="BU176" s="72">
        <v>0</v>
      </c>
      <c r="BV176" s="72">
        <v>0</v>
      </c>
      <c r="BW176" s="72">
        <v>0</v>
      </c>
      <c r="BX176" s="72">
        <v>0</v>
      </c>
      <c r="BY176" s="72">
        <v>0</v>
      </c>
      <c r="BZ176" s="72">
        <v>0</v>
      </c>
      <c r="CA176" s="72">
        <v>0</v>
      </c>
      <c r="CB176" s="72">
        <v>0</v>
      </c>
      <c r="CC176" s="72">
        <v>0</v>
      </c>
      <c r="CD176" s="72">
        <v>0</v>
      </c>
      <c r="CE176" s="72">
        <v>0</v>
      </c>
      <c r="CF176" s="72">
        <v>0</v>
      </c>
      <c r="CG176" s="72">
        <v>0</v>
      </c>
      <c r="CH176" s="72">
        <v>0</v>
      </c>
      <c r="CI176" s="72">
        <v>0</v>
      </c>
      <c r="CJ176" s="72">
        <v>0</v>
      </c>
      <c r="CK176" s="72">
        <v>0</v>
      </c>
      <c r="CL176" s="72">
        <v>0</v>
      </c>
      <c r="CM176" s="72">
        <v>0</v>
      </c>
      <c r="CN176" s="72">
        <v>0</v>
      </c>
      <c r="CO176" s="72">
        <v>0</v>
      </c>
      <c r="CP176" s="72">
        <v>0</v>
      </c>
      <c r="CQ176" s="72">
        <v>0</v>
      </c>
      <c r="CR176" s="72">
        <v>0</v>
      </c>
      <c r="CS176" s="72">
        <v>0</v>
      </c>
      <c r="CT176" s="72">
        <v>0</v>
      </c>
      <c r="CU176" s="72">
        <v>0</v>
      </c>
      <c r="CV176" s="72">
        <v>0</v>
      </c>
      <c r="CW176" s="72">
        <v>0</v>
      </c>
      <c r="CX176" s="72">
        <v>0</v>
      </c>
      <c r="CY176" s="72">
        <v>0</v>
      </c>
      <c r="CZ176" s="72">
        <v>0</v>
      </c>
      <c r="DA176" s="72">
        <v>0</v>
      </c>
      <c r="DB176" s="72">
        <v>0</v>
      </c>
      <c r="DC176" s="72">
        <v>0</v>
      </c>
      <c r="DD176" s="72">
        <v>0</v>
      </c>
      <c r="DE176" s="72">
        <v>0</v>
      </c>
      <c r="DF176" s="72">
        <v>0</v>
      </c>
      <c r="DG176" s="72">
        <v>0</v>
      </c>
      <c r="DH176" s="72">
        <v>0</v>
      </c>
      <c r="DI176" s="72">
        <v>0</v>
      </c>
      <c r="DJ176" s="72">
        <v>0</v>
      </c>
      <c r="DK176" s="72">
        <v>0</v>
      </c>
      <c r="DL176" s="72">
        <v>0</v>
      </c>
      <c r="DM176" s="72">
        <v>0</v>
      </c>
      <c r="DN176" s="72">
        <v>0</v>
      </c>
      <c r="DO176" s="72">
        <v>0</v>
      </c>
      <c r="DP176" s="72">
        <v>0</v>
      </c>
      <c r="DQ176" s="72">
        <v>0</v>
      </c>
      <c r="DR176" s="72">
        <v>0</v>
      </c>
      <c r="DS176" s="72">
        <v>0</v>
      </c>
      <c r="DT176" s="72">
        <v>0</v>
      </c>
      <c r="DU176" s="72">
        <v>0</v>
      </c>
      <c r="DV176" s="72">
        <v>0</v>
      </c>
      <c r="DW176" s="72">
        <v>0</v>
      </c>
      <c r="DX176" s="72">
        <v>0</v>
      </c>
      <c r="DY176" s="72">
        <v>0</v>
      </c>
      <c r="DZ176" s="72">
        <v>0</v>
      </c>
      <c r="EA176" s="72">
        <v>0</v>
      </c>
      <c r="EB176" s="72">
        <v>0</v>
      </c>
      <c r="EC176" s="72">
        <v>0</v>
      </c>
      <c r="ED176" s="72">
        <v>0</v>
      </c>
      <c r="EE176" s="72">
        <v>0</v>
      </c>
      <c r="EF176" s="72">
        <v>0</v>
      </c>
      <c r="EG176" s="72">
        <v>0</v>
      </c>
      <c r="EH176" s="72">
        <v>0</v>
      </c>
      <c r="EI176" s="72">
        <v>0</v>
      </c>
      <c r="EJ176" s="72">
        <v>0</v>
      </c>
      <c r="EK176" s="72">
        <v>0</v>
      </c>
      <c r="EL176" s="72">
        <v>0</v>
      </c>
      <c r="EM176" s="72">
        <v>0</v>
      </c>
      <c r="EN176" s="72">
        <v>0</v>
      </c>
      <c r="EO176" s="72">
        <v>0</v>
      </c>
      <c r="EP176" s="72">
        <v>0</v>
      </c>
      <c r="EQ176" s="72">
        <v>0</v>
      </c>
      <c r="ER176" s="72">
        <v>0</v>
      </c>
      <c r="ES176" s="72">
        <v>0</v>
      </c>
      <c r="ET176" s="72">
        <v>0</v>
      </c>
      <c r="EU176" s="72">
        <v>0</v>
      </c>
      <c r="EV176" s="72">
        <v>0</v>
      </c>
      <c r="EW176" s="72">
        <v>0</v>
      </c>
      <c r="EX176" s="72">
        <v>0</v>
      </c>
      <c r="EY176" s="72">
        <v>0</v>
      </c>
      <c r="EZ176" s="72">
        <v>0</v>
      </c>
      <c r="FA176" s="72">
        <v>0</v>
      </c>
      <c r="FB176" s="72">
        <v>0</v>
      </c>
      <c r="FC176" s="72">
        <v>0</v>
      </c>
      <c r="FD176" s="72">
        <v>0</v>
      </c>
      <c r="FE176" s="72">
        <v>0</v>
      </c>
      <c r="FF176" s="72">
        <v>0</v>
      </c>
      <c r="FG176" s="72">
        <v>0</v>
      </c>
      <c r="FH176" s="72">
        <v>0</v>
      </c>
      <c r="FI176" s="72">
        <v>0</v>
      </c>
      <c r="FJ176" s="72">
        <v>0</v>
      </c>
      <c r="FK176" s="72">
        <v>0</v>
      </c>
      <c r="FL176" s="72">
        <v>0</v>
      </c>
      <c r="FM176" s="72">
        <v>0</v>
      </c>
      <c r="FN176" s="72">
        <v>0</v>
      </c>
      <c r="FO176" s="72">
        <v>0</v>
      </c>
      <c r="FP176" s="72">
        <v>0</v>
      </c>
      <c r="FQ176" s="72">
        <v>0</v>
      </c>
      <c r="FR176" s="72">
        <v>0</v>
      </c>
      <c r="FS176" s="72">
        <v>0</v>
      </c>
      <c r="FT176" s="72">
        <v>0</v>
      </c>
      <c r="FU176" s="72">
        <v>0</v>
      </c>
      <c r="FV176" s="72">
        <v>0</v>
      </c>
      <c r="FW176" s="72">
        <v>0</v>
      </c>
      <c r="FX176" s="72">
        <v>0</v>
      </c>
      <c r="FY176" s="72">
        <v>0</v>
      </c>
      <c r="FZ176" s="72">
        <v>0</v>
      </c>
      <c r="GA176" s="72">
        <v>0</v>
      </c>
      <c r="GB176" s="72">
        <v>0</v>
      </c>
      <c r="GC176" s="72">
        <v>0</v>
      </c>
      <c r="GD176" s="72">
        <v>0</v>
      </c>
      <c r="GE176" s="72">
        <v>0</v>
      </c>
      <c r="GF176" s="72">
        <v>0</v>
      </c>
      <c r="GG176" s="72">
        <v>0</v>
      </c>
      <c r="GH176" s="72">
        <v>0</v>
      </c>
      <c r="GI176" s="72">
        <v>0</v>
      </c>
      <c r="GJ176" s="72">
        <v>0</v>
      </c>
      <c r="GK176" s="72">
        <v>0</v>
      </c>
      <c r="GL176" s="72">
        <v>0</v>
      </c>
      <c r="GM176" s="72">
        <v>0</v>
      </c>
      <c r="GN176" s="72">
        <v>0</v>
      </c>
      <c r="GO176" s="72">
        <v>0</v>
      </c>
      <c r="GP176" s="72">
        <v>0</v>
      </c>
      <c r="GQ176" s="77">
        <v>2437.6699816234482</v>
      </c>
      <c r="GR176" s="72">
        <f t="shared" si="2"/>
        <v>520455.41013340669</v>
      </c>
      <c r="GS176" s="72">
        <f>SUM(FQ$5:FQ$202)</f>
        <v>520455.41013340669</v>
      </c>
      <c r="GT176" s="73">
        <v>0</v>
      </c>
    </row>
    <row r="177" spans="1:202" x14ac:dyDescent="0.2">
      <c r="A177" s="75" t="s">
        <v>1607</v>
      </c>
      <c r="B177" s="76">
        <v>6023.2626245223364</v>
      </c>
      <c r="C177" s="76">
        <v>123.51829635046191</v>
      </c>
      <c r="D177" s="76">
        <v>584.26102452736416</v>
      </c>
      <c r="E177" s="76">
        <v>6732.358145952925</v>
      </c>
      <c r="F177" s="76">
        <v>6766.7357707565698</v>
      </c>
      <c r="G177" s="76">
        <v>28474.007251734147</v>
      </c>
      <c r="H177" s="76">
        <v>3212.5008221368244</v>
      </c>
      <c r="I177" s="76">
        <v>16088.584338481049</v>
      </c>
      <c r="J177" s="76">
        <v>4431.6155330485308</v>
      </c>
      <c r="K177" s="76">
        <v>1979.8514189805708</v>
      </c>
      <c r="L177" s="76">
        <v>1749.0098165546704</v>
      </c>
      <c r="M177" s="76">
        <v>502.92360173349942</v>
      </c>
      <c r="N177" s="76">
        <v>258.3791730519327</v>
      </c>
      <c r="O177" s="76">
        <v>2095.1614295318827</v>
      </c>
      <c r="P177" s="76">
        <v>4035.7733483192133</v>
      </c>
      <c r="Q177" s="76">
        <v>4917.5936248869757</v>
      </c>
      <c r="R177" s="76">
        <v>4063.2088153280606</v>
      </c>
      <c r="S177" s="76">
        <v>3827.4768846025831</v>
      </c>
      <c r="T177" s="76">
        <v>7116.5960816584193</v>
      </c>
      <c r="U177" s="76">
        <v>1248.872108502806</v>
      </c>
      <c r="V177" s="76">
        <v>3376.6443964292857</v>
      </c>
      <c r="W177" s="76">
        <v>1129.5314765375538</v>
      </c>
      <c r="X177" s="76">
        <v>3257.5106435086695</v>
      </c>
      <c r="Y177" s="76">
        <v>7727.5635254486187</v>
      </c>
      <c r="Z177" s="76">
        <v>6625.8733186068557</v>
      </c>
      <c r="AA177" s="76">
        <v>11815.699004052458</v>
      </c>
      <c r="AB177" s="76">
        <v>4904.8719185184436</v>
      </c>
      <c r="AC177" s="76">
        <v>877.33872370556503</v>
      </c>
      <c r="AD177" s="76">
        <v>1979.037694060642</v>
      </c>
      <c r="AE177" s="76">
        <v>11776.416022364583</v>
      </c>
      <c r="AF177" s="76">
        <v>2451.7228305898516</v>
      </c>
      <c r="AG177" s="76">
        <v>1124.4644625281105</v>
      </c>
      <c r="AH177" s="76">
        <v>2038.7097173493933</v>
      </c>
      <c r="AI177" s="76">
        <v>7680.918184928616</v>
      </c>
      <c r="AJ177" s="76">
        <v>2908.8757394123591</v>
      </c>
      <c r="AK177" s="76">
        <v>22717.499233836021</v>
      </c>
      <c r="AL177" s="76">
        <v>58168.971771013035</v>
      </c>
      <c r="AM177" s="76">
        <v>46984.084062003996</v>
      </c>
      <c r="AN177" s="76">
        <v>23006.471511713135</v>
      </c>
      <c r="AO177" s="76">
        <v>14529.711047336812</v>
      </c>
      <c r="AP177" s="76">
        <v>23528.483087550059</v>
      </c>
      <c r="AQ177" s="76">
        <v>327.67929888434946</v>
      </c>
      <c r="AR177" s="76">
        <v>3870.4331857837251</v>
      </c>
      <c r="AS177" s="76">
        <v>13699.369008126389</v>
      </c>
      <c r="AT177" s="76">
        <v>12705.628146423118</v>
      </c>
      <c r="AU177" s="76">
        <v>30390.188428884125</v>
      </c>
      <c r="AV177" s="76">
        <v>12660.929505222461</v>
      </c>
      <c r="AW177" s="76">
        <v>18603.220537532809</v>
      </c>
      <c r="AX177" s="76">
        <v>13770.658841329969</v>
      </c>
      <c r="AY177" s="76">
        <v>3291.9958178237439</v>
      </c>
      <c r="AZ177" s="76">
        <v>7520.3944721167136</v>
      </c>
      <c r="BA177" s="76">
        <v>976.34919520864889</v>
      </c>
      <c r="BB177" s="76">
        <v>60264.937431585757</v>
      </c>
      <c r="BC177" s="76">
        <v>107061.22373175668</v>
      </c>
      <c r="BD177" s="76">
        <v>26859.332600370213</v>
      </c>
      <c r="BE177" s="76">
        <v>32716.67196867731</v>
      </c>
      <c r="BF177" s="76">
        <v>4821.5720872048705</v>
      </c>
      <c r="BG177" s="76">
        <v>1042.4531964799157</v>
      </c>
      <c r="BH177" s="76">
        <v>7249.617340585648</v>
      </c>
      <c r="BI177" s="76">
        <v>886.31893515932165</v>
      </c>
      <c r="BJ177" s="76">
        <v>26047.300773316751</v>
      </c>
      <c r="BK177" s="72">
        <v>0</v>
      </c>
      <c r="BL177" s="72">
        <v>0</v>
      </c>
      <c r="BM177" s="72">
        <v>0</v>
      </c>
      <c r="BN177" s="72">
        <v>0</v>
      </c>
      <c r="BO177" s="72">
        <v>0</v>
      </c>
      <c r="BP177" s="72">
        <v>0</v>
      </c>
      <c r="BQ177" s="72">
        <v>0</v>
      </c>
      <c r="BR177" s="72">
        <v>0</v>
      </c>
      <c r="BS177" s="72">
        <v>0</v>
      </c>
      <c r="BT177" s="72">
        <v>0</v>
      </c>
      <c r="BU177" s="72">
        <v>0</v>
      </c>
      <c r="BV177" s="72">
        <v>0</v>
      </c>
      <c r="BW177" s="72">
        <v>0</v>
      </c>
      <c r="BX177" s="72">
        <v>0</v>
      </c>
      <c r="BY177" s="72">
        <v>0</v>
      </c>
      <c r="BZ177" s="72">
        <v>0</v>
      </c>
      <c r="CA177" s="72">
        <v>0</v>
      </c>
      <c r="CB177" s="72">
        <v>0</v>
      </c>
      <c r="CC177" s="72">
        <v>0</v>
      </c>
      <c r="CD177" s="72">
        <v>0</v>
      </c>
      <c r="CE177" s="72">
        <v>0</v>
      </c>
      <c r="CF177" s="72">
        <v>0</v>
      </c>
      <c r="CG177" s="72">
        <v>0</v>
      </c>
      <c r="CH177" s="72">
        <v>0</v>
      </c>
      <c r="CI177" s="72">
        <v>0</v>
      </c>
      <c r="CJ177" s="72">
        <v>0</v>
      </c>
      <c r="CK177" s="72">
        <v>0</v>
      </c>
      <c r="CL177" s="72">
        <v>0</v>
      </c>
      <c r="CM177" s="72">
        <v>0</v>
      </c>
      <c r="CN177" s="72">
        <v>0</v>
      </c>
      <c r="CO177" s="72">
        <v>0</v>
      </c>
      <c r="CP177" s="72">
        <v>0</v>
      </c>
      <c r="CQ177" s="72">
        <v>0</v>
      </c>
      <c r="CR177" s="72">
        <v>0</v>
      </c>
      <c r="CS177" s="72">
        <v>0</v>
      </c>
      <c r="CT177" s="72">
        <v>0</v>
      </c>
      <c r="CU177" s="72">
        <v>0</v>
      </c>
      <c r="CV177" s="72">
        <v>0</v>
      </c>
      <c r="CW177" s="72">
        <v>0</v>
      </c>
      <c r="CX177" s="72">
        <v>0</v>
      </c>
      <c r="CY177" s="72">
        <v>0</v>
      </c>
      <c r="CZ177" s="72">
        <v>0</v>
      </c>
      <c r="DA177" s="72">
        <v>0</v>
      </c>
      <c r="DB177" s="72">
        <v>0</v>
      </c>
      <c r="DC177" s="72">
        <v>0</v>
      </c>
      <c r="DD177" s="72">
        <v>0</v>
      </c>
      <c r="DE177" s="72">
        <v>0</v>
      </c>
      <c r="DF177" s="72">
        <v>0</v>
      </c>
      <c r="DG177" s="72">
        <v>0</v>
      </c>
      <c r="DH177" s="72">
        <v>0</v>
      </c>
      <c r="DI177" s="72">
        <v>0</v>
      </c>
      <c r="DJ177" s="72">
        <v>0</v>
      </c>
      <c r="DK177" s="72">
        <v>0</v>
      </c>
      <c r="DL177" s="72">
        <v>0</v>
      </c>
      <c r="DM177" s="72">
        <v>0</v>
      </c>
      <c r="DN177" s="72">
        <v>0</v>
      </c>
      <c r="DO177" s="72">
        <v>0</v>
      </c>
      <c r="DP177" s="72">
        <v>0</v>
      </c>
      <c r="DQ177" s="72">
        <v>0</v>
      </c>
      <c r="DR177" s="72">
        <v>0</v>
      </c>
      <c r="DS177" s="72">
        <v>0</v>
      </c>
      <c r="DT177" s="72">
        <v>0</v>
      </c>
      <c r="DU177" s="72">
        <v>0</v>
      </c>
      <c r="DV177" s="72">
        <v>0</v>
      </c>
      <c r="DW177" s="72">
        <v>0</v>
      </c>
      <c r="DX177" s="72">
        <v>0</v>
      </c>
      <c r="DY177" s="72">
        <v>0</v>
      </c>
      <c r="DZ177" s="72">
        <v>0</v>
      </c>
      <c r="EA177" s="72">
        <v>0</v>
      </c>
      <c r="EB177" s="72">
        <v>0</v>
      </c>
      <c r="EC177" s="72">
        <v>0</v>
      </c>
      <c r="ED177" s="72">
        <v>0</v>
      </c>
      <c r="EE177" s="72">
        <v>0</v>
      </c>
      <c r="EF177" s="72">
        <v>0</v>
      </c>
      <c r="EG177" s="72">
        <v>0</v>
      </c>
      <c r="EH177" s="72">
        <v>0</v>
      </c>
      <c r="EI177" s="72">
        <v>0</v>
      </c>
      <c r="EJ177" s="72">
        <v>0</v>
      </c>
      <c r="EK177" s="72">
        <v>0</v>
      </c>
      <c r="EL177" s="72">
        <v>0</v>
      </c>
      <c r="EM177" s="72">
        <v>0</v>
      </c>
      <c r="EN177" s="72">
        <v>0</v>
      </c>
      <c r="EO177" s="72">
        <v>0</v>
      </c>
      <c r="EP177" s="72">
        <v>0</v>
      </c>
      <c r="EQ177" s="72">
        <v>0</v>
      </c>
      <c r="ER177" s="72">
        <v>0</v>
      </c>
      <c r="ES177" s="72">
        <v>0</v>
      </c>
      <c r="ET177" s="72">
        <v>0</v>
      </c>
      <c r="EU177" s="72">
        <v>0</v>
      </c>
      <c r="EV177" s="72">
        <v>0</v>
      </c>
      <c r="EW177" s="72">
        <v>0</v>
      </c>
      <c r="EX177" s="72">
        <v>0</v>
      </c>
      <c r="EY177" s="72">
        <v>0</v>
      </c>
      <c r="EZ177" s="72">
        <v>0</v>
      </c>
      <c r="FA177" s="72">
        <v>0</v>
      </c>
      <c r="FB177" s="72">
        <v>0</v>
      </c>
      <c r="FC177" s="72">
        <v>0</v>
      </c>
      <c r="FD177" s="72">
        <v>0</v>
      </c>
      <c r="FE177" s="72">
        <v>0</v>
      </c>
      <c r="FF177" s="72">
        <v>0</v>
      </c>
      <c r="FG177" s="72">
        <v>0</v>
      </c>
      <c r="FH177" s="72">
        <v>0</v>
      </c>
      <c r="FI177" s="72">
        <v>0</v>
      </c>
      <c r="FJ177" s="72">
        <v>0</v>
      </c>
      <c r="FK177" s="72">
        <v>0</v>
      </c>
      <c r="FL177" s="72">
        <v>0</v>
      </c>
      <c r="FM177" s="72">
        <v>0</v>
      </c>
      <c r="FN177" s="72">
        <v>0</v>
      </c>
      <c r="FO177" s="72">
        <v>0</v>
      </c>
      <c r="FP177" s="72">
        <v>0</v>
      </c>
      <c r="FQ177" s="72">
        <v>0</v>
      </c>
      <c r="FR177" s="72">
        <v>0</v>
      </c>
      <c r="FS177" s="72">
        <v>0</v>
      </c>
      <c r="FT177" s="72">
        <v>0</v>
      </c>
      <c r="FU177" s="72">
        <v>0</v>
      </c>
      <c r="FV177" s="72">
        <v>0</v>
      </c>
      <c r="FW177" s="72">
        <v>0</v>
      </c>
      <c r="FX177" s="72">
        <v>0</v>
      </c>
      <c r="FY177" s="72">
        <v>0</v>
      </c>
      <c r="FZ177" s="72">
        <v>0</v>
      </c>
      <c r="GA177" s="72">
        <v>0</v>
      </c>
      <c r="GB177" s="72">
        <v>0</v>
      </c>
      <c r="GC177" s="72">
        <v>0</v>
      </c>
      <c r="GD177" s="72">
        <v>0</v>
      </c>
      <c r="GE177" s="72">
        <v>0</v>
      </c>
      <c r="GF177" s="72">
        <v>0</v>
      </c>
      <c r="GG177" s="72">
        <v>0</v>
      </c>
      <c r="GH177" s="72">
        <v>0</v>
      </c>
      <c r="GI177" s="72">
        <v>0</v>
      </c>
      <c r="GJ177" s="72">
        <v>0</v>
      </c>
      <c r="GK177" s="72">
        <v>0</v>
      </c>
      <c r="GL177" s="72">
        <v>0</v>
      </c>
      <c r="GM177" s="72">
        <v>0</v>
      </c>
      <c r="GN177" s="72">
        <v>0</v>
      </c>
      <c r="GO177" s="72">
        <v>0</v>
      </c>
      <c r="GP177" s="72">
        <v>0</v>
      </c>
      <c r="GQ177" s="77">
        <v>3518.0696010995475</v>
      </c>
      <c r="GR177" s="72">
        <f t="shared" si="2"/>
        <v>751126.43258572707</v>
      </c>
      <c r="GS177" s="72">
        <f>SUM(FR$5:FR$202)</f>
        <v>751126.43258572696</v>
      </c>
      <c r="GT177" s="73">
        <v>0</v>
      </c>
    </row>
    <row r="178" spans="1:202" x14ac:dyDescent="0.2">
      <c r="A178" s="75" t="s">
        <v>1608</v>
      </c>
      <c r="B178" s="76">
        <v>4453.0979999065949</v>
      </c>
      <c r="C178" s="76">
        <v>107.39119072737964</v>
      </c>
      <c r="D178" s="76">
        <v>431.09490674670138</v>
      </c>
      <c r="E178" s="76">
        <v>9004.4338199734721</v>
      </c>
      <c r="F178" s="76">
        <v>3815.2478831317289</v>
      </c>
      <c r="G178" s="76">
        <v>26465.591329039034</v>
      </c>
      <c r="H178" s="76">
        <v>5940.445200527708</v>
      </c>
      <c r="I178" s="76">
        <v>10021.023489605228</v>
      </c>
      <c r="J178" s="76">
        <v>8706.3205801654694</v>
      </c>
      <c r="K178" s="76">
        <v>245.87153628776417</v>
      </c>
      <c r="L178" s="76">
        <v>1006.8295160698692</v>
      </c>
      <c r="M178" s="76">
        <v>24.003641465542596</v>
      </c>
      <c r="N178" s="76">
        <v>361.39607099425109</v>
      </c>
      <c r="O178" s="76">
        <v>427.10585748661549</v>
      </c>
      <c r="P178" s="76">
        <v>3426.3242606839822</v>
      </c>
      <c r="Q178" s="76">
        <v>5697.0332981593128</v>
      </c>
      <c r="R178" s="76">
        <v>9740.5982108560365</v>
      </c>
      <c r="S178" s="76">
        <v>5609.0342349639332</v>
      </c>
      <c r="T178" s="76">
        <v>9465.4495657121206</v>
      </c>
      <c r="U178" s="76">
        <v>822.05878588586313</v>
      </c>
      <c r="V178" s="76">
        <v>2722.2847189985246</v>
      </c>
      <c r="W178" s="76">
        <v>493.60578379933287</v>
      </c>
      <c r="X178" s="76">
        <v>2141.7227349568316</v>
      </c>
      <c r="Y178" s="76">
        <v>6073.6233208025678</v>
      </c>
      <c r="Z178" s="76">
        <v>5721.217041450629</v>
      </c>
      <c r="AA178" s="76">
        <v>11190.314164311931</v>
      </c>
      <c r="AB178" s="76">
        <v>5271.2665091379986</v>
      </c>
      <c r="AC178" s="76">
        <v>730.15486565258209</v>
      </c>
      <c r="AD178" s="76">
        <v>2217.1188739311115</v>
      </c>
      <c r="AE178" s="76">
        <v>10514.634203265367</v>
      </c>
      <c r="AF178" s="76">
        <v>2193.5173719176632</v>
      </c>
      <c r="AG178" s="76">
        <v>701.78208311288745</v>
      </c>
      <c r="AH178" s="76">
        <v>1481.2901219614889</v>
      </c>
      <c r="AI178" s="76">
        <v>22652.501304629193</v>
      </c>
      <c r="AJ178" s="76">
        <v>5488.0937589210735</v>
      </c>
      <c r="AK178" s="76">
        <v>20786.426949970035</v>
      </c>
      <c r="AL178" s="76">
        <v>37709.983628484442</v>
      </c>
      <c r="AM178" s="76">
        <v>21955.590027653128</v>
      </c>
      <c r="AN178" s="76">
        <v>12077.034797840433</v>
      </c>
      <c r="AO178" s="76">
        <v>6692.574353791686</v>
      </c>
      <c r="AP178" s="76">
        <v>23725.390737477475</v>
      </c>
      <c r="AQ178" s="76">
        <v>386.34767020758147</v>
      </c>
      <c r="AR178" s="76">
        <v>9975.6798406048019</v>
      </c>
      <c r="AS178" s="76">
        <v>12828.160705633842</v>
      </c>
      <c r="AT178" s="76">
        <v>26374.977206695428</v>
      </c>
      <c r="AU178" s="76">
        <v>59073.555952269031</v>
      </c>
      <c r="AV178" s="76">
        <v>23695.719869901324</v>
      </c>
      <c r="AW178" s="76">
        <v>34551.209271756641</v>
      </c>
      <c r="AX178" s="76">
        <v>14005.862232936986</v>
      </c>
      <c r="AY178" s="76">
        <v>1318.527622002061</v>
      </c>
      <c r="AZ178" s="76">
        <v>27939.251683579121</v>
      </c>
      <c r="BA178" s="76">
        <v>6656.5251256818719</v>
      </c>
      <c r="BB178" s="76">
        <v>106370.83283018976</v>
      </c>
      <c r="BC178" s="76">
        <v>195621.9971863197</v>
      </c>
      <c r="BD178" s="76">
        <v>278556.43567585148</v>
      </c>
      <c r="BE178" s="76">
        <v>115368.21807369647</v>
      </c>
      <c r="BF178" s="76">
        <v>2076.561227980636</v>
      </c>
      <c r="BG178" s="76">
        <v>3553.9897763393888</v>
      </c>
      <c r="BH178" s="76">
        <v>7719.9879338119681</v>
      </c>
      <c r="BI178" s="76">
        <v>556.43498442746989</v>
      </c>
      <c r="BJ178" s="76">
        <v>3230.8936123276371</v>
      </c>
      <c r="BK178" s="72">
        <v>0</v>
      </c>
      <c r="BL178" s="72">
        <v>0</v>
      </c>
      <c r="BM178" s="72">
        <v>0</v>
      </c>
      <c r="BN178" s="72">
        <v>0</v>
      </c>
      <c r="BO178" s="72">
        <v>0</v>
      </c>
      <c r="BP178" s="72">
        <v>0</v>
      </c>
      <c r="BQ178" s="72">
        <v>0</v>
      </c>
      <c r="BR178" s="72">
        <v>0</v>
      </c>
      <c r="BS178" s="72">
        <v>0</v>
      </c>
      <c r="BT178" s="72">
        <v>0</v>
      </c>
      <c r="BU178" s="72">
        <v>0</v>
      </c>
      <c r="BV178" s="72">
        <v>0</v>
      </c>
      <c r="BW178" s="72">
        <v>0</v>
      </c>
      <c r="BX178" s="72">
        <v>0</v>
      </c>
      <c r="BY178" s="72">
        <v>0</v>
      </c>
      <c r="BZ178" s="72">
        <v>0</v>
      </c>
      <c r="CA178" s="72">
        <v>0</v>
      </c>
      <c r="CB178" s="72">
        <v>0</v>
      </c>
      <c r="CC178" s="72">
        <v>0</v>
      </c>
      <c r="CD178" s="72">
        <v>0</v>
      </c>
      <c r="CE178" s="72">
        <v>0</v>
      </c>
      <c r="CF178" s="72">
        <v>0</v>
      </c>
      <c r="CG178" s="72">
        <v>0</v>
      </c>
      <c r="CH178" s="72">
        <v>0</v>
      </c>
      <c r="CI178" s="72">
        <v>0</v>
      </c>
      <c r="CJ178" s="72">
        <v>0</v>
      </c>
      <c r="CK178" s="72">
        <v>0</v>
      </c>
      <c r="CL178" s="72">
        <v>0</v>
      </c>
      <c r="CM178" s="72">
        <v>0</v>
      </c>
      <c r="CN178" s="72">
        <v>0</v>
      </c>
      <c r="CO178" s="72">
        <v>0</v>
      </c>
      <c r="CP178" s="72">
        <v>0</v>
      </c>
      <c r="CQ178" s="72">
        <v>0</v>
      </c>
      <c r="CR178" s="72">
        <v>0</v>
      </c>
      <c r="CS178" s="72">
        <v>0</v>
      </c>
      <c r="CT178" s="72">
        <v>0</v>
      </c>
      <c r="CU178" s="72">
        <v>0</v>
      </c>
      <c r="CV178" s="72">
        <v>0</v>
      </c>
      <c r="CW178" s="72">
        <v>0</v>
      </c>
      <c r="CX178" s="72">
        <v>0</v>
      </c>
      <c r="CY178" s="72">
        <v>0</v>
      </c>
      <c r="CZ178" s="72">
        <v>0</v>
      </c>
      <c r="DA178" s="72">
        <v>0</v>
      </c>
      <c r="DB178" s="72">
        <v>0</v>
      </c>
      <c r="DC178" s="72">
        <v>0</v>
      </c>
      <c r="DD178" s="72">
        <v>0</v>
      </c>
      <c r="DE178" s="72">
        <v>0</v>
      </c>
      <c r="DF178" s="72">
        <v>0</v>
      </c>
      <c r="DG178" s="72">
        <v>0</v>
      </c>
      <c r="DH178" s="72">
        <v>0</v>
      </c>
      <c r="DI178" s="72">
        <v>0</v>
      </c>
      <c r="DJ178" s="72">
        <v>0</v>
      </c>
      <c r="DK178" s="72">
        <v>0</v>
      </c>
      <c r="DL178" s="72">
        <v>0</v>
      </c>
      <c r="DM178" s="72">
        <v>0</v>
      </c>
      <c r="DN178" s="72">
        <v>0</v>
      </c>
      <c r="DO178" s="72">
        <v>0</v>
      </c>
      <c r="DP178" s="72">
        <v>0</v>
      </c>
      <c r="DQ178" s="72">
        <v>0</v>
      </c>
      <c r="DR178" s="72">
        <v>0</v>
      </c>
      <c r="DS178" s="72">
        <v>0</v>
      </c>
      <c r="DT178" s="72">
        <v>0</v>
      </c>
      <c r="DU178" s="72">
        <v>0</v>
      </c>
      <c r="DV178" s="72">
        <v>0</v>
      </c>
      <c r="DW178" s="72">
        <v>0</v>
      </c>
      <c r="DX178" s="72">
        <v>0</v>
      </c>
      <c r="DY178" s="72">
        <v>0</v>
      </c>
      <c r="DZ178" s="72">
        <v>0</v>
      </c>
      <c r="EA178" s="72">
        <v>0</v>
      </c>
      <c r="EB178" s="72">
        <v>0</v>
      </c>
      <c r="EC178" s="72">
        <v>0</v>
      </c>
      <c r="ED178" s="72">
        <v>0</v>
      </c>
      <c r="EE178" s="72">
        <v>0</v>
      </c>
      <c r="EF178" s="72">
        <v>0</v>
      </c>
      <c r="EG178" s="72">
        <v>0</v>
      </c>
      <c r="EH178" s="72">
        <v>0</v>
      </c>
      <c r="EI178" s="72">
        <v>0</v>
      </c>
      <c r="EJ178" s="72">
        <v>0</v>
      </c>
      <c r="EK178" s="72">
        <v>0</v>
      </c>
      <c r="EL178" s="72">
        <v>0</v>
      </c>
      <c r="EM178" s="72">
        <v>0</v>
      </c>
      <c r="EN178" s="72">
        <v>0</v>
      </c>
      <c r="EO178" s="72">
        <v>0</v>
      </c>
      <c r="EP178" s="72">
        <v>0</v>
      </c>
      <c r="EQ178" s="72">
        <v>0</v>
      </c>
      <c r="ER178" s="72">
        <v>0</v>
      </c>
      <c r="ES178" s="72">
        <v>0</v>
      </c>
      <c r="ET178" s="72">
        <v>0</v>
      </c>
      <c r="EU178" s="72">
        <v>0</v>
      </c>
      <c r="EV178" s="72">
        <v>0</v>
      </c>
      <c r="EW178" s="72">
        <v>0</v>
      </c>
      <c r="EX178" s="72">
        <v>0</v>
      </c>
      <c r="EY178" s="72">
        <v>0</v>
      </c>
      <c r="EZ178" s="72">
        <v>0</v>
      </c>
      <c r="FA178" s="72">
        <v>0</v>
      </c>
      <c r="FB178" s="72">
        <v>0</v>
      </c>
      <c r="FC178" s="72">
        <v>0</v>
      </c>
      <c r="FD178" s="72">
        <v>0</v>
      </c>
      <c r="FE178" s="72">
        <v>0</v>
      </c>
      <c r="FF178" s="72">
        <v>0</v>
      </c>
      <c r="FG178" s="72">
        <v>0</v>
      </c>
      <c r="FH178" s="72">
        <v>0</v>
      </c>
      <c r="FI178" s="72">
        <v>0</v>
      </c>
      <c r="FJ178" s="72">
        <v>0</v>
      </c>
      <c r="FK178" s="72">
        <v>0</v>
      </c>
      <c r="FL178" s="72">
        <v>0</v>
      </c>
      <c r="FM178" s="72">
        <v>0</v>
      </c>
      <c r="FN178" s="72">
        <v>0</v>
      </c>
      <c r="FO178" s="72">
        <v>0</v>
      </c>
      <c r="FP178" s="72">
        <v>0</v>
      </c>
      <c r="FQ178" s="72">
        <v>0</v>
      </c>
      <c r="FR178" s="72">
        <v>0</v>
      </c>
      <c r="FS178" s="72">
        <v>0</v>
      </c>
      <c r="FT178" s="72">
        <v>0</v>
      </c>
      <c r="FU178" s="72">
        <v>0</v>
      </c>
      <c r="FV178" s="72">
        <v>0</v>
      </c>
      <c r="FW178" s="72">
        <v>0</v>
      </c>
      <c r="FX178" s="72">
        <v>0</v>
      </c>
      <c r="FY178" s="72">
        <v>0</v>
      </c>
      <c r="FZ178" s="72">
        <v>0</v>
      </c>
      <c r="GA178" s="72">
        <v>0</v>
      </c>
      <c r="GB178" s="72">
        <v>0</v>
      </c>
      <c r="GC178" s="72">
        <v>0</v>
      </c>
      <c r="GD178" s="72">
        <v>0</v>
      </c>
      <c r="GE178" s="72">
        <v>0</v>
      </c>
      <c r="GF178" s="72">
        <v>0</v>
      </c>
      <c r="GG178" s="72">
        <v>0</v>
      </c>
      <c r="GH178" s="72">
        <v>0</v>
      </c>
      <c r="GI178" s="72">
        <v>0</v>
      </c>
      <c r="GJ178" s="72">
        <v>0</v>
      </c>
      <c r="GK178" s="72">
        <v>0</v>
      </c>
      <c r="GL178" s="72">
        <v>0</v>
      </c>
      <c r="GM178" s="72">
        <v>0</v>
      </c>
      <c r="GN178" s="72">
        <v>0</v>
      </c>
      <c r="GO178" s="72">
        <v>0</v>
      </c>
      <c r="GP178" s="72">
        <v>0</v>
      </c>
      <c r="GQ178" s="77">
        <v>5826.5453527194022</v>
      </c>
      <c r="GR178" s="72">
        <f t="shared" si="2"/>
        <v>1243998.1925653876</v>
      </c>
      <c r="GS178" s="72">
        <f>SUM(FS$5:FS$202)</f>
        <v>1243998.1925653876</v>
      </c>
      <c r="GT178" s="73">
        <v>0</v>
      </c>
    </row>
    <row r="179" spans="1:202" x14ac:dyDescent="0.2">
      <c r="A179" s="66" t="s">
        <v>1609</v>
      </c>
      <c r="B179" s="72">
        <v>47935.800662464731</v>
      </c>
      <c r="C179" s="72">
        <v>640.67121639000209</v>
      </c>
      <c r="D179" s="72">
        <v>6568.2231242647049</v>
      </c>
      <c r="E179" s="72">
        <v>43036.620023761192</v>
      </c>
      <c r="F179" s="72">
        <v>17185.815194072886</v>
      </c>
      <c r="G179" s="72">
        <v>96744.781024917815</v>
      </c>
      <c r="H179" s="72">
        <v>11050.31184455095</v>
      </c>
      <c r="I179" s="72">
        <v>47473.942096258572</v>
      </c>
      <c r="J179" s="72">
        <v>36694.667106609908</v>
      </c>
      <c r="K179" s="72">
        <v>5821.1869265549867</v>
      </c>
      <c r="L179" s="72">
        <v>6242.1217084887739</v>
      </c>
      <c r="M179" s="72">
        <v>707.50928875944703</v>
      </c>
      <c r="N179" s="72">
        <v>429.89836457994926</v>
      </c>
      <c r="O179" s="72">
        <v>4564.552075075313</v>
      </c>
      <c r="P179" s="72">
        <v>22277.578388514452</v>
      </c>
      <c r="Q179" s="72">
        <v>7992.0606800016812</v>
      </c>
      <c r="R179" s="72">
        <v>57856.264273743916</v>
      </c>
      <c r="S179" s="72">
        <v>8516.0555165647293</v>
      </c>
      <c r="T179" s="72">
        <v>19431.112856917731</v>
      </c>
      <c r="U179" s="72">
        <v>1277.5529804508842</v>
      </c>
      <c r="V179" s="72">
        <v>3365.5841298390178</v>
      </c>
      <c r="W179" s="72">
        <v>662.34179341678725</v>
      </c>
      <c r="X179" s="72">
        <v>6575.6333666759992</v>
      </c>
      <c r="Y179" s="72">
        <v>21661.847597587024</v>
      </c>
      <c r="Z179" s="72">
        <v>15600.386674683676</v>
      </c>
      <c r="AA179" s="72">
        <v>15488.353550140069</v>
      </c>
      <c r="AB179" s="72">
        <v>2959.9078505478155</v>
      </c>
      <c r="AC179" s="72">
        <v>-1565.5286793022467</v>
      </c>
      <c r="AD179" s="72">
        <v>1301.2546652066349</v>
      </c>
      <c r="AE179" s="72">
        <v>20830.345767618634</v>
      </c>
      <c r="AF179" s="72">
        <v>2599.4760441079975</v>
      </c>
      <c r="AG179" s="72">
        <v>767.35791166565252</v>
      </c>
      <c r="AH179" s="72">
        <v>5926.2427903786174</v>
      </c>
      <c r="AI179" s="72">
        <v>65824.255014732553</v>
      </c>
      <c r="AJ179" s="72">
        <v>24384.822412210233</v>
      </c>
      <c r="AK179" s="72">
        <v>35798.223781188128</v>
      </c>
      <c r="AL179" s="72">
        <v>148104.71947667826</v>
      </c>
      <c r="AM179" s="72">
        <v>65699.250462020529</v>
      </c>
      <c r="AN179" s="72">
        <v>48514.708497898377</v>
      </c>
      <c r="AO179" s="72">
        <v>24065.809641170454</v>
      </c>
      <c r="AP179" s="72">
        <v>62161.760813439221</v>
      </c>
      <c r="AQ179" s="72">
        <v>2361.2092701319907</v>
      </c>
      <c r="AR179" s="72">
        <v>6024.7367606647276</v>
      </c>
      <c r="AS179" s="72">
        <v>26953.892479645427</v>
      </c>
      <c r="AT179" s="72">
        <v>79750.985939474645</v>
      </c>
      <c r="AU179" s="72">
        <v>93975.314225164024</v>
      </c>
      <c r="AV179" s="72">
        <v>16518.588919999984</v>
      </c>
      <c r="AW179" s="72">
        <v>41532.070613545744</v>
      </c>
      <c r="AX179" s="72">
        <v>308492.96113932086</v>
      </c>
      <c r="AY179" s="72">
        <v>16119.06421940761</v>
      </c>
      <c r="AZ179" s="72">
        <v>32785.252626016409</v>
      </c>
      <c r="BA179" s="72">
        <v>4270.0875332900714</v>
      </c>
      <c r="BB179" s="72">
        <v>107886.43589827417</v>
      </c>
      <c r="BC179" s="72">
        <v>84313.673412344389</v>
      </c>
      <c r="BD179" s="72">
        <v>62723.891655756037</v>
      </c>
      <c r="BE179" s="72">
        <v>49557.394434113376</v>
      </c>
      <c r="BF179" s="72">
        <v>-175.70861957548317</v>
      </c>
      <c r="BG179" s="72">
        <v>2066.2945192904867</v>
      </c>
      <c r="BH179" s="72">
        <v>19970.897138948967</v>
      </c>
      <c r="BI179" s="72">
        <v>1512.4846341565299</v>
      </c>
      <c r="BJ179" s="72">
        <v>236400.86405070522</v>
      </c>
      <c r="BK179" s="72">
        <v>0</v>
      </c>
      <c r="BL179" s="72">
        <v>0</v>
      </c>
      <c r="BM179" s="72">
        <v>0</v>
      </c>
      <c r="BN179" s="72">
        <v>0</v>
      </c>
      <c r="BO179" s="72">
        <v>0</v>
      </c>
      <c r="BP179" s="72">
        <v>0</v>
      </c>
      <c r="BQ179" s="72">
        <v>0</v>
      </c>
      <c r="BR179" s="72">
        <v>0</v>
      </c>
      <c r="BS179" s="72">
        <v>0</v>
      </c>
      <c r="BT179" s="72">
        <v>0</v>
      </c>
      <c r="BU179" s="72">
        <v>0</v>
      </c>
      <c r="BV179" s="72">
        <v>0</v>
      </c>
      <c r="BW179" s="72">
        <v>0</v>
      </c>
      <c r="BX179" s="72">
        <v>0</v>
      </c>
      <c r="BY179" s="72">
        <v>0</v>
      </c>
      <c r="BZ179" s="72">
        <v>0</v>
      </c>
      <c r="CA179" s="72">
        <v>0</v>
      </c>
      <c r="CB179" s="72">
        <v>0</v>
      </c>
      <c r="CC179" s="72">
        <v>0</v>
      </c>
      <c r="CD179" s="72">
        <v>0</v>
      </c>
      <c r="CE179" s="72">
        <v>0</v>
      </c>
      <c r="CF179" s="72">
        <v>0</v>
      </c>
      <c r="CG179" s="72">
        <v>0</v>
      </c>
      <c r="CH179" s="72">
        <v>0</v>
      </c>
      <c r="CI179" s="72">
        <v>0</v>
      </c>
      <c r="CJ179" s="72">
        <v>0</v>
      </c>
      <c r="CK179" s="72">
        <v>0</v>
      </c>
      <c r="CL179" s="72">
        <v>0</v>
      </c>
      <c r="CM179" s="72">
        <v>0</v>
      </c>
      <c r="CN179" s="72">
        <v>0</v>
      </c>
      <c r="CO179" s="72">
        <v>0</v>
      </c>
      <c r="CP179" s="72">
        <v>0</v>
      </c>
      <c r="CQ179" s="72">
        <v>0</v>
      </c>
      <c r="CR179" s="72">
        <v>0</v>
      </c>
      <c r="CS179" s="72">
        <v>0</v>
      </c>
      <c r="CT179" s="72">
        <v>0</v>
      </c>
      <c r="CU179" s="72">
        <v>0</v>
      </c>
      <c r="CV179" s="72">
        <v>0</v>
      </c>
      <c r="CW179" s="72">
        <v>0</v>
      </c>
      <c r="CX179" s="72">
        <v>0</v>
      </c>
      <c r="CY179" s="72">
        <v>0</v>
      </c>
      <c r="CZ179" s="72">
        <v>0</v>
      </c>
      <c r="DA179" s="72">
        <v>0</v>
      </c>
      <c r="DB179" s="72">
        <v>0</v>
      </c>
      <c r="DC179" s="72">
        <v>0</v>
      </c>
      <c r="DD179" s="72">
        <v>0</v>
      </c>
      <c r="DE179" s="72">
        <v>0</v>
      </c>
      <c r="DF179" s="72">
        <v>0</v>
      </c>
      <c r="DG179" s="72">
        <v>0</v>
      </c>
      <c r="DH179" s="72">
        <v>0</v>
      </c>
      <c r="DI179" s="72">
        <v>0</v>
      </c>
      <c r="DJ179" s="72">
        <v>0</v>
      </c>
      <c r="DK179" s="72">
        <v>0</v>
      </c>
      <c r="DL179" s="72">
        <v>0</v>
      </c>
      <c r="DM179" s="72">
        <v>0</v>
      </c>
      <c r="DN179" s="72">
        <v>0</v>
      </c>
      <c r="DO179" s="72">
        <v>0</v>
      </c>
      <c r="DP179" s="72">
        <v>0</v>
      </c>
      <c r="DQ179" s="72">
        <v>0</v>
      </c>
      <c r="DR179" s="72">
        <v>0</v>
      </c>
      <c r="DS179" s="72">
        <v>0</v>
      </c>
      <c r="DT179" s="72">
        <v>0</v>
      </c>
      <c r="DU179" s="72">
        <v>0</v>
      </c>
      <c r="DV179" s="72">
        <v>0</v>
      </c>
      <c r="DW179" s="72">
        <v>0</v>
      </c>
      <c r="DX179" s="72">
        <v>0</v>
      </c>
      <c r="DY179" s="72">
        <v>0</v>
      </c>
      <c r="DZ179" s="72">
        <v>0</v>
      </c>
      <c r="EA179" s="72">
        <v>0</v>
      </c>
      <c r="EB179" s="72">
        <v>0</v>
      </c>
      <c r="EC179" s="72">
        <v>0</v>
      </c>
      <c r="ED179" s="72">
        <v>0</v>
      </c>
      <c r="EE179" s="72">
        <v>0</v>
      </c>
      <c r="EF179" s="72">
        <v>0</v>
      </c>
      <c r="EG179" s="72">
        <v>0</v>
      </c>
      <c r="EH179" s="72">
        <v>0</v>
      </c>
      <c r="EI179" s="72">
        <v>0</v>
      </c>
      <c r="EJ179" s="72">
        <v>0</v>
      </c>
      <c r="EK179" s="72">
        <v>0</v>
      </c>
      <c r="EL179" s="72">
        <v>0</v>
      </c>
      <c r="EM179" s="72">
        <v>0</v>
      </c>
      <c r="EN179" s="72">
        <v>0</v>
      </c>
      <c r="EO179" s="72">
        <v>0</v>
      </c>
      <c r="EP179" s="72">
        <v>0</v>
      </c>
      <c r="EQ179" s="72">
        <v>0</v>
      </c>
      <c r="ER179" s="72">
        <v>0</v>
      </c>
      <c r="ES179" s="72">
        <v>0</v>
      </c>
      <c r="ET179" s="72">
        <v>0</v>
      </c>
      <c r="EU179" s="72">
        <v>0</v>
      </c>
      <c r="EV179" s="72">
        <v>0</v>
      </c>
      <c r="EW179" s="72">
        <v>0</v>
      </c>
      <c r="EX179" s="72">
        <v>0</v>
      </c>
      <c r="EY179" s="72">
        <v>0</v>
      </c>
      <c r="EZ179" s="72">
        <v>0</v>
      </c>
      <c r="FA179" s="72">
        <v>0</v>
      </c>
      <c r="FB179" s="72">
        <v>0</v>
      </c>
      <c r="FC179" s="72">
        <v>0</v>
      </c>
      <c r="FD179" s="72">
        <v>0</v>
      </c>
      <c r="FE179" s="72">
        <v>0</v>
      </c>
      <c r="FF179" s="72">
        <v>0</v>
      </c>
      <c r="FG179" s="72">
        <v>0</v>
      </c>
      <c r="FH179" s="72">
        <v>0</v>
      </c>
      <c r="FI179" s="72">
        <v>0</v>
      </c>
      <c r="FJ179" s="72">
        <v>0</v>
      </c>
      <c r="FK179" s="72">
        <v>0</v>
      </c>
      <c r="FL179" s="72">
        <v>0</v>
      </c>
      <c r="FM179" s="72">
        <v>0</v>
      </c>
      <c r="FN179" s="72">
        <v>0</v>
      </c>
      <c r="FO179" s="72">
        <v>0</v>
      </c>
      <c r="FP179" s="72">
        <v>0</v>
      </c>
      <c r="FQ179" s="72">
        <v>0</v>
      </c>
      <c r="FR179" s="72">
        <v>0</v>
      </c>
      <c r="FS179" s="72">
        <v>0</v>
      </c>
      <c r="FT179" s="72">
        <v>0</v>
      </c>
      <c r="FU179" s="72">
        <v>0</v>
      </c>
      <c r="FV179" s="72">
        <v>0</v>
      </c>
      <c r="FW179" s="72">
        <v>0</v>
      </c>
      <c r="FX179" s="72">
        <v>0</v>
      </c>
      <c r="FY179" s="72">
        <v>0</v>
      </c>
      <c r="FZ179" s="72">
        <v>0</v>
      </c>
      <c r="GA179" s="72">
        <v>0</v>
      </c>
      <c r="GB179" s="72">
        <v>0</v>
      </c>
      <c r="GC179" s="72">
        <v>0</v>
      </c>
      <c r="GD179" s="72">
        <v>0</v>
      </c>
      <c r="GE179" s="72">
        <v>0</v>
      </c>
      <c r="GF179" s="72">
        <v>0</v>
      </c>
      <c r="GG179" s="72">
        <v>0</v>
      </c>
      <c r="GH179" s="72">
        <v>0</v>
      </c>
      <c r="GI179" s="72">
        <v>0</v>
      </c>
      <c r="GJ179" s="72">
        <v>0</v>
      </c>
      <c r="GK179" s="72">
        <v>0</v>
      </c>
      <c r="GL179" s="72">
        <v>0</v>
      </c>
      <c r="GM179" s="72">
        <v>0</v>
      </c>
      <c r="GN179" s="72">
        <v>0</v>
      </c>
      <c r="GO179" s="72">
        <v>0</v>
      </c>
      <c r="GP179" s="72">
        <v>0</v>
      </c>
      <c r="GQ179" s="72">
        <v>110464.9569787248</v>
      </c>
      <c r="GR179" s="72">
        <f t="shared" si="2"/>
        <v>2316678.8267442468</v>
      </c>
      <c r="GS179" s="72">
        <f>SUM(FT$5:FT$202)</f>
        <v>2316678.8267442444</v>
      </c>
      <c r="GT179" s="73">
        <v>0</v>
      </c>
    </row>
    <row r="180" spans="1:202" x14ac:dyDescent="0.2">
      <c r="A180" s="66" t="s">
        <v>1282</v>
      </c>
      <c r="B180" s="72">
        <v>0</v>
      </c>
      <c r="C180" s="72">
        <v>0</v>
      </c>
      <c r="D180" s="72">
        <v>0</v>
      </c>
      <c r="E180" s="72">
        <v>0</v>
      </c>
      <c r="F180" s="72">
        <v>0</v>
      </c>
      <c r="G180" s="72">
        <v>0</v>
      </c>
      <c r="H180" s="72">
        <v>0</v>
      </c>
      <c r="I180" s="72">
        <v>0</v>
      </c>
      <c r="J180" s="72">
        <v>0</v>
      </c>
      <c r="K180" s="72">
        <v>0</v>
      </c>
      <c r="L180" s="72">
        <v>0</v>
      </c>
      <c r="M180" s="72">
        <v>0</v>
      </c>
      <c r="N180" s="72">
        <v>0</v>
      </c>
      <c r="O180" s="72">
        <v>0</v>
      </c>
      <c r="P180" s="72">
        <v>0</v>
      </c>
      <c r="Q180" s="72">
        <v>0</v>
      </c>
      <c r="R180" s="72">
        <v>0</v>
      </c>
      <c r="S180" s="72">
        <v>0</v>
      </c>
      <c r="T180" s="72">
        <v>0</v>
      </c>
      <c r="U180" s="72">
        <v>0</v>
      </c>
      <c r="V180" s="72">
        <v>0</v>
      </c>
      <c r="W180" s="72">
        <v>0</v>
      </c>
      <c r="X180" s="72">
        <v>0</v>
      </c>
      <c r="Y180" s="72">
        <v>0</v>
      </c>
      <c r="Z180" s="72">
        <v>0</v>
      </c>
      <c r="AA180" s="72">
        <v>0</v>
      </c>
      <c r="AB180" s="72">
        <v>0</v>
      </c>
      <c r="AC180" s="72">
        <v>0</v>
      </c>
      <c r="AD180" s="72">
        <v>0</v>
      </c>
      <c r="AE180" s="72">
        <v>0</v>
      </c>
      <c r="AF180" s="72">
        <v>0</v>
      </c>
      <c r="AG180" s="72">
        <v>0</v>
      </c>
      <c r="AH180" s="72">
        <v>0</v>
      </c>
      <c r="AI180" s="72">
        <v>0</v>
      </c>
      <c r="AJ180" s="72">
        <v>0</v>
      </c>
      <c r="AK180" s="72">
        <v>0</v>
      </c>
      <c r="AL180" s="72">
        <v>0</v>
      </c>
      <c r="AM180" s="72">
        <v>0</v>
      </c>
      <c r="AN180" s="72">
        <v>0</v>
      </c>
      <c r="AO180" s="72">
        <v>0</v>
      </c>
      <c r="AP180" s="72">
        <v>0</v>
      </c>
      <c r="AQ180" s="72">
        <v>0</v>
      </c>
      <c r="AR180" s="72">
        <v>0</v>
      </c>
      <c r="AS180" s="72">
        <v>0</v>
      </c>
      <c r="AT180" s="72">
        <v>0</v>
      </c>
      <c r="AU180" s="72">
        <v>0</v>
      </c>
      <c r="AV180" s="72">
        <v>0</v>
      </c>
      <c r="AW180" s="72">
        <v>0</v>
      </c>
      <c r="AX180" s="72">
        <v>0</v>
      </c>
      <c r="AY180" s="72">
        <v>0</v>
      </c>
      <c r="AZ180" s="72">
        <v>0</v>
      </c>
      <c r="BA180" s="72">
        <v>0</v>
      </c>
      <c r="BB180" s="72">
        <v>0</v>
      </c>
      <c r="BC180" s="72">
        <v>0</v>
      </c>
      <c r="BD180" s="72">
        <v>0</v>
      </c>
      <c r="BE180" s="72">
        <v>0</v>
      </c>
      <c r="BF180" s="72">
        <v>0</v>
      </c>
      <c r="BG180" s="72">
        <v>0</v>
      </c>
      <c r="BH180" s="72">
        <v>0</v>
      </c>
      <c r="BI180" s="72">
        <v>0</v>
      </c>
      <c r="BJ180" s="72">
        <v>0</v>
      </c>
      <c r="BK180" s="72">
        <v>0</v>
      </c>
      <c r="BL180" s="72">
        <v>0</v>
      </c>
      <c r="BM180" s="72">
        <v>0</v>
      </c>
      <c r="BN180" s="72">
        <v>0</v>
      </c>
      <c r="BO180" s="72">
        <v>0</v>
      </c>
      <c r="BP180" s="72">
        <v>0</v>
      </c>
      <c r="BQ180" s="72">
        <v>0</v>
      </c>
      <c r="BR180" s="72">
        <v>0</v>
      </c>
      <c r="BS180" s="72">
        <v>0</v>
      </c>
      <c r="BT180" s="72">
        <v>0</v>
      </c>
      <c r="BU180" s="72">
        <v>0</v>
      </c>
      <c r="BV180" s="72">
        <v>0</v>
      </c>
      <c r="BW180" s="72">
        <v>0</v>
      </c>
      <c r="BX180" s="72">
        <v>0</v>
      </c>
      <c r="BY180" s="72">
        <v>0</v>
      </c>
      <c r="BZ180" s="72">
        <v>0</v>
      </c>
      <c r="CA180" s="72">
        <v>0</v>
      </c>
      <c r="CB180" s="72">
        <v>0</v>
      </c>
      <c r="CC180" s="72">
        <v>0</v>
      </c>
      <c r="CD180" s="72">
        <v>0</v>
      </c>
      <c r="CE180" s="72">
        <v>0</v>
      </c>
      <c r="CF180" s="72">
        <v>0</v>
      </c>
      <c r="CG180" s="72">
        <v>0</v>
      </c>
      <c r="CH180" s="72">
        <v>0</v>
      </c>
      <c r="CI180" s="72">
        <v>0</v>
      </c>
      <c r="CJ180" s="72">
        <v>0</v>
      </c>
      <c r="CK180" s="72">
        <v>0</v>
      </c>
      <c r="CL180" s="72">
        <v>0</v>
      </c>
      <c r="CM180" s="72">
        <v>0</v>
      </c>
      <c r="CN180" s="72">
        <v>0</v>
      </c>
      <c r="CO180" s="72">
        <v>0</v>
      </c>
      <c r="CP180" s="72">
        <v>0</v>
      </c>
      <c r="CQ180" s="72">
        <v>0</v>
      </c>
      <c r="CR180" s="72">
        <v>0</v>
      </c>
      <c r="CS180" s="72">
        <v>0</v>
      </c>
      <c r="CT180" s="72">
        <v>0</v>
      </c>
      <c r="CU180" s="72">
        <v>0</v>
      </c>
      <c r="CV180" s="72">
        <v>0</v>
      </c>
      <c r="CW180" s="72">
        <v>0</v>
      </c>
      <c r="CX180" s="72">
        <v>0</v>
      </c>
      <c r="CY180" s="72">
        <v>0</v>
      </c>
      <c r="CZ180" s="72">
        <v>0</v>
      </c>
      <c r="DA180" s="72">
        <v>0</v>
      </c>
      <c r="DB180" s="72">
        <v>0</v>
      </c>
      <c r="DC180" s="72">
        <v>0</v>
      </c>
      <c r="DD180" s="72">
        <v>0</v>
      </c>
      <c r="DE180" s="72">
        <v>0</v>
      </c>
      <c r="DF180" s="72">
        <v>0</v>
      </c>
      <c r="DG180" s="72">
        <v>0</v>
      </c>
      <c r="DH180" s="72">
        <v>0</v>
      </c>
      <c r="DI180" s="72">
        <v>0</v>
      </c>
      <c r="DJ180" s="72">
        <v>0</v>
      </c>
      <c r="DK180" s="72">
        <v>0</v>
      </c>
      <c r="DL180" s="72">
        <v>0</v>
      </c>
      <c r="DM180" s="72">
        <v>0</v>
      </c>
      <c r="DN180" s="72">
        <v>0</v>
      </c>
      <c r="DO180" s="72">
        <v>0</v>
      </c>
      <c r="DP180" s="72">
        <v>0</v>
      </c>
      <c r="DQ180" s="72">
        <v>0</v>
      </c>
      <c r="DR180" s="72">
        <v>0</v>
      </c>
      <c r="DS180" s="72">
        <v>0</v>
      </c>
      <c r="DT180" s="72">
        <v>0</v>
      </c>
      <c r="DU180" s="72">
        <v>0</v>
      </c>
      <c r="DV180" s="72">
        <v>0</v>
      </c>
      <c r="DW180" s="72">
        <v>0</v>
      </c>
      <c r="DX180" s="72">
        <v>0</v>
      </c>
      <c r="DY180" s="72">
        <v>0</v>
      </c>
      <c r="DZ180" s="72">
        <v>0</v>
      </c>
      <c r="EA180" s="72">
        <v>0</v>
      </c>
      <c r="EB180" s="72">
        <v>0</v>
      </c>
      <c r="EC180" s="72">
        <v>0</v>
      </c>
      <c r="ED180" s="72">
        <v>0</v>
      </c>
      <c r="EE180" s="72">
        <v>0</v>
      </c>
      <c r="EF180" s="72">
        <v>0</v>
      </c>
      <c r="EG180" s="72">
        <v>0</v>
      </c>
      <c r="EH180" s="72">
        <v>0</v>
      </c>
      <c r="EI180" s="72">
        <v>0</v>
      </c>
      <c r="EJ180" s="72">
        <v>0</v>
      </c>
      <c r="EK180" s="72">
        <v>0</v>
      </c>
      <c r="EL180" s="72">
        <v>0</v>
      </c>
      <c r="EM180" s="72">
        <v>0</v>
      </c>
      <c r="EN180" s="72">
        <v>0</v>
      </c>
      <c r="EO180" s="72">
        <v>0</v>
      </c>
      <c r="EP180" s="72">
        <v>0</v>
      </c>
      <c r="EQ180" s="72">
        <v>0</v>
      </c>
      <c r="ER180" s="72">
        <v>0</v>
      </c>
      <c r="ES180" s="72">
        <v>0</v>
      </c>
      <c r="ET180" s="72">
        <v>0</v>
      </c>
      <c r="EU180" s="72">
        <v>0</v>
      </c>
      <c r="EV180" s="72">
        <v>0</v>
      </c>
      <c r="EW180" s="72">
        <v>0</v>
      </c>
      <c r="EX180" s="72">
        <v>0</v>
      </c>
      <c r="EY180" s="72">
        <v>0</v>
      </c>
      <c r="EZ180" s="72">
        <v>0</v>
      </c>
      <c r="FA180" s="72">
        <v>0</v>
      </c>
      <c r="FB180" s="72">
        <v>0</v>
      </c>
      <c r="FC180" s="72">
        <v>0</v>
      </c>
      <c r="FD180" s="72">
        <v>0</v>
      </c>
      <c r="FE180" s="72">
        <v>0</v>
      </c>
      <c r="FF180" s="72">
        <v>0</v>
      </c>
      <c r="FG180" s="72">
        <v>0</v>
      </c>
      <c r="FH180" s="72">
        <v>0</v>
      </c>
      <c r="FI180" s="72">
        <v>0</v>
      </c>
      <c r="FJ180" s="72">
        <v>0</v>
      </c>
      <c r="FK180" s="72">
        <v>0</v>
      </c>
      <c r="FL180" s="72">
        <v>0</v>
      </c>
      <c r="FM180" s="72">
        <v>0</v>
      </c>
      <c r="FN180" s="72">
        <v>0</v>
      </c>
      <c r="FO180" s="72">
        <v>0</v>
      </c>
      <c r="FP180" s="72">
        <v>0</v>
      </c>
      <c r="FQ180" s="72">
        <v>0</v>
      </c>
      <c r="FR180" s="72">
        <v>0</v>
      </c>
      <c r="FS180" s="72">
        <v>0</v>
      </c>
      <c r="FT180" s="72">
        <v>1401773</v>
      </c>
      <c r="FU180" s="72">
        <v>857644</v>
      </c>
      <c r="FV180" s="74">
        <v>78.483239592338819</v>
      </c>
      <c r="FW180" s="74">
        <v>314.57899322294651</v>
      </c>
      <c r="FX180" s="74">
        <v>733.02230573556221</v>
      </c>
      <c r="FY180" s="74">
        <v>1621.1382483688308</v>
      </c>
      <c r="FZ180" s="74">
        <v>4102.7462067963943</v>
      </c>
      <c r="GA180" s="74">
        <v>7908.2120680263761</v>
      </c>
      <c r="GB180" s="74">
        <v>13777.650097467209</v>
      </c>
      <c r="GC180" s="74">
        <v>41554.001280898374</v>
      </c>
      <c r="GD180" s="74">
        <v>88383.361091835264</v>
      </c>
      <c r="GE180" s="74">
        <v>28714.966452081251</v>
      </c>
      <c r="GF180" s="74">
        <v>39192.061752529247</v>
      </c>
      <c r="GG180" s="74">
        <v>59682.680362754902</v>
      </c>
      <c r="GH180" s="74">
        <v>58857.169631282581</v>
      </c>
      <c r="GI180" s="74">
        <v>115361.92826940877</v>
      </c>
      <c r="GJ180" s="72">
        <v>687527</v>
      </c>
      <c r="GK180" s="72">
        <v>0</v>
      </c>
      <c r="GL180" s="72">
        <v>0</v>
      </c>
      <c r="GM180" s="72">
        <v>0</v>
      </c>
      <c r="GN180" s="72">
        <v>0</v>
      </c>
      <c r="GO180" s="72">
        <v>0</v>
      </c>
      <c r="GP180" s="72">
        <v>0</v>
      </c>
      <c r="GQ180" s="72">
        <v>14929</v>
      </c>
      <c r="GR180" s="72">
        <f t="shared" si="2"/>
        <v>3422155</v>
      </c>
      <c r="GS180" s="72">
        <f>SUM(FU$5:FU$202)</f>
        <v>3422155</v>
      </c>
      <c r="GT180" s="73">
        <v>0</v>
      </c>
    </row>
    <row r="181" spans="1:202" x14ac:dyDescent="0.2">
      <c r="A181" s="78" t="s" cm="1">
        <v>1549</v>
      </c>
      <c r="B181" s="72">
        <v>0</v>
      </c>
      <c r="C181" s="72">
        <v>0</v>
      </c>
      <c r="D181" s="72">
        <v>0</v>
      </c>
      <c r="E181" s="72">
        <v>0</v>
      </c>
      <c r="F181" s="72">
        <v>0</v>
      </c>
      <c r="G181" s="72">
        <v>0</v>
      </c>
      <c r="H181" s="72">
        <v>0</v>
      </c>
      <c r="I181" s="72">
        <v>0</v>
      </c>
      <c r="J181" s="72">
        <v>0</v>
      </c>
      <c r="K181" s="72">
        <v>0</v>
      </c>
      <c r="L181" s="72">
        <v>0</v>
      </c>
      <c r="M181" s="72">
        <v>0</v>
      </c>
      <c r="N181" s="72">
        <v>0</v>
      </c>
      <c r="O181" s="72">
        <v>0</v>
      </c>
      <c r="P181" s="72">
        <v>0</v>
      </c>
      <c r="Q181" s="72">
        <v>0</v>
      </c>
      <c r="R181" s="72">
        <v>0</v>
      </c>
      <c r="S181" s="72">
        <v>0</v>
      </c>
      <c r="T181" s="72">
        <v>0</v>
      </c>
      <c r="U181" s="72">
        <v>0</v>
      </c>
      <c r="V181" s="72">
        <v>0</v>
      </c>
      <c r="W181" s="72">
        <v>0</v>
      </c>
      <c r="X181" s="72">
        <v>0</v>
      </c>
      <c r="Y181" s="72">
        <v>0</v>
      </c>
      <c r="Z181" s="72">
        <v>0</v>
      </c>
      <c r="AA181" s="72">
        <v>0</v>
      </c>
      <c r="AB181" s="72">
        <v>0</v>
      </c>
      <c r="AC181" s="72">
        <v>0</v>
      </c>
      <c r="AD181" s="72">
        <v>0</v>
      </c>
      <c r="AE181" s="72">
        <v>0</v>
      </c>
      <c r="AF181" s="72">
        <v>0</v>
      </c>
      <c r="AG181" s="72">
        <v>0</v>
      </c>
      <c r="AH181" s="72">
        <v>0</v>
      </c>
      <c r="AI181" s="72">
        <v>0</v>
      </c>
      <c r="AJ181" s="72">
        <v>0</v>
      </c>
      <c r="AK181" s="72">
        <v>0</v>
      </c>
      <c r="AL181" s="72">
        <v>0</v>
      </c>
      <c r="AM181" s="72">
        <v>0</v>
      </c>
      <c r="AN181" s="72">
        <v>0</v>
      </c>
      <c r="AO181" s="72">
        <v>0</v>
      </c>
      <c r="AP181" s="72">
        <v>0</v>
      </c>
      <c r="AQ181" s="72">
        <v>0</v>
      </c>
      <c r="AR181" s="72">
        <v>0</v>
      </c>
      <c r="AS181" s="72">
        <v>0</v>
      </c>
      <c r="AT181" s="72">
        <v>0</v>
      </c>
      <c r="AU181" s="72">
        <v>0</v>
      </c>
      <c r="AV181" s="72">
        <v>0</v>
      </c>
      <c r="AW181" s="72">
        <v>0</v>
      </c>
      <c r="AX181" s="72">
        <v>0</v>
      </c>
      <c r="AY181" s="72">
        <v>0</v>
      </c>
      <c r="AZ181" s="72">
        <v>0</v>
      </c>
      <c r="BA181" s="72">
        <v>0</v>
      </c>
      <c r="BB181" s="72">
        <v>0</v>
      </c>
      <c r="BC181" s="72">
        <v>0</v>
      </c>
      <c r="BD181" s="72">
        <v>0</v>
      </c>
      <c r="BE181" s="72">
        <v>0</v>
      </c>
      <c r="BF181" s="72">
        <v>0</v>
      </c>
      <c r="BG181" s="72">
        <v>0</v>
      </c>
      <c r="BH181" s="72">
        <v>0</v>
      </c>
      <c r="BI181" s="72">
        <v>0</v>
      </c>
      <c r="BJ181" s="72">
        <v>0</v>
      </c>
      <c r="BK181" s="72">
        <v>0</v>
      </c>
      <c r="BL181" s="72">
        <v>0</v>
      </c>
      <c r="BM181" s="72">
        <v>0</v>
      </c>
      <c r="BN181" s="72">
        <v>0</v>
      </c>
      <c r="BO181" s="72">
        <v>0</v>
      </c>
      <c r="BP181" s="72">
        <v>0</v>
      </c>
      <c r="BQ181" s="72">
        <v>0</v>
      </c>
      <c r="BR181" s="72">
        <v>0</v>
      </c>
      <c r="BS181" s="72">
        <v>0</v>
      </c>
      <c r="BT181" s="72">
        <v>0</v>
      </c>
      <c r="BU181" s="72">
        <v>0</v>
      </c>
      <c r="BV181" s="72">
        <v>0</v>
      </c>
      <c r="BW181" s="72">
        <v>0</v>
      </c>
      <c r="BX181" s="72">
        <v>0</v>
      </c>
      <c r="BY181" s="72">
        <v>0</v>
      </c>
      <c r="BZ181" s="72">
        <v>0</v>
      </c>
      <c r="CA181" s="72">
        <v>0</v>
      </c>
      <c r="CB181" s="72">
        <v>0</v>
      </c>
      <c r="CC181" s="72">
        <v>0</v>
      </c>
      <c r="CD181" s="72">
        <v>0</v>
      </c>
      <c r="CE181" s="72">
        <v>0</v>
      </c>
      <c r="CF181" s="72">
        <v>0</v>
      </c>
      <c r="CG181" s="72">
        <v>0</v>
      </c>
      <c r="CH181" s="72">
        <v>0</v>
      </c>
      <c r="CI181" s="72">
        <v>0</v>
      </c>
      <c r="CJ181" s="72">
        <v>0</v>
      </c>
      <c r="CK181" s="72">
        <v>0</v>
      </c>
      <c r="CL181" s="72">
        <v>0</v>
      </c>
      <c r="CM181" s="72">
        <v>0</v>
      </c>
      <c r="CN181" s="72">
        <v>0</v>
      </c>
      <c r="CO181" s="72">
        <v>0</v>
      </c>
      <c r="CP181" s="72">
        <v>0</v>
      </c>
      <c r="CQ181" s="72">
        <v>0</v>
      </c>
      <c r="CR181" s="72">
        <v>0</v>
      </c>
      <c r="CS181" s="72">
        <v>0</v>
      </c>
      <c r="CT181" s="72">
        <v>0</v>
      </c>
      <c r="CU181" s="72">
        <v>0</v>
      </c>
      <c r="CV181" s="72">
        <v>0</v>
      </c>
      <c r="CW181" s="72">
        <v>0</v>
      </c>
      <c r="CX181" s="72">
        <v>0</v>
      </c>
      <c r="CY181" s="72">
        <v>0</v>
      </c>
      <c r="CZ181" s="72">
        <v>0</v>
      </c>
      <c r="DA181" s="72">
        <v>0</v>
      </c>
      <c r="DB181" s="72">
        <v>0</v>
      </c>
      <c r="DC181" s="72">
        <v>0</v>
      </c>
      <c r="DD181" s="72">
        <v>0</v>
      </c>
      <c r="DE181" s="72">
        <v>0</v>
      </c>
      <c r="DF181" s="72">
        <v>0</v>
      </c>
      <c r="DG181" s="72">
        <v>0</v>
      </c>
      <c r="DH181" s="72">
        <v>0</v>
      </c>
      <c r="DI181" s="72">
        <v>0</v>
      </c>
      <c r="DJ181" s="72">
        <v>0</v>
      </c>
      <c r="DK181" s="72">
        <v>0</v>
      </c>
      <c r="DL181" s="72">
        <v>0</v>
      </c>
      <c r="DM181" s="72">
        <v>0</v>
      </c>
      <c r="DN181" s="72">
        <v>0</v>
      </c>
      <c r="DO181" s="72">
        <v>0</v>
      </c>
      <c r="DP181" s="72">
        <v>0</v>
      </c>
      <c r="DQ181" s="72">
        <v>0</v>
      </c>
      <c r="DR181" s="72">
        <v>0</v>
      </c>
      <c r="DS181" s="72">
        <v>0</v>
      </c>
      <c r="DT181" s="72">
        <v>0</v>
      </c>
      <c r="DU181" s="72">
        <v>0</v>
      </c>
      <c r="DV181" s="72">
        <v>0</v>
      </c>
      <c r="DW181" s="72">
        <v>0</v>
      </c>
      <c r="DX181" s="72">
        <v>0</v>
      </c>
      <c r="DY181" s="72">
        <v>0</v>
      </c>
      <c r="DZ181" s="72">
        <v>0</v>
      </c>
      <c r="EA181" s="72">
        <v>0</v>
      </c>
      <c r="EB181" s="72">
        <v>0</v>
      </c>
      <c r="EC181" s="72">
        <v>0</v>
      </c>
      <c r="ED181" s="72">
        <v>0</v>
      </c>
      <c r="EE181" s="72">
        <v>0</v>
      </c>
      <c r="EF181" s="72">
        <v>0</v>
      </c>
      <c r="EG181" s="72">
        <v>0</v>
      </c>
      <c r="EH181" s="72">
        <v>0</v>
      </c>
      <c r="EI181" s="72">
        <v>0</v>
      </c>
      <c r="EJ181" s="72">
        <v>0</v>
      </c>
      <c r="EK181" s="72">
        <v>0</v>
      </c>
      <c r="EL181" s="72">
        <v>0</v>
      </c>
      <c r="EM181" s="72">
        <v>0</v>
      </c>
      <c r="EN181" s="72">
        <v>0</v>
      </c>
      <c r="EO181" s="72">
        <v>0</v>
      </c>
      <c r="EP181" s="72">
        <v>0</v>
      </c>
      <c r="EQ181" s="72">
        <v>0</v>
      </c>
      <c r="ER181" s="72">
        <v>0</v>
      </c>
      <c r="ES181" s="72">
        <v>0</v>
      </c>
      <c r="ET181" s="72">
        <v>0</v>
      </c>
      <c r="EU181" s="72">
        <v>0</v>
      </c>
      <c r="EV181" s="72">
        <v>0</v>
      </c>
      <c r="EW181" s="72">
        <v>0</v>
      </c>
      <c r="EX181" s="72">
        <v>0</v>
      </c>
      <c r="EY181" s="72">
        <v>0</v>
      </c>
      <c r="EZ181" s="72">
        <v>0</v>
      </c>
      <c r="FA181" s="72">
        <v>0</v>
      </c>
      <c r="FB181" s="72">
        <v>0</v>
      </c>
      <c r="FC181" s="72">
        <v>0</v>
      </c>
      <c r="FD181" s="72">
        <v>0</v>
      </c>
      <c r="FE181" s="72">
        <v>0</v>
      </c>
      <c r="FF181" s="72">
        <v>0</v>
      </c>
      <c r="FG181" s="72">
        <v>0</v>
      </c>
      <c r="FH181" s="72">
        <v>0</v>
      </c>
      <c r="FI181" s="72">
        <v>0</v>
      </c>
      <c r="FJ181" s="72">
        <v>0</v>
      </c>
      <c r="FK181" s="72">
        <v>0</v>
      </c>
      <c r="FL181" s="72">
        <v>0</v>
      </c>
      <c r="FM181" s="72">
        <v>0</v>
      </c>
      <c r="FN181" s="72">
        <v>0</v>
      </c>
      <c r="FO181" s="72">
        <v>0</v>
      </c>
      <c r="FP181" s="77">
        <v>15315.530165397042</v>
      </c>
      <c r="FQ181" s="77">
        <v>10293.892477732174</v>
      </c>
      <c r="FR181" s="77">
        <v>857.56228835449463</v>
      </c>
      <c r="FS181" s="77">
        <v>30.711798346098753</v>
      </c>
      <c r="FT181" s="77">
        <v>895.62996996693676</v>
      </c>
      <c r="FU181" s="77">
        <v>904.28840940224097</v>
      </c>
      <c r="FV181" s="72">
        <v>0</v>
      </c>
      <c r="FW181" s="72">
        <v>0</v>
      </c>
      <c r="FX181" s="72">
        <v>0</v>
      </c>
      <c r="FY181" s="72">
        <v>0</v>
      </c>
      <c r="FZ181" s="72">
        <v>0</v>
      </c>
      <c r="GA181" s="72">
        <v>0</v>
      </c>
      <c r="GB181" s="72">
        <v>0</v>
      </c>
      <c r="GC181" s="72">
        <v>0</v>
      </c>
      <c r="GD181" s="72">
        <v>0</v>
      </c>
      <c r="GE181" s="72">
        <v>0</v>
      </c>
      <c r="GF181" s="72">
        <v>0</v>
      </c>
      <c r="GG181" s="72">
        <v>0</v>
      </c>
      <c r="GH181" s="72">
        <v>0</v>
      </c>
      <c r="GI181" s="72">
        <v>0</v>
      </c>
      <c r="GJ181" s="77">
        <v>51267.347181248741</v>
      </c>
      <c r="GK181" s="72">
        <v>0</v>
      </c>
      <c r="GL181" s="72">
        <v>0</v>
      </c>
      <c r="GM181" s="72">
        <v>0</v>
      </c>
      <c r="GN181" s="72">
        <v>0</v>
      </c>
      <c r="GO181" s="72">
        <v>0</v>
      </c>
      <c r="GP181" s="72">
        <v>0</v>
      </c>
      <c r="GQ181" s="77">
        <v>34.059354496547975</v>
      </c>
      <c r="GR181" s="72">
        <f t="shared" si="2"/>
        <v>79599.021644944281</v>
      </c>
      <c r="GS181" s="72">
        <f>SUM(FV$5:FV$202)</f>
        <v>79599.021644944267</v>
      </c>
      <c r="GT181" s="73">
        <v>0</v>
      </c>
    </row>
    <row r="182" spans="1:202" outlineLevel="1" x14ac:dyDescent="0.2">
      <c r="A182" s="78" t="s">
        <v>1550</v>
      </c>
      <c r="B182" s="72">
        <v>0</v>
      </c>
      <c r="C182" s="72">
        <v>0</v>
      </c>
      <c r="D182" s="72">
        <v>0</v>
      </c>
      <c r="E182" s="72">
        <v>0</v>
      </c>
      <c r="F182" s="72">
        <v>0</v>
      </c>
      <c r="G182" s="72">
        <v>0</v>
      </c>
      <c r="H182" s="72">
        <v>0</v>
      </c>
      <c r="I182" s="72">
        <v>0</v>
      </c>
      <c r="J182" s="72">
        <v>0</v>
      </c>
      <c r="K182" s="72">
        <v>0</v>
      </c>
      <c r="L182" s="72">
        <v>0</v>
      </c>
      <c r="M182" s="72">
        <v>0</v>
      </c>
      <c r="N182" s="72">
        <v>0</v>
      </c>
      <c r="O182" s="72">
        <v>0</v>
      </c>
      <c r="P182" s="72">
        <v>0</v>
      </c>
      <c r="Q182" s="72">
        <v>0</v>
      </c>
      <c r="R182" s="72">
        <v>0</v>
      </c>
      <c r="S182" s="72">
        <v>0</v>
      </c>
      <c r="T182" s="72">
        <v>0</v>
      </c>
      <c r="U182" s="72">
        <v>0</v>
      </c>
      <c r="V182" s="72">
        <v>0</v>
      </c>
      <c r="W182" s="72">
        <v>0</v>
      </c>
      <c r="X182" s="72">
        <v>0</v>
      </c>
      <c r="Y182" s="72">
        <v>0</v>
      </c>
      <c r="Z182" s="72">
        <v>0</v>
      </c>
      <c r="AA182" s="72">
        <v>0</v>
      </c>
      <c r="AB182" s="72">
        <v>0</v>
      </c>
      <c r="AC182" s="72">
        <v>0</v>
      </c>
      <c r="AD182" s="72">
        <v>0</v>
      </c>
      <c r="AE182" s="72">
        <v>0</v>
      </c>
      <c r="AF182" s="72">
        <v>0</v>
      </c>
      <c r="AG182" s="72">
        <v>0</v>
      </c>
      <c r="AH182" s="72">
        <v>0</v>
      </c>
      <c r="AI182" s="72">
        <v>0</v>
      </c>
      <c r="AJ182" s="72">
        <v>0</v>
      </c>
      <c r="AK182" s="72">
        <v>0</v>
      </c>
      <c r="AL182" s="72">
        <v>0</v>
      </c>
      <c r="AM182" s="72">
        <v>0</v>
      </c>
      <c r="AN182" s="72">
        <v>0</v>
      </c>
      <c r="AO182" s="72">
        <v>0</v>
      </c>
      <c r="AP182" s="72">
        <v>0</v>
      </c>
      <c r="AQ182" s="72">
        <v>0</v>
      </c>
      <c r="AR182" s="72">
        <v>0</v>
      </c>
      <c r="AS182" s="72">
        <v>0</v>
      </c>
      <c r="AT182" s="72">
        <v>0</v>
      </c>
      <c r="AU182" s="72">
        <v>0</v>
      </c>
      <c r="AV182" s="72">
        <v>0</v>
      </c>
      <c r="AW182" s="72">
        <v>0</v>
      </c>
      <c r="AX182" s="72">
        <v>0</v>
      </c>
      <c r="AY182" s="72">
        <v>0</v>
      </c>
      <c r="AZ182" s="72">
        <v>0</v>
      </c>
      <c r="BA182" s="72">
        <v>0</v>
      </c>
      <c r="BB182" s="72">
        <v>0</v>
      </c>
      <c r="BC182" s="72">
        <v>0</v>
      </c>
      <c r="BD182" s="72">
        <v>0</v>
      </c>
      <c r="BE182" s="72">
        <v>0</v>
      </c>
      <c r="BF182" s="72">
        <v>0</v>
      </c>
      <c r="BG182" s="72">
        <v>0</v>
      </c>
      <c r="BH182" s="72">
        <v>0</v>
      </c>
      <c r="BI182" s="72">
        <v>0</v>
      </c>
      <c r="BJ182" s="72">
        <v>0</v>
      </c>
      <c r="BK182" s="72">
        <v>0</v>
      </c>
      <c r="BL182" s="72">
        <v>0</v>
      </c>
      <c r="BM182" s="72">
        <v>0</v>
      </c>
      <c r="BN182" s="72">
        <v>0</v>
      </c>
      <c r="BO182" s="72">
        <v>0</v>
      </c>
      <c r="BP182" s="72">
        <v>0</v>
      </c>
      <c r="BQ182" s="72">
        <v>0</v>
      </c>
      <c r="BR182" s="72">
        <v>0</v>
      </c>
      <c r="BS182" s="72">
        <v>0</v>
      </c>
      <c r="BT182" s="72">
        <v>0</v>
      </c>
      <c r="BU182" s="72">
        <v>0</v>
      </c>
      <c r="BV182" s="72">
        <v>0</v>
      </c>
      <c r="BW182" s="72">
        <v>0</v>
      </c>
      <c r="BX182" s="72">
        <v>0</v>
      </c>
      <c r="BY182" s="72">
        <v>0</v>
      </c>
      <c r="BZ182" s="72">
        <v>0</v>
      </c>
      <c r="CA182" s="72">
        <v>0</v>
      </c>
      <c r="CB182" s="72">
        <v>0</v>
      </c>
      <c r="CC182" s="72">
        <v>0</v>
      </c>
      <c r="CD182" s="72">
        <v>0</v>
      </c>
      <c r="CE182" s="72">
        <v>0</v>
      </c>
      <c r="CF182" s="72">
        <v>0</v>
      </c>
      <c r="CG182" s="72">
        <v>0</v>
      </c>
      <c r="CH182" s="72">
        <v>0</v>
      </c>
      <c r="CI182" s="72">
        <v>0</v>
      </c>
      <c r="CJ182" s="72">
        <v>0</v>
      </c>
      <c r="CK182" s="72">
        <v>0</v>
      </c>
      <c r="CL182" s="72">
        <v>0</v>
      </c>
      <c r="CM182" s="72">
        <v>0</v>
      </c>
      <c r="CN182" s="72">
        <v>0</v>
      </c>
      <c r="CO182" s="72">
        <v>0</v>
      </c>
      <c r="CP182" s="72">
        <v>0</v>
      </c>
      <c r="CQ182" s="72">
        <v>0</v>
      </c>
      <c r="CR182" s="72">
        <v>0</v>
      </c>
      <c r="CS182" s="72">
        <v>0</v>
      </c>
      <c r="CT182" s="72">
        <v>0</v>
      </c>
      <c r="CU182" s="72">
        <v>0</v>
      </c>
      <c r="CV182" s="72">
        <v>0</v>
      </c>
      <c r="CW182" s="72">
        <v>0</v>
      </c>
      <c r="CX182" s="72">
        <v>0</v>
      </c>
      <c r="CY182" s="72">
        <v>0</v>
      </c>
      <c r="CZ182" s="72">
        <v>0</v>
      </c>
      <c r="DA182" s="72">
        <v>0</v>
      </c>
      <c r="DB182" s="72">
        <v>0</v>
      </c>
      <c r="DC182" s="72">
        <v>0</v>
      </c>
      <c r="DD182" s="72">
        <v>0</v>
      </c>
      <c r="DE182" s="72">
        <v>0</v>
      </c>
      <c r="DF182" s="72">
        <v>0</v>
      </c>
      <c r="DG182" s="72">
        <v>0</v>
      </c>
      <c r="DH182" s="72">
        <v>0</v>
      </c>
      <c r="DI182" s="72">
        <v>0</v>
      </c>
      <c r="DJ182" s="72">
        <v>0</v>
      </c>
      <c r="DK182" s="72">
        <v>0</v>
      </c>
      <c r="DL182" s="72">
        <v>0</v>
      </c>
      <c r="DM182" s="72">
        <v>0</v>
      </c>
      <c r="DN182" s="72">
        <v>0</v>
      </c>
      <c r="DO182" s="72">
        <v>0</v>
      </c>
      <c r="DP182" s="72">
        <v>0</v>
      </c>
      <c r="DQ182" s="72">
        <v>0</v>
      </c>
      <c r="DR182" s="72">
        <v>0</v>
      </c>
      <c r="DS182" s="72">
        <v>0</v>
      </c>
      <c r="DT182" s="72">
        <v>0</v>
      </c>
      <c r="DU182" s="72">
        <v>0</v>
      </c>
      <c r="DV182" s="72">
        <v>0</v>
      </c>
      <c r="DW182" s="72">
        <v>0</v>
      </c>
      <c r="DX182" s="72">
        <v>0</v>
      </c>
      <c r="DY182" s="72">
        <v>0</v>
      </c>
      <c r="DZ182" s="72">
        <v>0</v>
      </c>
      <c r="EA182" s="72">
        <v>0</v>
      </c>
      <c r="EB182" s="72">
        <v>0</v>
      </c>
      <c r="EC182" s="72">
        <v>0</v>
      </c>
      <c r="ED182" s="72">
        <v>0</v>
      </c>
      <c r="EE182" s="72">
        <v>0</v>
      </c>
      <c r="EF182" s="72">
        <v>0</v>
      </c>
      <c r="EG182" s="72">
        <v>0</v>
      </c>
      <c r="EH182" s="72">
        <v>0</v>
      </c>
      <c r="EI182" s="72">
        <v>0</v>
      </c>
      <c r="EJ182" s="72">
        <v>0</v>
      </c>
      <c r="EK182" s="72">
        <v>0</v>
      </c>
      <c r="EL182" s="72">
        <v>0</v>
      </c>
      <c r="EM182" s="72">
        <v>0</v>
      </c>
      <c r="EN182" s="72">
        <v>0</v>
      </c>
      <c r="EO182" s="72">
        <v>0</v>
      </c>
      <c r="EP182" s="72">
        <v>0</v>
      </c>
      <c r="EQ182" s="72">
        <v>0</v>
      </c>
      <c r="ER182" s="72">
        <v>0</v>
      </c>
      <c r="ES182" s="72">
        <v>0</v>
      </c>
      <c r="ET182" s="72">
        <v>0</v>
      </c>
      <c r="EU182" s="72">
        <v>0</v>
      </c>
      <c r="EV182" s="72">
        <v>0</v>
      </c>
      <c r="EW182" s="72">
        <v>0</v>
      </c>
      <c r="EX182" s="72">
        <v>0</v>
      </c>
      <c r="EY182" s="72">
        <v>0</v>
      </c>
      <c r="EZ182" s="72">
        <v>0</v>
      </c>
      <c r="FA182" s="72">
        <v>0</v>
      </c>
      <c r="FB182" s="72">
        <v>0</v>
      </c>
      <c r="FC182" s="72">
        <v>0</v>
      </c>
      <c r="FD182" s="72">
        <v>0</v>
      </c>
      <c r="FE182" s="72">
        <v>0</v>
      </c>
      <c r="FF182" s="72">
        <v>0</v>
      </c>
      <c r="FG182" s="72">
        <v>0</v>
      </c>
      <c r="FH182" s="72">
        <v>0</v>
      </c>
      <c r="FI182" s="72">
        <v>0</v>
      </c>
      <c r="FJ182" s="72">
        <v>0</v>
      </c>
      <c r="FK182" s="72">
        <v>0</v>
      </c>
      <c r="FL182" s="72">
        <v>0</v>
      </c>
      <c r="FM182" s="72">
        <v>0</v>
      </c>
      <c r="FN182" s="72">
        <v>0</v>
      </c>
      <c r="FO182" s="72">
        <v>0</v>
      </c>
      <c r="FP182" s="77">
        <v>21252.830586191616</v>
      </c>
      <c r="FQ182" s="77">
        <v>15627.300696819135</v>
      </c>
      <c r="FR182" s="77">
        <v>3642.5792270182719</v>
      </c>
      <c r="FS182" s="77">
        <v>385.544577501155</v>
      </c>
      <c r="FT182" s="77">
        <v>2539.8259141305684</v>
      </c>
      <c r="FU182" s="77">
        <v>2132.2662721360857</v>
      </c>
      <c r="FV182" s="72">
        <v>0</v>
      </c>
      <c r="FW182" s="72">
        <v>0</v>
      </c>
      <c r="FX182" s="72">
        <v>0</v>
      </c>
      <c r="FY182" s="72">
        <v>0</v>
      </c>
      <c r="FZ182" s="72">
        <v>0</v>
      </c>
      <c r="GA182" s="72">
        <v>0</v>
      </c>
      <c r="GB182" s="72">
        <v>0</v>
      </c>
      <c r="GC182" s="72">
        <v>0</v>
      </c>
      <c r="GD182" s="72">
        <v>0</v>
      </c>
      <c r="GE182" s="72">
        <v>0</v>
      </c>
      <c r="GF182" s="72">
        <v>0</v>
      </c>
      <c r="GG182" s="72">
        <v>0</v>
      </c>
      <c r="GH182" s="72">
        <v>0</v>
      </c>
      <c r="GI182" s="72">
        <v>0</v>
      </c>
      <c r="GJ182" s="77">
        <v>69941.743221620651</v>
      </c>
      <c r="GK182" s="72">
        <v>0</v>
      </c>
      <c r="GL182" s="72">
        <v>0</v>
      </c>
      <c r="GM182" s="72">
        <v>0</v>
      </c>
      <c r="GN182" s="72">
        <v>0</v>
      </c>
      <c r="GO182" s="72">
        <v>0</v>
      </c>
      <c r="GP182" s="72">
        <v>0</v>
      </c>
      <c r="GQ182" s="77">
        <v>80.310232983879459</v>
      </c>
      <c r="GR182" s="72">
        <f t="shared" si="2"/>
        <v>115602.40072840135</v>
      </c>
      <c r="GS182" s="72">
        <f>SUM(FW$5:FW$202)</f>
        <v>115602.40072840135</v>
      </c>
      <c r="GT182" s="73">
        <v>0</v>
      </c>
    </row>
    <row r="183" spans="1:202" outlineLevel="1" x14ac:dyDescent="0.2">
      <c r="A183" s="78" t="s">
        <v>1551</v>
      </c>
      <c r="B183" s="72">
        <v>0</v>
      </c>
      <c r="C183" s="72">
        <v>0</v>
      </c>
      <c r="D183" s="72">
        <v>0</v>
      </c>
      <c r="E183" s="72">
        <v>0</v>
      </c>
      <c r="F183" s="72">
        <v>0</v>
      </c>
      <c r="G183" s="72">
        <v>0</v>
      </c>
      <c r="H183" s="72">
        <v>0</v>
      </c>
      <c r="I183" s="72">
        <v>0</v>
      </c>
      <c r="J183" s="72">
        <v>0</v>
      </c>
      <c r="K183" s="72">
        <v>0</v>
      </c>
      <c r="L183" s="72">
        <v>0</v>
      </c>
      <c r="M183" s="72">
        <v>0</v>
      </c>
      <c r="N183" s="72">
        <v>0</v>
      </c>
      <c r="O183" s="72">
        <v>0</v>
      </c>
      <c r="P183" s="72">
        <v>0</v>
      </c>
      <c r="Q183" s="72">
        <v>0</v>
      </c>
      <c r="R183" s="72">
        <v>0</v>
      </c>
      <c r="S183" s="72">
        <v>0</v>
      </c>
      <c r="T183" s="72">
        <v>0</v>
      </c>
      <c r="U183" s="72">
        <v>0</v>
      </c>
      <c r="V183" s="72">
        <v>0</v>
      </c>
      <c r="W183" s="72">
        <v>0</v>
      </c>
      <c r="X183" s="72">
        <v>0</v>
      </c>
      <c r="Y183" s="72">
        <v>0</v>
      </c>
      <c r="Z183" s="72">
        <v>0</v>
      </c>
      <c r="AA183" s="72">
        <v>0</v>
      </c>
      <c r="AB183" s="72">
        <v>0</v>
      </c>
      <c r="AC183" s="72">
        <v>0</v>
      </c>
      <c r="AD183" s="72">
        <v>0</v>
      </c>
      <c r="AE183" s="72">
        <v>0</v>
      </c>
      <c r="AF183" s="72">
        <v>0</v>
      </c>
      <c r="AG183" s="72">
        <v>0</v>
      </c>
      <c r="AH183" s="72">
        <v>0</v>
      </c>
      <c r="AI183" s="72">
        <v>0</v>
      </c>
      <c r="AJ183" s="72">
        <v>0</v>
      </c>
      <c r="AK183" s="72">
        <v>0</v>
      </c>
      <c r="AL183" s="72">
        <v>0</v>
      </c>
      <c r="AM183" s="72">
        <v>0</v>
      </c>
      <c r="AN183" s="72">
        <v>0</v>
      </c>
      <c r="AO183" s="72">
        <v>0</v>
      </c>
      <c r="AP183" s="72">
        <v>0</v>
      </c>
      <c r="AQ183" s="72">
        <v>0</v>
      </c>
      <c r="AR183" s="72">
        <v>0</v>
      </c>
      <c r="AS183" s="72">
        <v>0</v>
      </c>
      <c r="AT183" s="72">
        <v>0</v>
      </c>
      <c r="AU183" s="72">
        <v>0</v>
      </c>
      <c r="AV183" s="72">
        <v>0</v>
      </c>
      <c r="AW183" s="72">
        <v>0</v>
      </c>
      <c r="AX183" s="72">
        <v>0</v>
      </c>
      <c r="AY183" s="72">
        <v>0</v>
      </c>
      <c r="AZ183" s="72">
        <v>0</v>
      </c>
      <c r="BA183" s="72">
        <v>0</v>
      </c>
      <c r="BB183" s="72">
        <v>0</v>
      </c>
      <c r="BC183" s="72">
        <v>0</v>
      </c>
      <c r="BD183" s="72">
        <v>0</v>
      </c>
      <c r="BE183" s="72">
        <v>0</v>
      </c>
      <c r="BF183" s="72">
        <v>0</v>
      </c>
      <c r="BG183" s="72">
        <v>0</v>
      </c>
      <c r="BH183" s="72">
        <v>0</v>
      </c>
      <c r="BI183" s="72">
        <v>0</v>
      </c>
      <c r="BJ183" s="72">
        <v>0</v>
      </c>
      <c r="BK183" s="72">
        <v>0</v>
      </c>
      <c r="BL183" s="72">
        <v>0</v>
      </c>
      <c r="BM183" s="72">
        <v>0</v>
      </c>
      <c r="BN183" s="72">
        <v>0</v>
      </c>
      <c r="BO183" s="72">
        <v>0</v>
      </c>
      <c r="BP183" s="72">
        <v>0</v>
      </c>
      <c r="BQ183" s="72">
        <v>0</v>
      </c>
      <c r="BR183" s="72">
        <v>0</v>
      </c>
      <c r="BS183" s="72">
        <v>0</v>
      </c>
      <c r="BT183" s="72">
        <v>0</v>
      </c>
      <c r="BU183" s="72">
        <v>0</v>
      </c>
      <c r="BV183" s="72">
        <v>0</v>
      </c>
      <c r="BW183" s="72">
        <v>0</v>
      </c>
      <c r="BX183" s="72">
        <v>0</v>
      </c>
      <c r="BY183" s="72">
        <v>0</v>
      </c>
      <c r="BZ183" s="72">
        <v>0</v>
      </c>
      <c r="CA183" s="72">
        <v>0</v>
      </c>
      <c r="CB183" s="72">
        <v>0</v>
      </c>
      <c r="CC183" s="72">
        <v>0</v>
      </c>
      <c r="CD183" s="72">
        <v>0</v>
      </c>
      <c r="CE183" s="72">
        <v>0</v>
      </c>
      <c r="CF183" s="72">
        <v>0</v>
      </c>
      <c r="CG183" s="72">
        <v>0</v>
      </c>
      <c r="CH183" s="72">
        <v>0</v>
      </c>
      <c r="CI183" s="72">
        <v>0</v>
      </c>
      <c r="CJ183" s="72">
        <v>0</v>
      </c>
      <c r="CK183" s="72">
        <v>0</v>
      </c>
      <c r="CL183" s="72">
        <v>0</v>
      </c>
      <c r="CM183" s="72">
        <v>0</v>
      </c>
      <c r="CN183" s="72">
        <v>0</v>
      </c>
      <c r="CO183" s="72">
        <v>0</v>
      </c>
      <c r="CP183" s="72">
        <v>0</v>
      </c>
      <c r="CQ183" s="72">
        <v>0</v>
      </c>
      <c r="CR183" s="72">
        <v>0</v>
      </c>
      <c r="CS183" s="72">
        <v>0</v>
      </c>
      <c r="CT183" s="72">
        <v>0</v>
      </c>
      <c r="CU183" s="72">
        <v>0</v>
      </c>
      <c r="CV183" s="72">
        <v>0</v>
      </c>
      <c r="CW183" s="72">
        <v>0</v>
      </c>
      <c r="CX183" s="72">
        <v>0</v>
      </c>
      <c r="CY183" s="72">
        <v>0</v>
      </c>
      <c r="CZ183" s="72">
        <v>0</v>
      </c>
      <c r="DA183" s="72">
        <v>0</v>
      </c>
      <c r="DB183" s="72">
        <v>0</v>
      </c>
      <c r="DC183" s="72">
        <v>0</v>
      </c>
      <c r="DD183" s="72">
        <v>0</v>
      </c>
      <c r="DE183" s="72">
        <v>0</v>
      </c>
      <c r="DF183" s="72">
        <v>0</v>
      </c>
      <c r="DG183" s="72">
        <v>0</v>
      </c>
      <c r="DH183" s="72">
        <v>0</v>
      </c>
      <c r="DI183" s="72">
        <v>0</v>
      </c>
      <c r="DJ183" s="72">
        <v>0</v>
      </c>
      <c r="DK183" s="72">
        <v>0</v>
      </c>
      <c r="DL183" s="72">
        <v>0</v>
      </c>
      <c r="DM183" s="72">
        <v>0</v>
      </c>
      <c r="DN183" s="72">
        <v>0</v>
      </c>
      <c r="DO183" s="72">
        <v>0</v>
      </c>
      <c r="DP183" s="72">
        <v>0</v>
      </c>
      <c r="DQ183" s="72">
        <v>0</v>
      </c>
      <c r="DR183" s="72">
        <v>0</v>
      </c>
      <c r="DS183" s="72">
        <v>0</v>
      </c>
      <c r="DT183" s="72">
        <v>0</v>
      </c>
      <c r="DU183" s="72">
        <v>0</v>
      </c>
      <c r="DV183" s="72">
        <v>0</v>
      </c>
      <c r="DW183" s="72">
        <v>0</v>
      </c>
      <c r="DX183" s="72">
        <v>0</v>
      </c>
      <c r="DY183" s="72">
        <v>0</v>
      </c>
      <c r="DZ183" s="72">
        <v>0</v>
      </c>
      <c r="EA183" s="72">
        <v>0</v>
      </c>
      <c r="EB183" s="72">
        <v>0</v>
      </c>
      <c r="EC183" s="72">
        <v>0</v>
      </c>
      <c r="ED183" s="72">
        <v>0</v>
      </c>
      <c r="EE183" s="72">
        <v>0</v>
      </c>
      <c r="EF183" s="72">
        <v>0</v>
      </c>
      <c r="EG183" s="72">
        <v>0</v>
      </c>
      <c r="EH183" s="72">
        <v>0</v>
      </c>
      <c r="EI183" s="72">
        <v>0</v>
      </c>
      <c r="EJ183" s="72">
        <v>0</v>
      </c>
      <c r="EK183" s="72">
        <v>0</v>
      </c>
      <c r="EL183" s="72">
        <v>0</v>
      </c>
      <c r="EM183" s="72">
        <v>0</v>
      </c>
      <c r="EN183" s="72">
        <v>0</v>
      </c>
      <c r="EO183" s="72">
        <v>0</v>
      </c>
      <c r="EP183" s="72">
        <v>0</v>
      </c>
      <c r="EQ183" s="72">
        <v>0</v>
      </c>
      <c r="ER183" s="72">
        <v>0</v>
      </c>
      <c r="ES183" s="72">
        <v>0</v>
      </c>
      <c r="ET183" s="72">
        <v>0</v>
      </c>
      <c r="EU183" s="72">
        <v>0</v>
      </c>
      <c r="EV183" s="72">
        <v>0</v>
      </c>
      <c r="EW183" s="72">
        <v>0</v>
      </c>
      <c r="EX183" s="72">
        <v>0</v>
      </c>
      <c r="EY183" s="72">
        <v>0</v>
      </c>
      <c r="EZ183" s="72">
        <v>0</v>
      </c>
      <c r="FA183" s="72">
        <v>0</v>
      </c>
      <c r="FB183" s="72">
        <v>0</v>
      </c>
      <c r="FC183" s="72">
        <v>0</v>
      </c>
      <c r="FD183" s="72">
        <v>0</v>
      </c>
      <c r="FE183" s="72">
        <v>0</v>
      </c>
      <c r="FF183" s="72">
        <v>0</v>
      </c>
      <c r="FG183" s="72">
        <v>0</v>
      </c>
      <c r="FH183" s="72">
        <v>0</v>
      </c>
      <c r="FI183" s="72">
        <v>0</v>
      </c>
      <c r="FJ183" s="72">
        <v>0</v>
      </c>
      <c r="FK183" s="72">
        <v>0</v>
      </c>
      <c r="FL183" s="72">
        <v>0</v>
      </c>
      <c r="FM183" s="72">
        <v>0</v>
      </c>
      <c r="FN183" s="72">
        <v>0</v>
      </c>
      <c r="FO183" s="72">
        <v>0</v>
      </c>
      <c r="FP183" s="77">
        <v>18245.52047709575</v>
      </c>
      <c r="FQ183" s="77">
        <v>23651.131979768488</v>
      </c>
      <c r="FR183" s="77">
        <v>8098.3814898943219</v>
      </c>
      <c r="FS183" s="77">
        <v>954.80817186372155</v>
      </c>
      <c r="FT183" s="77">
        <v>4554.1390275208441</v>
      </c>
      <c r="FU183" s="77">
        <v>5063.4332720655602</v>
      </c>
      <c r="FV183" s="72">
        <v>0</v>
      </c>
      <c r="FW183" s="72">
        <v>0</v>
      </c>
      <c r="FX183" s="72">
        <v>0</v>
      </c>
      <c r="FY183" s="72">
        <v>0</v>
      </c>
      <c r="FZ183" s="72">
        <v>0</v>
      </c>
      <c r="GA183" s="72">
        <v>0</v>
      </c>
      <c r="GB183" s="72">
        <v>0</v>
      </c>
      <c r="GC183" s="72">
        <v>0</v>
      </c>
      <c r="GD183" s="72">
        <v>0</v>
      </c>
      <c r="GE183" s="72">
        <v>0</v>
      </c>
      <c r="GF183" s="72">
        <v>0</v>
      </c>
      <c r="GG183" s="72">
        <v>0</v>
      </c>
      <c r="GH183" s="72">
        <v>0</v>
      </c>
      <c r="GI183" s="72">
        <v>0</v>
      </c>
      <c r="GJ183" s="77">
        <v>81603.457007286095</v>
      </c>
      <c r="GK183" s="72">
        <v>0</v>
      </c>
      <c r="GL183" s="72">
        <v>0</v>
      </c>
      <c r="GM183" s="72">
        <v>0</v>
      </c>
      <c r="GN183" s="72">
        <v>0</v>
      </c>
      <c r="GO183" s="72">
        <v>0</v>
      </c>
      <c r="GP183" s="72">
        <v>0</v>
      </c>
      <c r="GQ183" s="77">
        <v>190.71047133833721</v>
      </c>
      <c r="GR183" s="72">
        <f t="shared" si="2"/>
        <v>142361.58189683312</v>
      </c>
      <c r="GS183" s="72">
        <f>SUM(FX$5:FX$202)</f>
        <v>142361.58189683312</v>
      </c>
      <c r="GT183" s="73">
        <v>0</v>
      </c>
    </row>
    <row r="184" spans="1:202" outlineLevel="1" x14ac:dyDescent="0.2">
      <c r="A184" s="78" t="s">
        <v>1552</v>
      </c>
      <c r="B184" s="72">
        <v>0</v>
      </c>
      <c r="C184" s="72">
        <v>0</v>
      </c>
      <c r="D184" s="72">
        <v>0</v>
      </c>
      <c r="E184" s="72">
        <v>0</v>
      </c>
      <c r="F184" s="72">
        <v>0</v>
      </c>
      <c r="G184" s="72">
        <v>0</v>
      </c>
      <c r="H184" s="72">
        <v>0</v>
      </c>
      <c r="I184" s="72">
        <v>0</v>
      </c>
      <c r="J184" s="72">
        <v>0</v>
      </c>
      <c r="K184" s="72">
        <v>0</v>
      </c>
      <c r="L184" s="72">
        <v>0</v>
      </c>
      <c r="M184" s="72">
        <v>0</v>
      </c>
      <c r="N184" s="72">
        <v>0</v>
      </c>
      <c r="O184" s="72">
        <v>0</v>
      </c>
      <c r="P184" s="72">
        <v>0</v>
      </c>
      <c r="Q184" s="72">
        <v>0</v>
      </c>
      <c r="R184" s="72">
        <v>0</v>
      </c>
      <c r="S184" s="72">
        <v>0</v>
      </c>
      <c r="T184" s="72">
        <v>0</v>
      </c>
      <c r="U184" s="72">
        <v>0</v>
      </c>
      <c r="V184" s="72">
        <v>0</v>
      </c>
      <c r="W184" s="72">
        <v>0</v>
      </c>
      <c r="X184" s="72">
        <v>0</v>
      </c>
      <c r="Y184" s="72">
        <v>0</v>
      </c>
      <c r="Z184" s="72">
        <v>0</v>
      </c>
      <c r="AA184" s="72">
        <v>0</v>
      </c>
      <c r="AB184" s="72">
        <v>0</v>
      </c>
      <c r="AC184" s="72">
        <v>0</v>
      </c>
      <c r="AD184" s="72">
        <v>0</v>
      </c>
      <c r="AE184" s="72">
        <v>0</v>
      </c>
      <c r="AF184" s="72">
        <v>0</v>
      </c>
      <c r="AG184" s="72">
        <v>0</v>
      </c>
      <c r="AH184" s="72">
        <v>0</v>
      </c>
      <c r="AI184" s="72">
        <v>0</v>
      </c>
      <c r="AJ184" s="72">
        <v>0</v>
      </c>
      <c r="AK184" s="72">
        <v>0</v>
      </c>
      <c r="AL184" s="72">
        <v>0</v>
      </c>
      <c r="AM184" s="72">
        <v>0</v>
      </c>
      <c r="AN184" s="72">
        <v>0</v>
      </c>
      <c r="AO184" s="72">
        <v>0</v>
      </c>
      <c r="AP184" s="72">
        <v>0</v>
      </c>
      <c r="AQ184" s="72">
        <v>0</v>
      </c>
      <c r="AR184" s="72">
        <v>0</v>
      </c>
      <c r="AS184" s="72">
        <v>0</v>
      </c>
      <c r="AT184" s="72">
        <v>0</v>
      </c>
      <c r="AU184" s="72">
        <v>0</v>
      </c>
      <c r="AV184" s="72">
        <v>0</v>
      </c>
      <c r="AW184" s="72">
        <v>0</v>
      </c>
      <c r="AX184" s="72">
        <v>0</v>
      </c>
      <c r="AY184" s="72">
        <v>0</v>
      </c>
      <c r="AZ184" s="72">
        <v>0</v>
      </c>
      <c r="BA184" s="72">
        <v>0</v>
      </c>
      <c r="BB184" s="72">
        <v>0</v>
      </c>
      <c r="BC184" s="72">
        <v>0</v>
      </c>
      <c r="BD184" s="72">
        <v>0</v>
      </c>
      <c r="BE184" s="72">
        <v>0</v>
      </c>
      <c r="BF184" s="72">
        <v>0</v>
      </c>
      <c r="BG184" s="72">
        <v>0</v>
      </c>
      <c r="BH184" s="72">
        <v>0</v>
      </c>
      <c r="BI184" s="72">
        <v>0</v>
      </c>
      <c r="BJ184" s="72">
        <v>0</v>
      </c>
      <c r="BK184" s="72">
        <v>0</v>
      </c>
      <c r="BL184" s="72">
        <v>0</v>
      </c>
      <c r="BM184" s="72">
        <v>0</v>
      </c>
      <c r="BN184" s="72">
        <v>0</v>
      </c>
      <c r="BO184" s="72">
        <v>0</v>
      </c>
      <c r="BP184" s="72">
        <v>0</v>
      </c>
      <c r="BQ184" s="72">
        <v>0</v>
      </c>
      <c r="BR184" s="72">
        <v>0</v>
      </c>
      <c r="BS184" s="72">
        <v>0</v>
      </c>
      <c r="BT184" s="72">
        <v>0</v>
      </c>
      <c r="BU184" s="72">
        <v>0</v>
      </c>
      <c r="BV184" s="72">
        <v>0</v>
      </c>
      <c r="BW184" s="72">
        <v>0</v>
      </c>
      <c r="BX184" s="72">
        <v>0</v>
      </c>
      <c r="BY184" s="72">
        <v>0</v>
      </c>
      <c r="BZ184" s="72">
        <v>0</v>
      </c>
      <c r="CA184" s="72">
        <v>0</v>
      </c>
      <c r="CB184" s="72">
        <v>0</v>
      </c>
      <c r="CC184" s="72">
        <v>0</v>
      </c>
      <c r="CD184" s="72">
        <v>0</v>
      </c>
      <c r="CE184" s="72">
        <v>0</v>
      </c>
      <c r="CF184" s="72">
        <v>0</v>
      </c>
      <c r="CG184" s="72">
        <v>0</v>
      </c>
      <c r="CH184" s="72">
        <v>0</v>
      </c>
      <c r="CI184" s="72">
        <v>0</v>
      </c>
      <c r="CJ184" s="72">
        <v>0</v>
      </c>
      <c r="CK184" s="72">
        <v>0</v>
      </c>
      <c r="CL184" s="72">
        <v>0</v>
      </c>
      <c r="CM184" s="72">
        <v>0</v>
      </c>
      <c r="CN184" s="72">
        <v>0</v>
      </c>
      <c r="CO184" s="72">
        <v>0</v>
      </c>
      <c r="CP184" s="72">
        <v>0</v>
      </c>
      <c r="CQ184" s="72">
        <v>0</v>
      </c>
      <c r="CR184" s="72">
        <v>0</v>
      </c>
      <c r="CS184" s="72">
        <v>0</v>
      </c>
      <c r="CT184" s="72">
        <v>0</v>
      </c>
      <c r="CU184" s="72">
        <v>0</v>
      </c>
      <c r="CV184" s="72">
        <v>0</v>
      </c>
      <c r="CW184" s="72">
        <v>0</v>
      </c>
      <c r="CX184" s="72">
        <v>0</v>
      </c>
      <c r="CY184" s="72">
        <v>0</v>
      </c>
      <c r="CZ184" s="72">
        <v>0</v>
      </c>
      <c r="DA184" s="72">
        <v>0</v>
      </c>
      <c r="DB184" s="72">
        <v>0</v>
      </c>
      <c r="DC184" s="72">
        <v>0</v>
      </c>
      <c r="DD184" s="72">
        <v>0</v>
      </c>
      <c r="DE184" s="72">
        <v>0</v>
      </c>
      <c r="DF184" s="72">
        <v>0</v>
      </c>
      <c r="DG184" s="72">
        <v>0</v>
      </c>
      <c r="DH184" s="72">
        <v>0</v>
      </c>
      <c r="DI184" s="72">
        <v>0</v>
      </c>
      <c r="DJ184" s="72">
        <v>0</v>
      </c>
      <c r="DK184" s="72">
        <v>0</v>
      </c>
      <c r="DL184" s="72">
        <v>0</v>
      </c>
      <c r="DM184" s="72">
        <v>0</v>
      </c>
      <c r="DN184" s="72">
        <v>0</v>
      </c>
      <c r="DO184" s="72">
        <v>0</v>
      </c>
      <c r="DP184" s="72">
        <v>0</v>
      </c>
      <c r="DQ184" s="72">
        <v>0</v>
      </c>
      <c r="DR184" s="72">
        <v>0</v>
      </c>
      <c r="DS184" s="72">
        <v>0</v>
      </c>
      <c r="DT184" s="72">
        <v>0</v>
      </c>
      <c r="DU184" s="72">
        <v>0</v>
      </c>
      <c r="DV184" s="72">
        <v>0</v>
      </c>
      <c r="DW184" s="72">
        <v>0</v>
      </c>
      <c r="DX184" s="72">
        <v>0</v>
      </c>
      <c r="DY184" s="72">
        <v>0</v>
      </c>
      <c r="DZ184" s="72">
        <v>0</v>
      </c>
      <c r="EA184" s="72">
        <v>0</v>
      </c>
      <c r="EB184" s="72">
        <v>0</v>
      </c>
      <c r="EC184" s="72">
        <v>0</v>
      </c>
      <c r="ED184" s="72">
        <v>0</v>
      </c>
      <c r="EE184" s="72">
        <v>0</v>
      </c>
      <c r="EF184" s="72">
        <v>0</v>
      </c>
      <c r="EG184" s="72">
        <v>0</v>
      </c>
      <c r="EH184" s="72">
        <v>0</v>
      </c>
      <c r="EI184" s="72">
        <v>0</v>
      </c>
      <c r="EJ184" s="72">
        <v>0</v>
      </c>
      <c r="EK184" s="72">
        <v>0</v>
      </c>
      <c r="EL184" s="72">
        <v>0</v>
      </c>
      <c r="EM184" s="72">
        <v>0</v>
      </c>
      <c r="EN184" s="72">
        <v>0</v>
      </c>
      <c r="EO184" s="72">
        <v>0</v>
      </c>
      <c r="EP184" s="72">
        <v>0</v>
      </c>
      <c r="EQ184" s="72">
        <v>0</v>
      </c>
      <c r="ER184" s="72">
        <v>0</v>
      </c>
      <c r="ES184" s="72">
        <v>0</v>
      </c>
      <c r="ET184" s="72">
        <v>0</v>
      </c>
      <c r="EU184" s="72">
        <v>0</v>
      </c>
      <c r="EV184" s="72">
        <v>0</v>
      </c>
      <c r="EW184" s="72">
        <v>0</v>
      </c>
      <c r="EX184" s="72">
        <v>0</v>
      </c>
      <c r="EY184" s="72">
        <v>0</v>
      </c>
      <c r="EZ184" s="72">
        <v>0</v>
      </c>
      <c r="FA184" s="72">
        <v>0</v>
      </c>
      <c r="FB184" s="72">
        <v>0</v>
      </c>
      <c r="FC184" s="72">
        <v>0</v>
      </c>
      <c r="FD184" s="72">
        <v>0</v>
      </c>
      <c r="FE184" s="72">
        <v>0</v>
      </c>
      <c r="FF184" s="72">
        <v>0</v>
      </c>
      <c r="FG184" s="72">
        <v>0</v>
      </c>
      <c r="FH184" s="72">
        <v>0</v>
      </c>
      <c r="FI184" s="72">
        <v>0</v>
      </c>
      <c r="FJ184" s="72">
        <v>0</v>
      </c>
      <c r="FK184" s="72">
        <v>0</v>
      </c>
      <c r="FL184" s="72">
        <v>0</v>
      </c>
      <c r="FM184" s="72">
        <v>0</v>
      </c>
      <c r="FN184" s="72">
        <v>0</v>
      </c>
      <c r="FO184" s="72">
        <v>0</v>
      </c>
      <c r="FP184" s="77">
        <v>20552.239792312463</v>
      </c>
      <c r="FQ184" s="77">
        <v>30055.615685102708</v>
      </c>
      <c r="FR184" s="77">
        <v>14332.69585798592</v>
      </c>
      <c r="FS184" s="77">
        <v>1115.1987773249718</v>
      </c>
      <c r="FT184" s="77">
        <v>7184.8524379164865</v>
      </c>
      <c r="FU184" s="77">
        <v>8056.0732124362385</v>
      </c>
      <c r="FV184" s="72">
        <v>0</v>
      </c>
      <c r="FW184" s="72">
        <v>0</v>
      </c>
      <c r="FX184" s="72">
        <v>0</v>
      </c>
      <c r="FY184" s="72">
        <v>0</v>
      </c>
      <c r="FZ184" s="72">
        <v>0</v>
      </c>
      <c r="GA184" s="72">
        <v>0</v>
      </c>
      <c r="GB184" s="72">
        <v>0</v>
      </c>
      <c r="GC184" s="72">
        <v>0</v>
      </c>
      <c r="GD184" s="72">
        <v>0</v>
      </c>
      <c r="GE184" s="72">
        <v>0</v>
      </c>
      <c r="GF184" s="72">
        <v>0</v>
      </c>
      <c r="GG184" s="72">
        <v>0</v>
      </c>
      <c r="GH184" s="72">
        <v>0</v>
      </c>
      <c r="GI184" s="72">
        <v>0</v>
      </c>
      <c r="GJ184" s="77">
        <v>84236.038858223867</v>
      </c>
      <c r="GK184" s="72">
        <v>0</v>
      </c>
      <c r="GL184" s="72">
        <v>0</v>
      </c>
      <c r="GM184" s="72">
        <v>0</v>
      </c>
      <c r="GN184" s="72">
        <v>0</v>
      </c>
      <c r="GO184" s="72">
        <v>0</v>
      </c>
      <c r="GP184" s="72">
        <v>0</v>
      </c>
      <c r="GQ184" s="77">
        <v>303.42604255415091</v>
      </c>
      <c r="GR184" s="72">
        <f t="shared" si="2"/>
        <v>165836.14066385682</v>
      </c>
      <c r="GS184" s="72">
        <f>SUM(FY$5:FY$202)</f>
        <v>165836.14066385679</v>
      </c>
      <c r="GT184" s="73">
        <v>0</v>
      </c>
    </row>
    <row r="185" spans="1:202" outlineLevel="1" x14ac:dyDescent="0.2">
      <c r="A185" s="78" t="s">
        <v>1553</v>
      </c>
      <c r="B185" s="72">
        <v>0</v>
      </c>
      <c r="C185" s="72">
        <v>0</v>
      </c>
      <c r="D185" s="72">
        <v>0</v>
      </c>
      <c r="E185" s="72">
        <v>0</v>
      </c>
      <c r="F185" s="72">
        <v>0</v>
      </c>
      <c r="G185" s="72">
        <v>0</v>
      </c>
      <c r="H185" s="72">
        <v>0</v>
      </c>
      <c r="I185" s="72">
        <v>0</v>
      </c>
      <c r="J185" s="72">
        <v>0</v>
      </c>
      <c r="K185" s="72">
        <v>0</v>
      </c>
      <c r="L185" s="72">
        <v>0</v>
      </c>
      <c r="M185" s="72">
        <v>0</v>
      </c>
      <c r="N185" s="72">
        <v>0</v>
      </c>
      <c r="O185" s="72">
        <v>0</v>
      </c>
      <c r="P185" s="72">
        <v>0</v>
      </c>
      <c r="Q185" s="72">
        <v>0</v>
      </c>
      <c r="R185" s="72">
        <v>0</v>
      </c>
      <c r="S185" s="72">
        <v>0</v>
      </c>
      <c r="T185" s="72">
        <v>0</v>
      </c>
      <c r="U185" s="72">
        <v>0</v>
      </c>
      <c r="V185" s="72">
        <v>0</v>
      </c>
      <c r="W185" s="72">
        <v>0</v>
      </c>
      <c r="X185" s="72">
        <v>0</v>
      </c>
      <c r="Y185" s="72">
        <v>0</v>
      </c>
      <c r="Z185" s="72">
        <v>0</v>
      </c>
      <c r="AA185" s="72">
        <v>0</v>
      </c>
      <c r="AB185" s="72">
        <v>0</v>
      </c>
      <c r="AC185" s="72">
        <v>0</v>
      </c>
      <c r="AD185" s="72">
        <v>0</v>
      </c>
      <c r="AE185" s="72">
        <v>0</v>
      </c>
      <c r="AF185" s="72">
        <v>0</v>
      </c>
      <c r="AG185" s="72">
        <v>0</v>
      </c>
      <c r="AH185" s="72">
        <v>0</v>
      </c>
      <c r="AI185" s="72">
        <v>0</v>
      </c>
      <c r="AJ185" s="72">
        <v>0</v>
      </c>
      <c r="AK185" s="72">
        <v>0</v>
      </c>
      <c r="AL185" s="72">
        <v>0</v>
      </c>
      <c r="AM185" s="72">
        <v>0</v>
      </c>
      <c r="AN185" s="72">
        <v>0</v>
      </c>
      <c r="AO185" s="72">
        <v>0</v>
      </c>
      <c r="AP185" s="72">
        <v>0</v>
      </c>
      <c r="AQ185" s="72">
        <v>0</v>
      </c>
      <c r="AR185" s="72">
        <v>0</v>
      </c>
      <c r="AS185" s="72">
        <v>0</v>
      </c>
      <c r="AT185" s="72">
        <v>0</v>
      </c>
      <c r="AU185" s="72">
        <v>0</v>
      </c>
      <c r="AV185" s="72">
        <v>0</v>
      </c>
      <c r="AW185" s="72">
        <v>0</v>
      </c>
      <c r="AX185" s="72">
        <v>0</v>
      </c>
      <c r="AY185" s="72">
        <v>0</v>
      </c>
      <c r="AZ185" s="72">
        <v>0</v>
      </c>
      <c r="BA185" s="72">
        <v>0</v>
      </c>
      <c r="BB185" s="72">
        <v>0</v>
      </c>
      <c r="BC185" s="72">
        <v>0</v>
      </c>
      <c r="BD185" s="72">
        <v>0</v>
      </c>
      <c r="BE185" s="72">
        <v>0</v>
      </c>
      <c r="BF185" s="72">
        <v>0</v>
      </c>
      <c r="BG185" s="72">
        <v>0</v>
      </c>
      <c r="BH185" s="72">
        <v>0</v>
      </c>
      <c r="BI185" s="72">
        <v>0</v>
      </c>
      <c r="BJ185" s="72">
        <v>0</v>
      </c>
      <c r="BK185" s="72">
        <v>0</v>
      </c>
      <c r="BL185" s="72">
        <v>0</v>
      </c>
      <c r="BM185" s="72">
        <v>0</v>
      </c>
      <c r="BN185" s="72">
        <v>0</v>
      </c>
      <c r="BO185" s="72">
        <v>0</v>
      </c>
      <c r="BP185" s="72">
        <v>0</v>
      </c>
      <c r="BQ185" s="72">
        <v>0</v>
      </c>
      <c r="BR185" s="72">
        <v>0</v>
      </c>
      <c r="BS185" s="72">
        <v>0</v>
      </c>
      <c r="BT185" s="72">
        <v>0</v>
      </c>
      <c r="BU185" s="72">
        <v>0</v>
      </c>
      <c r="BV185" s="72">
        <v>0</v>
      </c>
      <c r="BW185" s="72">
        <v>0</v>
      </c>
      <c r="BX185" s="72">
        <v>0</v>
      </c>
      <c r="BY185" s="72">
        <v>0</v>
      </c>
      <c r="BZ185" s="72">
        <v>0</v>
      </c>
      <c r="CA185" s="72">
        <v>0</v>
      </c>
      <c r="CB185" s="72">
        <v>0</v>
      </c>
      <c r="CC185" s="72">
        <v>0</v>
      </c>
      <c r="CD185" s="72">
        <v>0</v>
      </c>
      <c r="CE185" s="72">
        <v>0</v>
      </c>
      <c r="CF185" s="72">
        <v>0</v>
      </c>
      <c r="CG185" s="72">
        <v>0</v>
      </c>
      <c r="CH185" s="72">
        <v>0</v>
      </c>
      <c r="CI185" s="72">
        <v>0</v>
      </c>
      <c r="CJ185" s="72">
        <v>0</v>
      </c>
      <c r="CK185" s="72">
        <v>0</v>
      </c>
      <c r="CL185" s="72">
        <v>0</v>
      </c>
      <c r="CM185" s="72">
        <v>0</v>
      </c>
      <c r="CN185" s="72">
        <v>0</v>
      </c>
      <c r="CO185" s="72">
        <v>0</v>
      </c>
      <c r="CP185" s="72">
        <v>0</v>
      </c>
      <c r="CQ185" s="72">
        <v>0</v>
      </c>
      <c r="CR185" s="72">
        <v>0</v>
      </c>
      <c r="CS185" s="72">
        <v>0</v>
      </c>
      <c r="CT185" s="72">
        <v>0</v>
      </c>
      <c r="CU185" s="72">
        <v>0</v>
      </c>
      <c r="CV185" s="72">
        <v>0</v>
      </c>
      <c r="CW185" s="72">
        <v>0</v>
      </c>
      <c r="CX185" s="72">
        <v>0</v>
      </c>
      <c r="CY185" s="72">
        <v>0</v>
      </c>
      <c r="CZ185" s="72">
        <v>0</v>
      </c>
      <c r="DA185" s="72">
        <v>0</v>
      </c>
      <c r="DB185" s="72">
        <v>0</v>
      </c>
      <c r="DC185" s="72">
        <v>0</v>
      </c>
      <c r="DD185" s="72">
        <v>0</v>
      </c>
      <c r="DE185" s="72">
        <v>0</v>
      </c>
      <c r="DF185" s="72">
        <v>0</v>
      </c>
      <c r="DG185" s="72">
        <v>0</v>
      </c>
      <c r="DH185" s="72">
        <v>0</v>
      </c>
      <c r="DI185" s="72">
        <v>0</v>
      </c>
      <c r="DJ185" s="72">
        <v>0</v>
      </c>
      <c r="DK185" s="72">
        <v>0</v>
      </c>
      <c r="DL185" s="72">
        <v>0</v>
      </c>
      <c r="DM185" s="72">
        <v>0</v>
      </c>
      <c r="DN185" s="72">
        <v>0</v>
      </c>
      <c r="DO185" s="72">
        <v>0</v>
      </c>
      <c r="DP185" s="72">
        <v>0</v>
      </c>
      <c r="DQ185" s="72">
        <v>0</v>
      </c>
      <c r="DR185" s="72">
        <v>0</v>
      </c>
      <c r="DS185" s="72">
        <v>0</v>
      </c>
      <c r="DT185" s="72">
        <v>0</v>
      </c>
      <c r="DU185" s="72">
        <v>0</v>
      </c>
      <c r="DV185" s="72">
        <v>0</v>
      </c>
      <c r="DW185" s="72">
        <v>0</v>
      </c>
      <c r="DX185" s="72">
        <v>0</v>
      </c>
      <c r="DY185" s="72">
        <v>0</v>
      </c>
      <c r="DZ185" s="72">
        <v>0</v>
      </c>
      <c r="EA185" s="72">
        <v>0</v>
      </c>
      <c r="EB185" s="72">
        <v>0</v>
      </c>
      <c r="EC185" s="72">
        <v>0</v>
      </c>
      <c r="ED185" s="72">
        <v>0</v>
      </c>
      <c r="EE185" s="72">
        <v>0</v>
      </c>
      <c r="EF185" s="72">
        <v>0</v>
      </c>
      <c r="EG185" s="72">
        <v>0</v>
      </c>
      <c r="EH185" s="72">
        <v>0</v>
      </c>
      <c r="EI185" s="72">
        <v>0</v>
      </c>
      <c r="EJ185" s="72">
        <v>0</v>
      </c>
      <c r="EK185" s="72">
        <v>0</v>
      </c>
      <c r="EL185" s="72">
        <v>0</v>
      </c>
      <c r="EM185" s="72">
        <v>0</v>
      </c>
      <c r="EN185" s="72">
        <v>0</v>
      </c>
      <c r="EO185" s="72">
        <v>0</v>
      </c>
      <c r="EP185" s="72">
        <v>0</v>
      </c>
      <c r="EQ185" s="72">
        <v>0</v>
      </c>
      <c r="ER185" s="72">
        <v>0</v>
      </c>
      <c r="ES185" s="72">
        <v>0</v>
      </c>
      <c r="ET185" s="72">
        <v>0</v>
      </c>
      <c r="EU185" s="72">
        <v>0</v>
      </c>
      <c r="EV185" s="72">
        <v>0</v>
      </c>
      <c r="EW185" s="72">
        <v>0</v>
      </c>
      <c r="EX185" s="72">
        <v>0</v>
      </c>
      <c r="EY185" s="72">
        <v>0</v>
      </c>
      <c r="EZ185" s="72">
        <v>0</v>
      </c>
      <c r="FA185" s="72">
        <v>0</v>
      </c>
      <c r="FB185" s="72">
        <v>0</v>
      </c>
      <c r="FC185" s="72">
        <v>0</v>
      </c>
      <c r="FD185" s="72">
        <v>0</v>
      </c>
      <c r="FE185" s="72">
        <v>0</v>
      </c>
      <c r="FF185" s="72">
        <v>0</v>
      </c>
      <c r="FG185" s="72">
        <v>0</v>
      </c>
      <c r="FH185" s="72">
        <v>0</v>
      </c>
      <c r="FI185" s="72">
        <v>0</v>
      </c>
      <c r="FJ185" s="72">
        <v>0</v>
      </c>
      <c r="FK185" s="72">
        <v>0</v>
      </c>
      <c r="FL185" s="72">
        <v>0</v>
      </c>
      <c r="FM185" s="72">
        <v>0</v>
      </c>
      <c r="FN185" s="72">
        <v>0</v>
      </c>
      <c r="FO185" s="72">
        <v>0</v>
      </c>
      <c r="FP185" s="77">
        <v>21010.081613079336</v>
      </c>
      <c r="FQ185" s="77">
        <v>41884.583236072816</v>
      </c>
      <c r="FR185" s="77">
        <v>21202.961921974587</v>
      </c>
      <c r="FS185" s="77">
        <v>3291.40019973381</v>
      </c>
      <c r="FT185" s="77">
        <v>11645.973213916503</v>
      </c>
      <c r="FU185" s="77">
        <v>11547.595276839647</v>
      </c>
      <c r="FV185" s="72">
        <v>0</v>
      </c>
      <c r="FW185" s="72">
        <v>0</v>
      </c>
      <c r="FX185" s="72">
        <v>0</v>
      </c>
      <c r="FY185" s="72">
        <v>0</v>
      </c>
      <c r="FZ185" s="72">
        <v>0</v>
      </c>
      <c r="GA185" s="72">
        <v>0</v>
      </c>
      <c r="GB185" s="72">
        <v>0</v>
      </c>
      <c r="GC185" s="72">
        <v>0</v>
      </c>
      <c r="GD185" s="72">
        <v>0</v>
      </c>
      <c r="GE185" s="72">
        <v>0</v>
      </c>
      <c r="GF185" s="72">
        <v>0</v>
      </c>
      <c r="GG185" s="72">
        <v>0</v>
      </c>
      <c r="GH185" s="72">
        <v>0</v>
      </c>
      <c r="GI185" s="72">
        <v>0</v>
      </c>
      <c r="GJ185" s="77">
        <v>83933.265658596283</v>
      </c>
      <c r="GK185" s="72">
        <v>0</v>
      </c>
      <c r="GL185" s="72">
        <v>0</v>
      </c>
      <c r="GM185" s="72">
        <v>0</v>
      </c>
      <c r="GN185" s="72">
        <v>0</v>
      </c>
      <c r="GO185" s="72">
        <v>0</v>
      </c>
      <c r="GP185" s="72">
        <v>0</v>
      </c>
      <c r="GQ185" s="77">
        <v>434.93164020152506</v>
      </c>
      <c r="GR185" s="72">
        <f t="shared" si="2"/>
        <v>194950.79276041451</v>
      </c>
      <c r="GS185" s="72">
        <f>SUM(FZ$5:FZ$202)</f>
        <v>194950.79276041451</v>
      </c>
      <c r="GT185" s="73">
        <v>0</v>
      </c>
    </row>
    <row r="186" spans="1:202" outlineLevel="1" x14ac:dyDescent="0.2">
      <c r="A186" s="78" t="s">
        <v>1554</v>
      </c>
      <c r="B186" s="72">
        <v>0</v>
      </c>
      <c r="C186" s="72">
        <v>0</v>
      </c>
      <c r="D186" s="72">
        <v>0</v>
      </c>
      <c r="E186" s="72">
        <v>0</v>
      </c>
      <c r="F186" s="72">
        <v>0</v>
      </c>
      <c r="G186" s="72">
        <v>0</v>
      </c>
      <c r="H186" s="72">
        <v>0</v>
      </c>
      <c r="I186" s="72">
        <v>0</v>
      </c>
      <c r="J186" s="72">
        <v>0</v>
      </c>
      <c r="K186" s="72">
        <v>0</v>
      </c>
      <c r="L186" s="72">
        <v>0</v>
      </c>
      <c r="M186" s="72">
        <v>0</v>
      </c>
      <c r="N186" s="72">
        <v>0</v>
      </c>
      <c r="O186" s="72">
        <v>0</v>
      </c>
      <c r="P186" s="72">
        <v>0</v>
      </c>
      <c r="Q186" s="72">
        <v>0</v>
      </c>
      <c r="R186" s="72">
        <v>0</v>
      </c>
      <c r="S186" s="72">
        <v>0</v>
      </c>
      <c r="T186" s="72">
        <v>0</v>
      </c>
      <c r="U186" s="72">
        <v>0</v>
      </c>
      <c r="V186" s="72">
        <v>0</v>
      </c>
      <c r="W186" s="72">
        <v>0</v>
      </c>
      <c r="X186" s="72">
        <v>0</v>
      </c>
      <c r="Y186" s="72">
        <v>0</v>
      </c>
      <c r="Z186" s="72">
        <v>0</v>
      </c>
      <c r="AA186" s="72">
        <v>0</v>
      </c>
      <c r="AB186" s="72">
        <v>0</v>
      </c>
      <c r="AC186" s="72">
        <v>0</v>
      </c>
      <c r="AD186" s="72">
        <v>0</v>
      </c>
      <c r="AE186" s="72">
        <v>0</v>
      </c>
      <c r="AF186" s="72">
        <v>0</v>
      </c>
      <c r="AG186" s="72">
        <v>0</v>
      </c>
      <c r="AH186" s="72">
        <v>0</v>
      </c>
      <c r="AI186" s="72">
        <v>0</v>
      </c>
      <c r="AJ186" s="72">
        <v>0</v>
      </c>
      <c r="AK186" s="72">
        <v>0</v>
      </c>
      <c r="AL186" s="72">
        <v>0</v>
      </c>
      <c r="AM186" s="72">
        <v>0</v>
      </c>
      <c r="AN186" s="72">
        <v>0</v>
      </c>
      <c r="AO186" s="72">
        <v>0</v>
      </c>
      <c r="AP186" s="72">
        <v>0</v>
      </c>
      <c r="AQ186" s="72">
        <v>0</v>
      </c>
      <c r="AR186" s="72">
        <v>0</v>
      </c>
      <c r="AS186" s="72">
        <v>0</v>
      </c>
      <c r="AT186" s="72">
        <v>0</v>
      </c>
      <c r="AU186" s="72">
        <v>0</v>
      </c>
      <c r="AV186" s="72">
        <v>0</v>
      </c>
      <c r="AW186" s="72">
        <v>0</v>
      </c>
      <c r="AX186" s="72">
        <v>0</v>
      </c>
      <c r="AY186" s="72">
        <v>0</v>
      </c>
      <c r="AZ186" s="72">
        <v>0</v>
      </c>
      <c r="BA186" s="72">
        <v>0</v>
      </c>
      <c r="BB186" s="72">
        <v>0</v>
      </c>
      <c r="BC186" s="72">
        <v>0</v>
      </c>
      <c r="BD186" s="72">
        <v>0</v>
      </c>
      <c r="BE186" s="72">
        <v>0</v>
      </c>
      <c r="BF186" s="72">
        <v>0</v>
      </c>
      <c r="BG186" s="72">
        <v>0</v>
      </c>
      <c r="BH186" s="72">
        <v>0</v>
      </c>
      <c r="BI186" s="72">
        <v>0</v>
      </c>
      <c r="BJ186" s="72">
        <v>0</v>
      </c>
      <c r="BK186" s="72">
        <v>0</v>
      </c>
      <c r="BL186" s="72">
        <v>0</v>
      </c>
      <c r="BM186" s="72">
        <v>0</v>
      </c>
      <c r="BN186" s="72">
        <v>0</v>
      </c>
      <c r="BO186" s="72">
        <v>0</v>
      </c>
      <c r="BP186" s="72">
        <v>0</v>
      </c>
      <c r="BQ186" s="72">
        <v>0</v>
      </c>
      <c r="BR186" s="72">
        <v>0</v>
      </c>
      <c r="BS186" s="72">
        <v>0</v>
      </c>
      <c r="BT186" s="72">
        <v>0</v>
      </c>
      <c r="BU186" s="72">
        <v>0</v>
      </c>
      <c r="BV186" s="72">
        <v>0</v>
      </c>
      <c r="BW186" s="72">
        <v>0</v>
      </c>
      <c r="BX186" s="72">
        <v>0</v>
      </c>
      <c r="BY186" s="72">
        <v>0</v>
      </c>
      <c r="BZ186" s="72">
        <v>0</v>
      </c>
      <c r="CA186" s="72">
        <v>0</v>
      </c>
      <c r="CB186" s="72">
        <v>0</v>
      </c>
      <c r="CC186" s="72">
        <v>0</v>
      </c>
      <c r="CD186" s="72">
        <v>0</v>
      </c>
      <c r="CE186" s="72">
        <v>0</v>
      </c>
      <c r="CF186" s="72">
        <v>0</v>
      </c>
      <c r="CG186" s="72">
        <v>0</v>
      </c>
      <c r="CH186" s="72">
        <v>0</v>
      </c>
      <c r="CI186" s="72">
        <v>0</v>
      </c>
      <c r="CJ186" s="72">
        <v>0</v>
      </c>
      <c r="CK186" s="72">
        <v>0</v>
      </c>
      <c r="CL186" s="72">
        <v>0</v>
      </c>
      <c r="CM186" s="72">
        <v>0</v>
      </c>
      <c r="CN186" s="72">
        <v>0</v>
      </c>
      <c r="CO186" s="72">
        <v>0</v>
      </c>
      <c r="CP186" s="72">
        <v>0</v>
      </c>
      <c r="CQ186" s="72">
        <v>0</v>
      </c>
      <c r="CR186" s="72">
        <v>0</v>
      </c>
      <c r="CS186" s="72">
        <v>0</v>
      </c>
      <c r="CT186" s="72">
        <v>0</v>
      </c>
      <c r="CU186" s="72">
        <v>0</v>
      </c>
      <c r="CV186" s="72">
        <v>0</v>
      </c>
      <c r="CW186" s="72">
        <v>0</v>
      </c>
      <c r="CX186" s="72">
        <v>0</v>
      </c>
      <c r="CY186" s="72">
        <v>0</v>
      </c>
      <c r="CZ186" s="72">
        <v>0</v>
      </c>
      <c r="DA186" s="72">
        <v>0</v>
      </c>
      <c r="DB186" s="72">
        <v>0</v>
      </c>
      <c r="DC186" s="72">
        <v>0</v>
      </c>
      <c r="DD186" s="72">
        <v>0</v>
      </c>
      <c r="DE186" s="72">
        <v>0</v>
      </c>
      <c r="DF186" s="72">
        <v>0</v>
      </c>
      <c r="DG186" s="72">
        <v>0</v>
      </c>
      <c r="DH186" s="72">
        <v>0</v>
      </c>
      <c r="DI186" s="72">
        <v>0</v>
      </c>
      <c r="DJ186" s="72">
        <v>0</v>
      </c>
      <c r="DK186" s="72">
        <v>0</v>
      </c>
      <c r="DL186" s="72">
        <v>0</v>
      </c>
      <c r="DM186" s="72">
        <v>0</v>
      </c>
      <c r="DN186" s="72">
        <v>0</v>
      </c>
      <c r="DO186" s="72">
        <v>0</v>
      </c>
      <c r="DP186" s="72">
        <v>0</v>
      </c>
      <c r="DQ186" s="72">
        <v>0</v>
      </c>
      <c r="DR186" s="72">
        <v>0</v>
      </c>
      <c r="DS186" s="72">
        <v>0</v>
      </c>
      <c r="DT186" s="72">
        <v>0</v>
      </c>
      <c r="DU186" s="72">
        <v>0</v>
      </c>
      <c r="DV186" s="72">
        <v>0</v>
      </c>
      <c r="DW186" s="72">
        <v>0</v>
      </c>
      <c r="DX186" s="72">
        <v>0</v>
      </c>
      <c r="DY186" s="72">
        <v>0</v>
      </c>
      <c r="DZ186" s="72">
        <v>0</v>
      </c>
      <c r="EA186" s="72">
        <v>0</v>
      </c>
      <c r="EB186" s="72">
        <v>0</v>
      </c>
      <c r="EC186" s="72">
        <v>0</v>
      </c>
      <c r="ED186" s="72">
        <v>0</v>
      </c>
      <c r="EE186" s="72">
        <v>0</v>
      </c>
      <c r="EF186" s="72">
        <v>0</v>
      </c>
      <c r="EG186" s="72">
        <v>0</v>
      </c>
      <c r="EH186" s="72">
        <v>0</v>
      </c>
      <c r="EI186" s="72">
        <v>0</v>
      </c>
      <c r="EJ186" s="72">
        <v>0</v>
      </c>
      <c r="EK186" s="72">
        <v>0</v>
      </c>
      <c r="EL186" s="72">
        <v>0</v>
      </c>
      <c r="EM186" s="72">
        <v>0</v>
      </c>
      <c r="EN186" s="72">
        <v>0</v>
      </c>
      <c r="EO186" s="72">
        <v>0</v>
      </c>
      <c r="EP186" s="72">
        <v>0</v>
      </c>
      <c r="EQ186" s="72">
        <v>0</v>
      </c>
      <c r="ER186" s="72">
        <v>0</v>
      </c>
      <c r="ES186" s="72">
        <v>0</v>
      </c>
      <c r="ET186" s="72">
        <v>0</v>
      </c>
      <c r="EU186" s="72">
        <v>0</v>
      </c>
      <c r="EV186" s="72">
        <v>0</v>
      </c>
      <c r="EW186" s="72">
        <v>0</v>
      </c>
      <c r="EX186" s="72">
        <v>0</v>
      </c>
      <c r="EY186" s="72">
        <v>0</v>
      </c>
      <c r="EZ186" s="72">
        <v>0</v>
      </c>
      <c r="FA186" s="72">
        <v>0</v>
      </c>
      <c r="FB186" s="72">
        <v>0</v>
      </c>
      <c r="FC186" s="72">
        <v>0</v>
      </c>
      <c r="FD186" s="72">
        <v>0</v>
      </c>
      <c r="FE186" s="72">
        <v>0</v>
      </c>
      <c r="FF186" s="72">
        <v>0</v>
      </c>
      <c r="FG186" s="72">
        <v>0</v>
      </c>
      <c r="FH186" s="72">
        <v>0</v>
      </c>
      <c r="FI186" s="72">
        <v>0</v>
      </c>
      <c r="FJ186" s="72">
        <v>0</v>
      </c>
      <c r="FK186" s="72">
        <v>0</v>
      </c>
      <c r="FL186" s="72">
        <v>0</v>
      </c>
      <c r="FM186" s="72">
        <v>0</v>
      </c>
      <c r="FN186" s="72">
        <v>0</v>
      </c>
      <c r="FO186" s="72">
        <v>0</v>
      </c>
      <c r="FP186" s="77">
        <v>27033.493268349186</v>
      </c>
      <c r="FQ186" s="77">
        <v>60963.542769361469</v>
      </c>
      <c r="FR186" s="77">
        <v>40063.188634868362</v>
      </c>
      <c r="FS186" s="77">
        <v>9875.8501901767831</v>
      </c>
      <c r="FT186" s="77">
        <v>18880.880286470056</v>
      </c>
      <c r="FU186" s="77">
        <v>18285.476282975156</v>
      </c>
      <c r="FV186" s="72">
        <v>0</v>
      </c>
      <c r="FW186" s="72">
        <v>0</v>
      </c>
      <c r="FX186" s="72">
        <v>0</v>
      </c>
      <c r="FY186" s="72">
        <v>0</v>
      </c>
      <c r="FZ186" s="72">
        <v>0</v>
      </c>
      <c r="GA186" s="72">
        <v>0</v>
      </c>
      <c r="GB186" s="72">
        <v>0</v>
      </c>
      <c r="GC186" s="72">
        <v>0</v>
      </c>
      <c r="GD186" s="72">
        <v>0</v>
      </c>
      <c r="GE186" s="72">
        <v>0</v>
      </c>
      <c r="GF186" s="72">
        <v>0</v>
      </c>
      <c r="GG186" s="72">
        <v>0</v>
      </c>
      <c r="GH186" s="72">
        <v>0</v>
      </c>
      <c r="GI186" s="72">
        <v>0</v>
      </c>
      <c r="GJ186" s="77">
        <v>83621.450156815496</v>
      </c>
      <c r="GK186" s="72">
        <v>0</v>
      </c>
      <c r="GL186" s="72">
        <v>0</v>
      </c>
      <c r="GM186" s="72">
        <v>0</v>
      </c>
      <c r="GN186" s="72">
        <v>0</v>
      </c>
      <c r="GO186" s="72">
        <v>0</v>
      </c>
      <c r="GP186" s="72">
        <v>0</v>
      </c>
      <c r="GQ186" s="77">
        <v>688.70894770370103</v>
      </c>
      <c r="GR186" s="72">
        <f t="shared" si="2"/>
        <v>259412.59053672021</v>
      </c>
      <c r="GS186" s="72">
        <f>SUM(GA$5:GA$202)</f>
        <v>259412.59053672021</v>
      </c>
      <c r="GT186" s="73">
        <v>0</v>
      </c>
    </row>
    <row r="187" spans="1:202" outlineLevel="1" x14ac:dyDescent="0.2">
      <c r="A187" s="78" t="s">
        <v>1555</v>
      </c>
      <c r="B187" s="72">
        <v>0</v>
      </c>
      <c r="C187" s="72">
        <v>0</v>
      </c>
      <c r="D187" s="72">
        <v>0</v>
      </c>
      <c r="E187" s="72">
        <v>0</v>
      </c>
      <c r="F187" s="72">
        <v>0</v>
      </c>
      <c r="G187" s="72">
        <v>0</v>
      </c>
      <c r="H187" s="72">
        <v>0</v>
      </c>
      <c r="I187" s="72">
        <v>0</v>
      </c>
      <c r="J187" s="72">
        <v>0</v>
      </c>
      <c r="K187" s="72">
        <v>0</v>
      </c>
      <c r="L187" s="72">
        <v>0</v>
      </c>
      <c r="M187" s="72">
        <v>0</v>
      </c>
      <c r="N187" s="72">
        <v>0</v>
      </c>
      <c r="O187" s="72">
        <v>0</v>
      </c>
      <c r="P187" s="72">
        <v>0</v>
      </c>
      <c r="Q187" s="72">
        <v>0</v>
      </c>
      <c r="R187" s="72">
        <v>0</v>
      </c>
      <c r="S187" s="72">
        <v>0</v>
      </c>
      <c r="T187" s="72">
        <v>0</v>
      </c>
      <c r="U187" s="72">
        <v>0</v>
      </c>
      <c r="V187" s="72">
        <v>0</v>
      </c>
      <c r="W187" s="72">
        <v>0</v>
      </c>
      <c r="X187" s="72">
        <v>0</v>
      </c>
      <c r="Y187" s="72">
        <v>0</v>
      </c>
      <c r="Z187" s="72">
        <v>0</v>
      </c>
      <c r="AA187" s="72">
        <v>0</v>
      </c>
      <c r="AB187" s="72">
        <v>0</v>
      </c>
      <c r="AC187" s="72">
        <v>0</v>
      </c>
      <c r="AD187" s="72">
        <v>0</v>
      </c>
      <c r="AE187" s="72">
        <v>0</v>
      </c>
      <c r="AF187" s="72">
        <v>0</v>
      </c>
      <c r="AG187" s="72">
        <v>0</v>
      </c>
      <c r="AH187" s="72">
        <v>0</v>
      </c>
      <c r="AI187" s="72">
        <v>0</v>
      </c>
      <c r="AJ187" s="72">
        <v>0</v>
      </c>
      <c r="AK187" s="72">
        <v>0</v>
      </c>
      <c r="AL187" s="72">
        <v>0</v>
      </c>
      <c r="AM187" s="72">
        <v>0</v>
      </c>
      <c r="AN187" s="72">
        <v>0</v>
      </c>
      <c r="AO187" s="72">
        <v>0</v>
      </c>
      <c r="AP187" s="72">
        <v>0</v>
      </c>
      <c r="AQ187" s="72">
        <v>0</v>
      </c>
      <c r="AR187" s="72">
        <v>0</v>
      </c>
      <c r="AS187" s="72">
        <v>0</v>
      </c>
      <c r="AT187" s="72">
        <v>0</v>
      </c>
      <c r="AU187" s="72">
        <v>0</v>
      </c>
      <c r="AV187" s="72">
        <v>0</v>
      </c>
      <c r="AW187" s="72">
        <v>0</v>
      </c>
      <c r="AX187" s="72">
        <v>0</v>
      </c>
      <c r="AY187" s="72">
        <v>0</v>
      </c>
      <c r="AZ187" s="72">
        <v>0</v>
      </c>
      <c r="BA187" s="72">
        <v>0</v>
      </c>
      <c r="BB187" s="72">
        <v>0</v>
      </c>
      <c r="BC187" s="72">
        <v>0</v>
      </c>
      <c r="BD187" s="72">
        <v>0</v>
      </c>
      <c r="BE187" s="72">
        <v>0</v>
      </c>
      <c r="BF187" s="72">
        <v>0</v>
      </c>
      <c r="BG187" s="72">
        <v>0</v>
      </c>
      <c r="BH187" s="72">
        <v>0</v>
      </c>
      <c r="BI187" s="72">
        <v>0</v>
      </c>
      <c r="BJ187" s="72">
        <v>0</v>
      </c>
      <c r="BK187" s="72">
        <v>0</v>
      </c>
      <c r="BL187" s="72">
        <v>0</v>
      </c>
      <c r="BM187" s="72">
        <v>0</v>
      </c>
      <c r="BN187" s="72">
        <v>0</v>
      </c>
      <c r="BO187" s="72">
        <v>0</v>
      </c>
      <c r="BP187" s="72">
        <v>0</v>
      </c>
      <c r="BQ187" s="72">
        <v>0</v>
      </c>
      <c r="BR187" s="72">
        <v>0</v>
      </c>
      <c r="BS187" s="72">
        <v>0</v>
      </c>
      <c r="BT187" s="72">
        <v>0</v>
      </c>
      <c r="BU187" s="72">
        <v>0</v>
      </c>
      <c r="BV187" s="72">
        <v>0</v>
      </c>
      <c r="BW187" s="72">
        <v>0</v>
      </c>
      <c r="BX187" s="72">
        <v>0</v>
      </c>
      <c r="BY187" s="72">
        <v>0</v>
      </c>
      <c r="BZ187" s="72">
        <v>0</v>
      </c>
      <c r="CA187" s="72">
        <v>0</v>
      </c>
      <c r="CB187" s="72">
        <v>0</v>
      </c>
      <c r="CC187" s="72">
        <v>0</v>
      </c>
      <c r="CD187" s="72">
        <v>0</v>
      </c>
      <c r="CE187" s="72">
        <v>0</v>
      </c>
      <c r="CF187" s="72">
        <v>0</v>
      </c>
      <c r="CG187" s="72">
        <v>0</v>
      </c>
      <c r="CH187" s="72">
        <v>0</v>
      </c>
      <c r="CI187" s="72">
        <v>0</v>
      </c>
      <c r="CJ187" s="72">
        <v>0</v>
      </c>
      <c r="CK187" s="72">
        <v>0</v>
      </c>
      <c r="CL187" s="72">
        <v>0</v>
      </c>
      <c r="CM187" s="72">
        <v>0</v>
      </c>
      <c r="CN187" s="72">
        <v>0</v>
      </c>
      <c r="CO187" s="72">
        <v>0</v>
      </c>
      <c r="CP187" s="72">
        <v>0</v>
      </c>
      <c r="CQ187" s="72">
        <v>0</v>
      </c>
      <c r="CR187" s="72">
        <v>0</v>
      </c>
      <c r="CS187" s="72">
        <v>0</v>
      </c>
      <c r="CT187" s="72">
        <v>0</v>
      </c>
      <c r="CU187" s="72">
        <v>0</v>
      </c>
      <c r="CV187" s="72">
        <v>0</v>
      </c>
      <c r="CW187" s="72">
        <v>0</v>
      </c>
      <c r="CX187" s="72">
        <v>0</v>
      </c>
      <c r="CY187" s="72">
        <v>0</v>
      </c>
      <c r="CZ187" s="72">
        <v>0</v>
      </c>
      <c r="DA187" s="72">
        <v>0</v>
      </c>
      <c r="DB187" s="72">
        <v>0</v>
      </c>
      <c r="DC187" s="72">
        <v>0</v>
      </c>
      <c r="DD187" s="72">
        <v>0</v>
      </c>
      <c r="DE187" s="72">
        <v>0</v>
      </c>
      <c r="DF187" s="72">
        <v>0</v>
      </c>
      <c r="DG187" s="72">
        <v>0</v>
      </c>
      <c r="DH187" s="72">
        <v>0</v>
      </c>
      <c r="DI187" s="72">
        <v>0</v>
      </c>
      <c r="DJ187" s="72">
        <v>0</v>
      </c>
      <c r="DK187" s="72">
        <v>0</v>
      </c>
      <c r="DL187" s="72">
        <v>0</v>
      </c>
      <c r="DM187" s="72">
        <v>0</v>
      </c>
      <c r="DN187" s="72">
        <v>0</v>
      </c>
      <c r="DO187" s="72">
        <v>0</v>
      </c>
      <c r="DP187" s="72">
        <v>0</v>
      </c>
      <c r="DQ187" s="72">
        <v>0</v>
      </c>
      <c r="DR187" s="72">
        <v>0</v>
      </c>
      <c r="DS187" s="72">
        <v>0</v>
      </c>
      <c r="DT187" s="72">
        <v>0</v>
      </c>
      <c r="DU187" s="72">
        <v>0</v>
      </c>
      <c r="DV187" s="72">
        <v>0</v>
      </c>
      <c r="DW187" s="72">
        <v>0</v>
      </c>
      <c r="DX187" s="72">
        <v>0</v>
      </c>
      <c r="DY187" s="72">
        <v>0</v>
      </c>
      <c r="DZ187" s="72">
        <v>0</v>
      </c>
      <c r="EA187" s="72">
        <v>0</v>
      </c>
      <c r="EB187" s="72">
        <v>0</v>
      </c>
      <c r="EC187" s="72">
        <v>0</v>
      </c>
      <c r="ED187" s="72">
        <v>0</v>
      </c>
      <c r="EE187" s="72">
        <v>0</v>
      </c>
      <c r="EF187" s="72">
        <v>0</v>
      </c>
      <c r="EG187" s="72">
        <v>0</v>
      </c>
      <c r="EH187" s="72">
        <v>0</v>
      </c>
      <c r="EI187" s="72">
        <v>0</v>
      </c>
      <c r="EJ187" s="72">
        <v>0</v>
      </c>
      <c r="EK187" s="72">
        <v>0</v>
      </c>
      <c r="EL187" s="72">
        <v>0</v>
      </c>
      <c r="EM187" s="72">
        <v>0</v>
      </c>
      <c r="EN187" s="72">
        <v>0</v>
      </c>
      <c r="EO187" s="72">
        <v>0</v>
      </c>
      <c r="EP187" s="72">
        <v>0</v>
      </c>
      <c r="EQ187" s="72">
        <v>0</v>
      </c>
      <c r="ER187" s="72">
        <v>0</v>
      </c>
      <c r="ES187" s="72">
        <v>0</v>
      </c>
      <c r="ET187" s="72">
        <v>0</v>
      </c>
      <c r="EU187" s="72">
        <v>0</v>
      </c>
      <c r="EV187" s="72">
        <v>0</v>
      </c>
      <c r="EW187" s="72">
        <v>0</v>
      </c>
      <c r="EX187" s="72">
        <v>0</v>
      </c>
      <c r="EY187" s="72">
        <v>0</v>
      </c>
      <c r="EZ187" s="72">
        <v>0</v>
      </c>
      <c r="FA187" s="72">
        <v>0</v>
      </c>
      <c r="FB187" s="72">
        <v>0</v>
      </c>
      <c r="FC187" s="72">
        <v>0</v>
      </c>
      <c r="FD187" s="72">
        <v>0</v>
      </c>
      <c r="FE187" s="72">
        <v>0</v>
      </c>
      <c r="FF187" s="72">
        <v>0</v>
      </c>
      <c r="FG187" s="72">
        <v>0</v>
      </c>
      <c r="FH187" s="72">
        <v>0</v>
      </c>
      <c r="FI187" s="72">
        <v>0</v>
      </c>
      <c r="FJ187" s="72">
        <v>0</v>
      </c>
      <c r="FK187" s="72">
        <v>0</v>
      </c>
      <c r="FL187" s="72">
        <v>0</v>
      </c>
      <c r="FM187" s="72">
        <v>0</v>
      </c>
      <c r="FN187" s="72">
        <v>0</v>
      </c>
      <c r="FO187" s="72">
        <v>0</v>
      </c>
      <c r="FP187" s="77">
        <v>23913.670182995713</v>
      </c>
      <c r="FQ187" s="77">
        <v>59730.845090188923</v>
      </c>
      <c r="FR187" s="77">
        <v>76969.89185347766</v>
      </c>
      <c r="FS187" s="77">
        <v>22163.576358039001</v>
      </c>
      <c r="FT187" s="77">
        <v>33553.267241489484</v>
      </c>
      <c r="FU187" s="77">
        <v>36153.731622655534</v>
      </c>
      <c r="FV187" s="72">
        <v>0</v>
      </c>
      <c r="FW187" s="72">
        <v>0</v>
      </c>
      <c r="FX187" s="72">
        <v>0</v>
      </c>
      <c r="FY187" s="72">
        <v>0</v>
      </c>
      <c r="FZ187" s="72">
        <v>0</v>
      </c>
      <c r="GA187" s="72">
        <v>0</v>
      </c>
      <c r="GB187" s="72">
        <v>0</v>
      </c>
      <c r="GC187" s="72">
        <v>0</v>
      </c>
      <c r="GD187" s="72">
        <v>0</v>
      </c>
      <c r="GE187" s="72">
        <v>0</v>
      </c>
      <c r="GF187" s="72">
        <v>0</v>
      </c>
      <c r="GG187" s="72">
        <v>0</v>
      </c>
      <c r="GH187" s="72">
        <v>0</v>
      </c>
      <c r="GI187" s="72">
        <v>0</v>
      </c>
      <c r="GJ187" s="77">
        <v>66657.566298538659</v>
      </c>
      <c r="GK187" s="72">
        <v>0</v>
      </c>
      <c r="GL187" s="72">
        <v>0</v>
      </c>
      <c r="GM187" s="72">
        <v>0</v>
      </c>
      <c r="GN187" s="72">
        <v>0</v>
      </c>
      <c r="GO187" s="72">
        <v>0</v>
      </c>
      <c r="GP187" s="72">
        <v>0</v>
      </c>
      <c r="GQ187" s="77">
        <v>1361.7035769849692</v>
      </c>
      <c r="GR187" s="72">
        <f t="shared" si="2"/>
        <v>320504.25222436996</v>
      </c>
      <c r="GS187" s="72">
        <f>SUM(GB$5:GB$202)</f>
        <v>320504.25222436996</v>
      </c>
      <c r="GT187" s="73">
        <v>0</v>
      </c>
    </row>
    <row r="188" spans="1:202" outlineLevel="1" x14ac:dyDescent="0.2">
      <c r="A188" s="78" t="s">
        <v>1556</v>
      </c>
      <c r="B188" s="72">
        <v>0</v>
      </c>
      <c r="C188" s="72">
        <v>0</v>
      </c>
      <c r="D188" s="72">
        <v>0</v>
      </c>
      <c r="E188" s="72">
        <v>0</v>
      </c>
      <c r="F188" s="72">
        <v>0</v>
      </c>
      <c r="G188" s="72">
        <v>0</v>
      </c>
      <c r="H188" s="72">
        <v>0</v>
      </c>
      <c r="I188" s="72">
        <v>0</v>
      </c>
      <c r="J188" s="72">
        <v>0</v>
      </c>
      <c r="K188" s="72">
        <v>0</v>
      </c>
      <c r="L188" s="72">
        <v>0</v>
      </c>
      <c r="M188" s="72">
        <v>0</v>
      </c>
      <c r="N188" s="72">
        <v>0</v>
      </c>
      <c r="O188" s="72">
        <v>0</v>
      </c>
      <c r="P188" s="72">
        <v>0</v>
      </c>
      <c r="Q188" s="72">
        <v>0</v>
      </c>
      <c r="R188" s="72">
        <v>0</v>
      </c>
      <c r="S188" s="72">
        <v>0</v>
      </c>
      <c r="T188" s="72">
        <v>0</v>
      </c>
      <c r="U188" s="72">
        <v>0</v>
      </c>
      <c r="V188" s="72">
        <v>0</v>
      </c>
      <c r="W188" s="72">
        <v>0</v>
      </c>
      <c r="X188" s="72">
        <v>0</v>
      </c>
      <c r="Y188" s="72">
        <v>0</v>
      </c>
      <c r="Z188" s="72">
        <v>0</v>
      </c>
      <c r="AA188" s="72">
        <v>0</v>
      </c>
      <c r="AB188" s="72">
        <v>0</v>
      </c>
      <c r="AC188" s="72">
        <v>0</v>
      </c>
      <c r="AD188" s="72">
        <v>0</v>
      </c>
      <c r="AE188" s="72">
        <v>0</v>
      </c>
      <c r="AF188" s="72">
        <v>0</v>
      </c>
      <c r="AG188" s="72">
        <v>0</v>
      </c>
      <c r="AH188" s="72">
        <v>0</v>
      </c>
      <c r="AI188" s="72">
        <v>0</v>
      </c>
      <c r="AJ188" s="72">
        <v>0</v>
      </c>
      <c r="AK188" s="72">
        <v>0</v>
      </c>
      <c r="AL188" s="72">
        <v>0</v>
      </c>
      <c r="AM188" s="72">
        <v>0</v>
      </c>
      <c r="AN188" s="72">
        <v>0</v>
      </c>
      <c r="AO188" s="72">
        <v>0</v>
      </c>
      <c r="AP188" s="72">
        <v>0</v>
      </c>
      <c r="AQ188" s="72">
        <v>0</v>
      </c>
      <c r="AR188" s="72">
        <v>0</v>
      </c>
      <c r="AS188" s="72">
        <v>0</v>
      </c>
      <c r="AT188" s="72">
        <v>0</v>
      </c>
      <c r="AU188" s="72">
        <v>0</v>
      </c>
      <c r="AV188" s="72">
        <v>0</v>
      </c>
      <c r="AW188" s="72">
        <v>0</v>
      </c>
      <c r="AX188" s="72">
        <v>0</v>
      </c>
      <c r="AY188" s="72">
        <v>0</v>
      </c>
      <c r="AZ188" s="72">
        <v>0</v>
      </c>
      <c r="BA188" s="72">
        <v>0</v>
      </c>
      <c r="BB188" s="72">
        <v>0</v>
      </c>
      <c r="BC188" s="72">
        <v>0</v>
      </c>
      <c r="BD188" s="72">
        <v>0</v>
      </c>
      <c r="BE188" s="72">
        <v>0</v>
      </c>
      <c r="BF188" s="72">
        <v>0</v>
      </c>
      <c r="BG188" s="72">
        <v>0</v>
      </c>
      <c r="BH188" s="72">
        <v>0</v>
      </c>
      <c r="BI188" s="72">
        <v>0</v>
      </c>
      <c r="BJ188" s="72">
        <v>0</v>
      </c>
      <c r="BK188" s="72">
        <v>0</v>
      </c>
      <c r="BL188" s="72">
        <v>0</v>
      </c>
      <c r="BM188" s="72">
        <v>0</v>
      </c>
      <c r="BN188" s="72">
        <v>0</v>
      </c>
      <c r="BO188" s="72">
        <v>0</v>
      </c>
      <c r="BP188" s="72">
        <v>0</v>
      </c>
      <c r="BQ188" s="72">
        <v>0</v>
      </c>
      <c r="BR188" s="72">
        <v>0</v>
      </c>
      <c r="BS188" s="72">
        <v>0</v>
      </c>
      <c r="BT188" s="72">
        <v>0</v>
      </c>
      <c r="BU188" s="72">
        <v>0</v>
      </c>
      <c r="BV188" s="72">
        <v>0</v>
      </c>
      <c r="BW188" s="72">
        <v>0</v>
      </c>
      <c r="BX188" s="72">
        <v>0</v>
      </c>
      <c r="BY188" s="72">
        <v>0</v>
      </c>
      <c r="BZ188" s="72">
        <v>0</v>
      </c>
      <c r="CA188" s="72">
        <v>0</v>
      </c>
      <c r="CB188" s="72">
        <v>0</v>
      </c>
      <c r="CC188" s="72">
        <v>0</v>
      </c>
      <c r="CD188" s="72">
        <v>0</v>
      </c>
      <c r="CE188" s="72">
        <v>0</v>
      </c>
      <c r="CF188" s="72">
        <v>0</v>
      </c>
      <c r="CG188" s="72">
        <v>0</v>
      </c>
      <c r="CH188" s="72">
        <v>0</v>
      </c>
      <c r="CI188" s="72">
        <v>0</v>
      </c>
      <c r="CJ188" s="72">
        <v>0</v>
      </c>
      <c r="CK188" s="72">
        <v>0</v>
      </c>
      <c r="CL188" s="72">
        <v>0</v>
      </c>
      <c r="CM188" s="72">
        <v>0</v>
      </c>
      <c r="CN188" s="72">
        <v>0</v>
      </c>
      <c r="CO188" s="72">
        <v>0</v>
      </c>
      <c r="CP188" s="72">
        <v>0</v>
      </c>
      <c r="CQ188" s="72">
        <v>0</v>
      </c>
      <c r="CR188" s="72">
        <v>0</v>
      </c>
      <c r="CS188" s="72">
        <v>0</v>
      </c>
      <c r="CT188" s="72">
        <v>0</v>
      </c>
      <c r="CU188" s="72">
        <v>0</v>
      </c>
      <c r="CV188" s="72">
        <v>0</v>
      </c>
      <c r="CW188" s="72">
        <v>0</v>
      </c>
      <c r="CX188" s="72">
        <v>0</v>
      </c>
      <c r="CY188" s="72">
        <v>0</v>
      </c>
      <c r="CZ188" s="72">
        <v>0</v>
      </c>
      <c r="DA188" s="72">
        <v>0</v>
      </c>
      <c r="DB188" s="72">
        <v>0</v>
      </c>
      <c r="DC188" s="72">
        <v>0</v>
      </c>
      <c r="DD188" s="72">
        <v>0</v>
      </c>
      <c r="DE188" s="72">
        <v>0</v>
      </c>
      <c r="DF188" s="72">
        <v>0</v>
      </c>
      <c r="DG188" s="72">
        <v>0</v>
      </c>
      <c r="DH188" s="72">
        <v>0</v>
      </c>
      <c r="DI188" s="72">
        <v>0</v>
      </c>
      <c r="DJ188" s="72">
        <v>0</v>
      </c>
      <c r="DK188" s="72">
        <v>0</v>
      </c>
      <c r="DL188" s="72">
        <v>0</v>
      </c>
      <c r="DM188" s="72">
        <v>0</v>
      </c>
      <c r="DN188" s="72">
        <v>0</v>
      </c>
      <c r="DO188" s="72">
        <v>0</v>
      </c>
      <c r="DP188" s="72">
        <v>0</v>
      </c>
      <c r="DQ188" s="72">
        <v>0</v>
      </c>
      <c r="DR188" s="72">
        <v>0</v>
      </c>
      <c r="DS188" s="72">
        <v>0</v>
      </c>
      <c r="DT188" s="72">
        <v>0</v>
      </c>
      <c r="DU188" s="72">
        <v>0</v>
      </c>
      <c r="DV188" s="72">
        <v>0</v>
      </c>
      <c r="DW188" s="72">
        <v>0</v>
      </c>
      <c r="DX188" s="72">
        <v>0</v>
      </c>
      <c r="DY188" s="72">
        <v>0</v>
      </c>
      <c r="DZ188" s="72">
        <v>0</v>
      </c>
      <c r="EA188" s="72">
        <v>0</v>
      </c>
      <c r="EB188" s="72">
        <v>0</v>
      </c>
      <c r="EC188" s="72">
        <v>0</v>
      </c>
      <c r="ED188" s="72">
        <v>0</v>
      </c>
      <c r="EE188" s="72">
        <v>0</v>
      </c>
      <c r="EF188" s="72">
        <v>0</v>
      </c>
      <c r="EG188" s="72">
        <v>0</v>
      </c>
      <c r="EH188" s="72">
        <v>0</v>
      </c>
      <c r="EI188" s="72">
        <v>0</v>
      </c>
      <c r="EJ188" s="72">
        <v>0</v>
      </c>
      <c r="EK188" s="72">
        <v>0</v>
      </c>
      <c r="EL188" s="72">
        <v>0</v>
      </c>
      <c r="EM188" s="72">
        <v>0</v>
      </c>
      <c r="EN188" s="72">
        <v>0</v>
      </c>
      <c r="EO188" s="72">
        <v>0</v>
      </c>
      <c r="EP188" s="72">
        <v>0</v>
      </c>
      <c r="EQ188" s="72">
        <v>0</v>
      </c>
      <c r="ER188" s="72">
        <v>0</v>
      </c>
      <c r="ES188" s="72">
        <v>0</v>
      </c>
      <c r="ET188" s="72">
        <v>0</v>
      </c>
      <c r="EU188" s="72">
        <v>0</v>
      </c>
      <c r="EV188" s="72">
        <v>0</v>
      </c>
      <c r="EW188" s="72">
        <v>0</v>
      </c>
      <c r="EX188" s="72">
        <v>0</v>
      </c>
      <c r="EY188" s="72">
        <v>0</v>
      </c>
      <c r="EZ188" s="72">
        <v>0</v>
      </c>
      <c r="FA188" s="72">
        <v>0</v>
      </c>
      <c r="FB188" s="72">
        <v>0</v>
      </c>
      <c r="FC188" s="72">
        <v>0</v>
      </c>
      <c r="FD188" s="72">
        <v>0</v>
      </c>
      <c r="FE188" s="72">
        <v>0</v>
      </c>
      <c r="FF188" s="72">
        <v>0</v>
      </c>
      <c r="FG188" s="72">
        <v>0</v>
      </c>
      <c r="FH188" s="72">
        <v>0</v>
      </c>
      <c r="FI188" s="72">
        <v>0</v>
      </c>
      <c r="FJ188" s="72">
        <v>0</v>
      </c>
      <c r="FK188" s="72">
        <v>0</v>
      </c>
      <c r="FL188" s="72">
        <v>0</v>
      </c>
      <c r="FM188" s="72">
        <v>0</v>
      </c>
      <c r="FN188" s="72">
        <v>0</v>
      </c>
      <c r="FO188" s="72">
        <v>0</v>
      </c>
      <c r="FP188" s="77">
        <v>24022.345381874304</v>
      </c>
      <c r="FQ188" s="77">
        <v>100953.57970825172</v>
      </c>
      <c r="FR188" s="77">
        <v>112479.00427681989</v>
      </c>
      <c r="FS188" s="77">
        <v>71234.57122490264</v>
      </c>
      <c r="FT188" s="77">
        <v>57619.00407640553</v>
      </c>
      <c r="FU188" s="77">
        <v>80032.148115917764</v>
      </c>
      <c r="FV188" s="72">
        <v>0</v>
      </c>
      <c r="FW188" s="72">
        <v>0</v>
      </c>
      <c r="FX188" s="72">
        <v>0</v>
      </c>
      <c r="FY188" s="72">
        <v>0</v>
      </c>
      <c r="FZ188" s="72">
        <v>0</v>
      </c>
      <c r="GA188" s="72">
        <v>0</v>
      </c>
      <c r="GB188" s="72">
        <v>0</v>
      </c>
      <c r="GC188" s="72">
        <v>0</v>
      </c>
      <c r="GD188" s="72">
        <v>0</v>
      </c>
      <c r="GE188" s="72">
        <v>0</v>
      </c>
      <c r="GF188" s="72">
        <v>0</v>
      </c>
      <c r="GG188" s="72">
        <v>0</v>
      </c>
      <c r="GH188" s="72">
        <v>0</v>
      </c>
      <c r="GI188" s="72">
        <v>0</v>
      </c>
      <c r="GJ188" s="77">
        <v>64250.901591412447</v>
      </c>
      <c r="GK188" s="72">
        <v>0</v>
      </c>
      <c r="GL188" s="72">
        <v>0</v>
      </c>
      <c r="GM188" s="72">
        <v>0</v>
      </c>
      <c r="GN188" s="72">
        <v>0</v>
      </c>
      <c r="GO188" s="72">
        <v>0</v>
      </c>
      <c r="GP188" s="72">
        <v>0</v>
      </c>
      <c r="GQ188" s="77">
        <v>3014.3516995889972</v>
      </c>
      <c r="GR188" s="72">
        <f t="shared" si="2"/>
        <v>513605.90607517329</v>
      </c>
      <c r="GS188" s="72">
        <f>SUM(GC$5:GC$202)</f>
        <v>513605.90607517329</v>
      </c>
      <c r="GT188" s="73">
        <v>0</v>
      </c>
    </row>
    <row r="189" spans="1:202" outlineLevel="1" x14ac:dyDescent="0.2">
      <c r="A189" s="78" t="s">
        <v>1557</v>
      </c>
      <c r="B189" s="72">
        <v>0</v>
      </c>
      <c r="C189" s="72">
        <v>0</v>
      </c>
      <c r="D189" s="72">
        <v>0</v>
      </c>
      <c r="E189" s="72">
        <v>0</v>
      </c>
      <c r="F189" s="72">
        <v>0</v>
      </c>
      <c r="G189" s="72">
        <v>0</v>
      </c>
      <c r="H189" s="72">
        <v>0</v>
      </c>
      <c r="I189" s="72">
        <v>0</v>
      </c>
      <c r="J189" s="72">
        <v>0</v>
      </c>
      <c r="K189" s="72">
        <v>0</v>
      </c>
      <c r="L189" s="72">
        <v>0</v>
      </c>
      <c r="M189" s="72">
        <v>0</v>
      </c>
      <c r="N189" s="72">
        <v>0</v>
      </c>
      <c r="O189" s="72">
        <v>0</v>
      </c>
      <c r="P189" s="72">
        <v>0</v>
      </c>
      <c r="Q189" s="72">
        <v>0</v>
      </c>
      <c r="R189" s="72">
        <v>0</v>
      </c>
      <c r="S189" s="72">
        <v>0</v>
      </c>
      <c r="T189" s="72">
        <v>0</v>
      </c>
      <c r="U189" s="72">
        <v>0</v>
      </c>
      <c r="V189" s="72">
        <v>0</v>
      </c>
      <c r="W189" s="72">
        <v>0</v>
      </c>
      <c r="X189" s="72">
        <v>0</v>
      </c>
      <c r="Y189" s="72">
        <v>0</v>
      </c>
      <c r="Z189" s="72">
        <v>0</v>
      </c>
      <c r="AA189" s="72">
        <v>0</v>
      </c>
      <c r="AB189" s="72">
        <v>0</v>
      </c>
      <c r="AC189" s="72">
        <v>0</v>
      </c>
      <c r="AD189" s="72">
        <v>0</v>
      </c>
      <c r="AE189" s="72">
        <v>0</v>
      </c>
      <c r="AF189" s="72">
        <v>0</v>
      </c>
      <c r="AG189" s="72">
        <v>0</v>
      </c>
      <c r="AH189" s="72">
        <v>0</v>
      </c>
      <c r="AI189" s="72">
        <v>0</v>
      </c>
      <c r="AJ189" s="72">
        <v>0</v>
      </c>
      <c r="AK189" s="72">
        <v>0</v>
      </c>
      <c r="AL189" s="72">
        <v>0</v>
      </c>
      <c r="AM189" s="72">
        <v>0</v>
      </c>
      <c r="AN189" s="72">
        <v>0</v>
      </c>
      <c r="AO189" s="72">
        <v>0</v>
      </c>
      <c r="AP189" s="72">
        <v>0</v>
      </c>
      <c r="AQ189" s="72">
        <v>0</v>
      </c>
      <c r="AR189" s="72">
        <v>0</v>
      </c>
      <c r="AS189" s="72">
        <v>0</v>
      </c>
      <c r="AT189" s="72">
        <v>0</v>
      </c>
      <c r="AU189" s="72">
        <v>0</v>
      </c>
      <c r="AV189" s="72">
        <v>0</v>
      </c>
      <c r="AW189" s="72">
        <v>0</v>
      </c>
      <c r="AX189" s="72">
        <v>0</v>
      </c>
      <c r="AY189" s="72">
        <v>0</v>
      </c>
      <c r="AZ189" s="72">
        <v>0</v>
      </c>
      <c r="BA189" s="72">
        <v>0</v>
      </c>
      <c r="BB189" s="72">
        <v>0</v>
      </c>
      <c r="BC189" s="72">
        <v>0</v>
      </c>
      <c r="BD189" s="72">
        <v>0</v>
      </c>
      <c r="BE189" s="72">
        <v>0</v>
      </c>
      <c r="BF189" s="72">
        <v>0</v>
      </c>
      <c r="BG189" s="72">
        <v>0</v>
      </c>
      <c r="BH189" s="72">
        <v>0</v>
      </c>
      <c r="BI189" s="72">
        <v>0</v>
      </c>
      <c r="BJ189" s="72">
        <v>0</v>
      </c>
      <c r="BK189" s="72">
        <v>0</v>
      </c>
      <c r="BL189" s="72">
        <v>0</v>
      </c>
      <c r="BM189" s="72">
        <v>0</v>
      </c>
      <c r="BN189" s="72">
        <v>0</v>
      </c>
      <c r="BO189" s="72">
        <v>0</v>
      </c>
      <c r="BP189" s="72">
        <v>0</v>
      </c>
      <c r="BQ189" s="72">
        <v>0</v>
      </c>
      <c r="BR189" s="72">
        <v>0</v>
      </c>
      <c r="BS189" s="72">
        <v>0</v>
      </c>
      <c r="BT189" s="72">
        <v>0</v>
      </c>
      <c r="BU189" s="72">
        <v>0</v>
      </c>
      <c r="BV189" s="72">
        <v>0</v>
      </c>
      <c r="BW189" s="72">
        <v>0</v>
      </c>
      <c r="BX189" s="72">
        <v>0</v>
      </c>
      <c r="BY189" s="72">
        <v>0</v>
      </c>
      <c r="BZ189" s="72">
        <v>0</v>
      </c>
      <c r="CA189" s="72">
        <v>0</v>
      </c>
      <c r="CB189" s="72">
        <v>0</v>
      </c>
      <c r="CC189" s="72">
        <v>0</v>
      </c>
      <c r="CD189" s="72">
        <v>0</v>
      </c>
      <c r="CE189" s="72">
        <v>0</v>
      </c>
      <c r="CF189" s="72">
        <v>0</v>
      </c>
      <c r="CG189" s="72">
        <v>0</v>
      </c>
      <c r="CH189" s="72">
        <v>0</v>
      </c>
      <c r="CI189" s="72">
        <v>0</v>
      </c>
      <c r="CJ189" s="72">
        <v>0</v>
      </c>
      <c r="CK189" s="72">
        <v>0</v>
      </c>
      <c r="CL189" s="72">
        <v>0</v>
      </c>
      <c r="CM189" s="72">
        <v>0</v>
      </c>
      <c r="CN189" s="72">
        <v>0</v>
      </c>
      <c r="CO189" s="72">
        <v>0</v>
      </c>
      <c r="CP189" s="72">
        <v>0</v>
      </c>
      <c r="CQ189" s="72">
        <v>0</v>
      </c>
      <c r="CR189" s="72">
        <v>0</v>
      </c>
      <c r="CS189" s="72">
        <v>0</v>
      </c>
      <c r="CT189" s="72">
        <v>0</v>
      </c>
      <c r="CU189" s="72">
        <v>0</v>
      </c>
      <c r="CV189" s="72">
        <v>0</v>
      </c>
      <c r="CW189" s="72">
        <v>0</v>
      </c>
      <c r="CX189" s="72">
        <v>0</v>
      </c>
      <c r="CY189" s="72">
        <v>0</v>
      </c>
      <c r="CZ189" s="72">
        <v>0</v>
      </c>
      <c r="DA189" s="72">
        <v>0</v>
      </c>
      <c r="DB189" s="72">
        <v>0</v>
      </c>
      <c r="DC189" s="72">
        <v>0</v>
      </c>
      <c r="DD189" s="72">
        <v>0</v>
      </c>
      <c r="DE189" s="72">
        <v>0</v>
      </c>
      <c r="DF189" s="72">
        <v>0</v>
      </c>
      <c r="DG189" s="72">
        <v>0</v>
      </c>
      <c r="DH189" s="72">
        <v>0</v>
      </c>
      <c r="DI189" s="72">
        <v>0</v>
      </c>
      <c r="DJ189" s="72">
        <v>0</v>
      </c>
      <c r="DK189" s="72">
        <v>0</v>
      </c>
      <c r="DL189" s="72">
        <v>0</v>
      </c>
      <c r="DM189" s="72">
        <v>0</v>
      </c>
      <c r="DN189" s="72">
        <v>0</v>
      </c>
      <c r="DO189" s="72">
        <v>0</v>
      </c>
      <c r="DP189" s="72">
        <v>0</v>
      </c>
      <c r="DQ189" s="72">
        <v>0</v>
      </c>
      <c r="DR189" s="72">
        <v>0</v>
      </c>
      <c r="DS189" s="72">
        <v>0</v>
      </c>
      <c r="DT189" s="72">
        <v>0</v>
      </c>
      <c r="DU189" s="72">
        <v>0</v>
      </c>
      <c r="DV189" s="72">
        <v>0</v>
      </c>
      <c r="DW189" s="72">
        <v>0</v>
      </c>
      <c r="DX189" s="72">
        <v>0</v>
      </c>
      <c r="DY189" s="72">
        <v>0</v>
      </c>
      <c r="DZ189" s="72">
        <v>0</v>
      </c>
      <c r="EA189" s="72">
        <v>0</v>
      </c>
      <c r="EB189" s="72">
        <v>0</v>
      </c>
      <c r="EC189" s="72">
        <v>0</v>
      </c>
      <c r="ED189" s="72">
        <v>0</v>
      </c>
      <c r="EE189" s="72">
        <v>0</v>
      </c>
      <c r="EF189" s="72">
        <v>0</v>
      </c>
      <c r="EG189" s="72">
        <v>0</v>
      </c>
      <c r="EH189" s="72">
        <v>0</v>
      </c>
      <c r="EI189" s="72">
        <v>0</v>
      </c>
      <c r="EJ189" s="72">
        <v>0</v>
      </c>
      <c r="EK189" s="72">
        <v>0</v>
      </c>
      <c r="EL189" s="72">
        <v>0</v>
      </c>
      <c r="EM189" s="72">
        <v>0</v>
      </c>
      <c r="EN189" s="72">
        <v>0</v>
      </c>
      <c r="EO189" s="72">
        <v>0</v>
      </c>
      <c r="EP189" s="72">
        <v>0</v>
      </c>
      <c r="EQ189" s="72">
        <v>0</v>
      </c>
      <c r="ER189" s="72">
        <v>0</v>
      </c>
      <c r="ES189" s="72">
        <v>0</v>
      </c>
      <c r="ET189" s="72">
        <v>0</v>
      </c>
      <c r="EU189" s="72">
        <v>0</v>
      </c>
      <c r="EV189" s="72">
        <v>0</v>
      </c>
      <c r="EW189" s="72">
        <v>0</v>
      </c>
      <c r="EX189" s="72">
        <v>0</v>
      </c>
      <c r="EY189" s="72">
        <v>0</v>
      </c>
      <c r="EZ189" s="72">
        <v>0</v>
      </c>
      <c r="FA189" s="72">
        <v>0</v>
      </c>
      <c r="FB189" s="72">
        <v>0</v>
      </c>
      <c r="FC189" s="72">
        <v>0</v>
      </c>
      <c r="FD189" s="72">
        <v>0</v>
      </c>
      <c r="FE189" s="72">
        <v>0</v>
      </c>
      <c r="FF189" s="72">
        <v>0</v>
      </c>
      <c r="FG189" s="72">
        <v>0</v>
      </c>
      <c r="FH189" s="72">
        <v>0</v>
      </c>
      <c r="FI189" s="72">
        <v>0</v>
      </c>
      <c r="FJ189" s="72">
        <v>0</v>
      </c>
      <c r="FK189" s="72">
        <v>0</v>
      </c>
      <c r="FL189" s="72">
        <v>0</v>
      </c>
      <c r="FM189" s="72">
        <v>0</v>
      </c>
      <c r="FN189" s="72">
        <v>0</v>
      </c>
      <c r="FO189" s="72">
        <v>0</v>
      </c>
      <c r="FP189" s="77">
        <v>21492.460247971088</v>
      </c>
      <c r="FQ189" s="77">
        <v>104608.66314100349</v>
      </c>
      <c r="FR189" s="77">
        <v>202476.42394879676</v>
      </c>
      <c r="FS189" s="77">
        <v>263321.54642650794</v>
      </c>
      <c r="FT189" s="77">
        <v>110500.69787536701</v>
      </c>
      <c r="FU189" s="77">
        <v>221631.29318044049</v>
      </c>
      <c r="FV189" s="72">
        <v>0</v>
      </c>
      <c r="FW189" s="72">
        <v>0</v>
      </c>
      <c r="FX189" s="72">
        <v>0</v>
      </c>
      <c r="FY189" s="72">
        <v>0</v>
      </c>
      <c r="FZ189" s="72">
        <v>0</v>
      </c>
      <c r="GA189" s="72">
        <v>0</v>
      </c>
      <c r="GB189" s="72">
        <v>0</v>
      </c>
      <c r="GC189" s="72">
        <v>0</v>
      </c>
      <c r="GD189" s="72">
        <v>0</v>
      </c>
      <c r="GE189" s="72">
        <v>0</v>
      </c>
      <c r="GF189" s="72">
        <v>0</v>
      </c>
      <c r="GG189" s="72">
        <v>0</v>
      </c>
      <c r="GH189" s="72">
        <v>0</v>
      </c>
      <c r="GI189" s="72">
        <v>0</v>
      </c>
      <c r="GJ189" s="77">
        <v>49231.260484619372</v>
      </c>
      <c r="GK189" s="72">
        <v>0</v>
      </c>
      <c r="GL189" s="72">
        <v>0</v>
      </c>
      <c r="GM189" s="72">
        <v>0</v>
      </c>
      <c r="GN189" s="72">
        <v>0</v>
      </c>
      <c r="GO189" s="72">
        <v>0</v>
      </c>
      <c r="GP189" s="72">
        <v>0</v>
      </c>
      <c r="GQ189" s="77">
        <v>8347.5788293591213</v>
      </c>
      <c r="GR189" s="72">
        <f t="shared" si="2"/>
        <v>981609.9241340654</v>
      </c>
      <c r="GS189" s="72">
        <f>SUM(GD$5:GD$202)</f>
        <v>981609.9241340654</v>
      </c>
      <c r="GT189" s="73">
        <v>0</v>
      </c>
    </row>
    <row r="190" spans="1:202" outlineLevel="1" x14ac:dyDescent="0.2">
      <c r="A190" s="78" t="s">
        <v>1558</v>
      </c>
      <c r="B190" s="72">
        <v>0</v>
      </c>
      <c r="C190" s="72">
        <v>0</v>
      </c>
      <c r="D190" s="72">
        <v>0</v>
      </c>
      <c r="E190" s="72">
        <v>0</v>
      </c>
      <c r="F190" s="72">
        <v>0</v>
      </c>
      <c r="G190" s="72">
        <v>0</v>
      </c>
      <c r="H190" s="72">
        <v>0</v>
      </c>
      <c r="I190" s="72">
        <v>0</v>
      </c>
      <c r="J190" s="72">
        <v>0</v>
      </c>
      <c r="K190" s="72">
        <v>0</v>
      </c>
      <c r="L190" s="72">
        <v>0</v>
      </c>
      <c r="M190" s="72">
        <v>0</v>
      </c>
      <c r="N190" s="72">
        <v>0</v>
      </c>
      <c r="O190" s="72">
        <v>0</v>
      </c>
      <c r="P190" s="72">
        <v>0</v>
      </c>
      <c r="Q190" s="72">
        <v>0</v>
      </c>
      <c r="R190" s="72">
        <v>0</v>
      </c>
      <c r="S190" s="72">
        <v>0</v>
      </c>
      <c r="T190" s="72">
        <v>0</v>
      </c>
      <c r="U190" s="72">
        <v>0</v>
      </c>
      <c r="V190" s="72">
        <v>0</v>
      </c>
      <c r="W190" s="72">
        <v>0</v>
      </c>
      <c r="X190" s="72">
        <v>0</v>
      </c>
      <c r="Y190" s="72">
        <v>0</v>
      </c>
      <c r="Z190" s="72">
        <v>0</v>
      </c>
      <c r="AA190" s="72">
        <v>0</v>
      </c>
      <c r="AB190" s="72">
        <v>0</v>
      </c>
      <c r="AC190" s="72">
        <v>0</v>
      </c>
      <c r="AD190" s="72">
        <v>0</v>
      </c>
      <c r="AE190" s="72">
        <v>0</v>
      </c>
      <c r="AF190" s="72">
        <v>0</v>
      </c>
      <c r="AG190" s="72">
        <v>0</v>
      </c>
      <c r="AH190" s="72">
        <v>0</v>
      </c>
      <c r="AI190" s="72">
        <v>0</v>
      </c>
      <c r="AJ190" s="72">
        <v>0</v>
      </c>
      <c r="AK190" s="72">
        <v>0</v>
      </c>
      <c r="AL190" s="72">
        <v>0</v>
      </c>
      <c r="AM190" s="72">
        <v>0</v>
      </c>
      <c r="AN190" s="72">
        <v>0</v>
      </c>
      <c r="AO190" s="72">
        <v>0</v>
      </c>
      <c r="AP190" s="72">
        <v>0</v>
      </c>
      <c r="AQ190" s="72">
        <v>0</v>
      </c>
      <c r="AR190" s="72">
        <v>0</v>
      </c>
      <c r="AS190" s="72">
        <v>0</v>
      </c>
      <c r="AT190" s="72">
        <v>0</v>
      </c>
      <c r="AU190" s="72">
        <v>0</v>
      </c>
      <c r="AV190" s="72">
        <v>0</v>
      </c>
      <c r="AW190" s="72">
        <v>0</v>
      </c>
      <c r="AX190" s="72">
        <v>0</v>
      </c>
      <c r="AY190" s="72">
        <v>0</v>
      </c>
      <c r="AZ190" s="72">
        <v>0</v>
      </c>
      <c r="BA190" s="72">
        <v>0</v>
      </c>
      <c r="BB190" s="72">
        <v>0</v>
      </c>
      <c r="BC190" s="72">
        <v>0</v>
      </c>
      <c r="BD190" s="72">
        <v>0</v>
      </c>
      <c r="BE190" s="72">
        <v>0</v>
      </c>
      <c r="BF190" s="72">
        <v>0</v>
      </c>
      <c r="BG190" s="72">
        <v>0</v>
      </c>
      <c r="BH190" s="72">
        <v>0</v>
      </c>
      <c r="BI190" s="72">
        <v>0</v>
      </c>
      <c r="BJ190" s="72">
        <v>0</v>
      </c>
      <c r="BK190" s="72">
        <v>0</v>
      </c>
      <c r="BL190" s="72">
        <v>0</v>
      </c>
      <c r="BM190" s="72">
        <v>0</v>
      </c>
      <c r="BN190" s="72">
        <v>0</v>
      </c>
      <c r="BO190" s="72">
        <v>0</v>
      </c>
      <c r="BP190" s="72">
        <v>0</v>
      </c>
      <c r="BQ190" s="72">
        <v>0</v>
      </c>
      <c r="BR190" s="72">
        <v>0</v>
      </c>
      <c r="BS190" s="72">
        <v>0</v>
      </c>
      <c r="BT190" s="72">
        <v>0</v>
      </c>
      <c r="BU190" s="72">
        <v>0</v>
      </c>
      <c r="BV190" s="72">
        <v>0</v>
      </c>
      <c r="BW190" s="72">
        <v>0</v>
      </c>
      <c r="BX190" s="72">
        <v>0</v>
      </c>
      <c r="BY190" s="72">
        <v>0</v>
      </c>
      <c r="BZ190" s="72">
        <v>0</v>
      </c>
      <c r="CA190" s="72">
        <v>0</v>
      </c>
      <c r="CB190" s="72">
        <v>0</v>
      </c>
      <c r="CC190" s="72">
        <v>0</v>
      </c>
      <c r="CD190" s="72">
        <v>0</v>
      </c>
      <c r="CE190" s="72">
        <v>0</v>
      </c>
      <c r="CF190" s="72">
        <v>0</v>
      </c>
      <c r="CG190" s="72">
        <v>0</v>
      </c>
      <c r="CH190" s="72">
        <v>0</v>
      </c>
      <c r="CI190" s="72">
        <v>0</v>
      </c>
      <c r="CJ190" s="72">
        <v>0</v>
      </c>
      <c r="CK190" s="72">
        <v>0</v>
      </c>
      <c r="CL190" s="72">
        <v>0</v>
      </c>
      <c r="CM190" s="72">
        <v>0</v>
      </c>
      <c r="CN190" s="72">
        <v>0</v>
      </c>
      <c r="CO190" s="72">
        <v>0</v>
      </c>
      <c r="CP190" s="72">
        <v>0</v>
      </c>
      <c r="CQ190" s="72">
        <v>0</v>
      </c>
      <c r="CR190" s="72">
        <v>0</v>
      </c>
      <c r="CS190" s="72">
        <v>0</v>
      </c>
      <c r="CT190" s="72">
        <v>0</v>
      </c>
      <c r="CU190" s="72">
        <v>0</v>
      </c>
      <c r="CV190" s="72">
        <v>0</v>
      </c>
      <c r="CW190" s="72">
        <v>0</v>
      </c>
      <c r="CX190" s="72">
        <v>0</v>
      </c>
      <c r="CY190" s="72">
        <v>0</v>
      </c>
      <c r="CZ190" s="72">
        <v>0</v>
      </c>
      <c r="DA190" s="72">
        <v>0</v>
      </c>
      <c r="DB190" s="72">
        <v>0</v>
      </c>
      <c r="DC190" s="72">
        <v>0</v>
      </c>
      <c r="DD190" s="72">
        <v>0</v>
      </c>
      <c r="DE190" s="72">
        <v>0</v>
      </c>
      <c r="DF190" s="72">
        <v>0</v>
      </c>
      <c r="DG190" s="72">
        <v>0</v>
      </c>
      <c r="DH190" s="72">
        <v>0</v>
      </c>
      <c r="DI190" s="72">
        <v>0</v>
      </c>
      <c r="DJ190" s="72">
        <v>0</v>
      </c>
      <c r="DK190" s="72">
        <v>0</v>
      </c>
      <c r="DL190" s="72">
        <v>0</v>
      </c>
      <c r="DM190" s="72">
        <v>0</v>
      </c>
      <c r="DN190" s="72">
        <v>0</v>
      </c>
      <c r="DO190" s="72">
        <v>0</v>
      </c>
      <c r="DP190" s="72">
        <v>0</v>
      </c>
      <c r="DQ190" s="72">
        <v>0</v>
      </c>
      <c r="DR190" s="72">
        <v>0</v>
      </c>
      <c r="DS190" s="72">
        <v>0</v>
      </c>
      <c r="DT190" s="72">
        <v>0</v>
      </c>
      <c r="DU190" s="72">
        <v>0</v>
      </c>
      <c r="DV190" s="72">
        <v>0</v>
      </c>
      <c r="DW190" s="72">
        <v>0</v>
      </c>
      <c r="DX190" s="72">
        <v>0</v>
      </c>
      <c r="DY190" s="72">
        <v>0</v>
      </c>
      <c r="DZ190" s="72">
        <v>0</v>
      </c>
      <c r="EA190" s="72">
        <v>0</v>
      </c>
      <c r="EB190" s="72">
        <v>0</v>
      </c>
      <c r="EC190" s="72">
        <v>0</v>
      </c>
      <c r="ED190" s="72">
        <v>0</v>
      </c>
      <c r="EE190" s="72">
        <v>0</v>
      </c>
      <c r="EF190" s="72">
        <v>0</v>
      </c>
      <c r="EG190" s="72">
        <v>0</v>
      </c>
      <c r="EH190" s="72">
        <v>0</v>
      </c>
      <c r="EI190" s="72">
        <v>0</v>
      </c>
      <c r="EJ190" s="72">
        <v>0</v>
      </c>
      <c r="EK190" s="72">
        <v>0</v>
      </c>
      <c r="EL190" s="72">
        <v>0</v>
      </c>
      <c r="EM190" s="72">
        <v>0</v>
      </c>
      <c r="EN190" s="72">
        <v>0</v>
      </c>
      <c r="EO190" s="72">
        <v>0</v>
      </c>
      <c r="EP190" s="72">
        <v>0</v>
      </c>
      <c r="EQ190" s="72">
        <v>0</v>
      </c>
      <c r="ER190" s="72">
        <v>0</v>
      </c>
      <c r="ES190" s="72">
        <v>0</v>
      </c>
      <c r="ET190" s="72">
        <v>0</v>
      </c>
      <c r="EU190" s="72">
        <v>0</v>
      </c>
      <c r="EV190" s="72">
        <v>0</v>
      </c>
      <c r="EW190" s="72">
        <v>0</v>
      </c>
      <c r="EX190" s="72">
        <v>0</v>
      </c>
      <c r="EY190" s="72">
        <v>0</v>
      </c>
      <c r="EZ190" s="72">
        <v>0</v>
      </c>
      <c r="FA190" s="72">
        <v>0</v>
      </c>
      <c r="FB190" s="72">
        <v>0</v>
      </c>
      <c r="FC190" s="72">
        <v>0</v>
      </c>
      <c r="FD190" s="72">
        <v>0</v>
      </c>
      <c r="FE190" s="72">
        <v>0</v>
      </c>
      <c r="FF190" s="72">
        <v>0</v>
      </c>
      <c r="FG190" s="72">
        <v>0</v>
      </c>
      <c r="FH190" s="72">
        <v>0</v>
      </c>
      <c r="FI190" s="72">
        <v>0</v>
      </c>
      <c r="FJ190" s="72">
        <v>0</v>
      </c>
      <c r="FK190" s="72">
        <v>0</v>
      </c>
      <c r="FL190" s="72">
        <v>0</v>
      </c>
      <c r="FM190" s="72">
        <v>0</v>
      </c>
      <c r="FN190" s="72">
        <v>0</v>
      </c>
      <c r="FO190" s="72">
        <v>0</v>
      </c>
      <c r="FP190" s="77">
        <v>6069.1129248891493</v>
      </c>
      <c r="FQ190" s="77">
        <v>21048.466249974241</v>
      </c>
      <c r="FR190" s="77">
        <v>42927.962408776206</v>
      </c>
      <c r="FS190" s="77">
        <v>82005.295583504849</v>
      </c>
      <c r="FT190" s="77">
        <v>39684.230792524038</v>
      </c>
      <c r="FU190" s="77">
        <v>72808.681907287115</v>
      </c>
      <c r="FV190" s="72">
        <v>0</v>
      </c>
      <c r="FW190" s="72">
        <v>0</v>
      </c>
      <c r="FX190" s="72">
        <v>0</v>
      </c>
      <c r="FY190" s="72">
        <v>0</v>
      </c>
      <c r="FZ190" s="72">
        <v>0</v>
      </c>
      <c r="GA190" s="72">
        <v>0</v>
      </c>
      <c r="GB190" s="72">
        <v>0</v>
      </c>
      <c r="GC190" s="72">
        <v>0</v>
      </c>
      <c r="GD190" s="72">
        <v>0</v>
      </c>
      <c r="GE190" s="72">
        <v>0</v>
      </c>
      <c r="GF190" s="72">
        <v>0</v>
      </c>
      <c r="GG190" s="72">
        <v>0</v>
      </c>
      <c r="GH190" s="72">
        <v>0</v>
      </c>
      <c r="GI190" s="72">
        <v>0</v>
      </c>
      <c r="GJ190" s="77">
        <v>7145.0610726757923</v>
      </c>
      <c r="GK190" s="72">
        <v>0</v>
      </c>
      <c r="GL190" s="72">
        <v>0</v>
      </c>
      <c r="GM190" s="72">
        <v>0</v>
      </c>
      <c r="GN190" s="72">
        <v>0</v>
      </c>
      <c r="GO190" s="72">
        <v>0</v>
      </c>
      <c r="GP190" s="72">
        <v>0</v>
      </c>
      <c r="GQ190" s="77">
        <v>2742.285184375985</v>
      </c>
      <c r="GR190" s="72">
        <f t="shared" si="2"/>
        <v>274431.09612400742</v>
      </c>
      <c r="GS190" s="72">
        <f>SUM(GE$5:GE$202)</f>
        <v>274431.09612400742</v>
      </c>
      <c r="GT190" s="73">
        <v>0</v>
      </c>
    </row>
    <row r="191" spans="1:202" outlineLevel="1" x14ac:dyDescent="0.2">
      <c r="A191" s="78" t="s">
        <v>1559</v>
      </c>
      <c r="B191" s="72">
        <v>0</v>
      </c>
      <c r="C191" s="72">
        <v>0</v>
      </c>
      <c r="D191" s="72">
        <v>0</v>
      </c>
      <c r="E191" s="72">
        <v>0</v>
      </c>
      <c r="F191" s="72">
        <v>0</v>
      </c>
      <c r="G191" s="72">
        <v>0</v>
      </c>
      <c r="H191" s="72">
        <v>0</v>
      </c>
      <c r="I191" s="72">
        <v>0</v>
      </c>
      <c r="J191" s="72">
        <v>0</v>
      </c>
      <c r="K191" s="72">
        <v>0</v>
      </c>
      <c r="L191" s="72">
        <v>0</v>
      </c>
      <c r="M191" s="72">
        <v>0</v>
      </c>
      <c r="N191" s="72">
        <v>0</v>
      </c>
      <c r="O191" s="72">
        <v>0</v>
      </c>
      <c r="P191" s="72">
        <v>0</v>
      </c>
      <c r="Q191" s="72">
        <v>0</v>
      </c>
      <c r="R191" s="72">
        <v>0</v>
      </c>
      <c r="S191" s="72">
        <v>0</v>
      </c>
      <c r="T191" s="72">
        <v>0</v>
      </c>
      <c r="U191" s="72">
        <v>0</v>
      </c>
      <c r="V191" s="72">
        <v>0</v>
      </c>
      <c r="W191" s="72">
        <v>0</v>
      </c>
      <c r="X191" s="72">
        <v>0</v>
      </c>
      <c r="Y191" s="72">
        <v>0</v>
      </c>
      <c r="Z191" s="72">
        <v>0</v>
      </c>
      <c r="AA191" s="72">
        <v>0</v>
      </c>
      <c r="AB191" s="72">
        <v>0</v>
      </c>
      <c r="AC191" s="72">
        <v>0</v>
      </c>
      <c r="AD191" s="72">
        <v>0</v>
      </c>
      <c r="AE191" s="72">
        <v>0</v>
      </c>
      <c r="AF191" s="72">
        <v>0</v>
      </c>
      <c r="AG191" s="72">
        <v>0</v>
      </c>
      <c r="AH191" s="72">
        <v>0</v>
      </c>
      <c r="AI191" s="72">
        <v>0</v>
      </c>
      <c r="AJ191" s="72">
        <v>0</v>
      </c>
      <c r="AK191" s="72">
        <v>0</v>
      </c>
      <c r="AL191" s="72">
        <v>0</v>
      </c>
      <c r="AM191" s="72">
        <v>0</v>
      </c>
      <c r="AN191" s="72">
        <v>0</v>
      </c>
      <c r="AO191" s="72">
        <v>0</v>
      </c>
      <c r="AP191" s="72">
        <v>0</v>
      </c>
      <c r="AQ191" s="72">
        <v>0</v>
      </c>
      <c r="AR191" s="72">
        <v>0</v>
      </c>
      <c r="AS191" s="72">
        <v>0</v>
      </c>
      <c r="AT191" s="72">
        <v>0</v>
      </c>
      <c r="AU191" s="72">
        <v>0</v>
      </c>
      <c r="AV191" s="72">
        <v>0</v>
      </c>
      <c r="AW191" s="72">
        <v>0</v>
      </c>
      <c r="AX191" s="72">
        <v>0</v>
      </c>
      <c r="AY191" s="72">
        <v>0</v>
      </c>
      <c r="AZ191" s="72">
        <v>0</v>
      </c>
      <c r="BA191" s="72">
        <v>0</v>
      </c>
      <c r="BB191" s="72">
        <v>0</v>
      </c>
      <c r="BC191" s="72">
        <v>0</v>
      </c>
      <c r="BD191" s="72">
        <v>0</v>
      </c>
      <c r="BE191" s="72">
        <v>0</v>
      </c>
      <c r="BF191" s="72">
        <v>0</v>
      </c>
      <c r="BG191" s="72">
        <v>0</v>
      </c>
      <c r="BH191" s="72">
        <v>0</v>
      </c>
      <c r="BI191" s="72">
        <v>0</v>
      </c>
      <c r="BJ191" s="72">
        <v>0</v>
      </c>
      <c r="BK191" s="72">
        <v>0</v>
      </c>
      <c r="BL191" s="72">
        <v>0</v>
      </c>
      <c r="BM191" s="72">
        <v>0</v>
      </c>
      <c r="BN191" s="72">
        <v>0</v>
      </c>
      <c r="BO191" s="72">
        <v>0</v>
      </c>
      <c r="BP191" s="72">
        <v>0</v>
      </c>
      <c r="BQ191" s="72">
        <v>0</v>
      </c>
      <c r="BR191" s="72">
        <v>0</v>
      </c>
      <c r="BS191" s="72">
        <v>0</v>
      </c>
      <c r="BT191" s="72">
        <v>0</v>
      </c>
      <c r="BU191" s="72">
        <v>0</v>
      </c>
      <c r="BV191" s="72">
        <v>0</v>
      </c>
      <c r="BW191" s="72">
        <v>0</v>
      </c>
      <c r="BX191" s="72">
        <v>0</v>
      </c>
      <c r="BY191" s="72">
        <v>0</v>
      </c>
      <c r="BZ191" s="72">
        <v>0</v>
      </c>
      <c r="CA191" s="72">
        <v>0</v>
      </c>
      <c r="CB191" s="72">
        <v>0</v>
      </c>
      <c r="CC191" s="72">
        <v>0</v>
      </c>
      <c r="CD191" s="72">
        <v>0</v>
      </c>
      <c r="CE191" s="72">
        <v>0</v>
      </c>
      <c r="CF191" s="72">
        <v>0</v>
      </c>
      <c r="CG191" s="72">
        <v>0</v>
      </c>
      <c r="CH191" s="72">
        <v>0</v>
      </c>
      <c r="CI191" s="72">
        <v>0</v>
      </c>
      <c r="CJ191" s="72">
        <v>0</v>
      </c>
      <c r="CK191" s="72">
        <v>0</v>
      </c>
      <c r="CL191" s="72">
        <v>0</v>
      </c>
      <c r="CM191" s="72">
        <v>0</v>
      </c>
      <c r="CN191" s="72">
        <v>0</v>
      </c>
      <c r="CO191" s="72">
        <v>0</v>
      </c>
      <c r="CP191" s="72">
        <v>0</v>
      </c>
      <c r="CQ191" s="72">
        <v>0</v>
      </c>
      <c r="CR191" s="72">
        <v>0</v>
      </c>
      <c r="CS191" s="72">
        <v>0</v>
      </c>
      <c r="CT191" s="72">
        <v>0</v>
      </c>
      <c r="CU191" s="72">
        <v>0</v>
      </c>
      <c r="CV191" s="72">
        <v>0</v>
      </c>
      <c r="CW191" s="72">
        <v>0</v>
      </c>
      <c r="CX191" s="72">
        <v>0</v>
      </c>
      <c r="CY191" s="72">
        <v>0</v>
      </c>
      <c r="CZ191" s="72">
        <v>0</v>
      </c>
      <c r="DA191" s="72">
        <v>0</v>
      </c>
      <c r="DB191" s="72">
        <v>0</v>
      </c>
      <c r="DC191" s="72">
        <v>0</v>
      </c>
      <c r="DD191" s="72">
        <v>0</v>
      </c>
      <c r="DE191" s="72">
        <v>0</v>
      </c>
      <c r="DF191" s="72">
        <v>0</v>
      </c>
      <c r="DG191" s="72">
        <v>0</v>
      </c>
      <c r="DH191" s="72">
        <v>0</v>
      </c>
      <c r="DI191" s="72">
        <v>0</v>
      </c>
      <c r="DJ191" s="72">
        <v>0</v>
      </c>
      <c r="DK191" s="72">
        <v>0</v>
      </c>
      <c r="DL191" s="72">
        <v>0</v>
      </c>
      <c r="DM191" s="72">
        <v>0</v>
      </c>
      <c r="DN191" s="72">
        <v>0</v>
      </c>
      <c r="DO191" s="72">
        <v>0</v>
      </c>
      <c r="DP191" s="72">
        <v>0</v>
      </c>
      <c r="DQ191" s="72">
        <v>0</v>
      </c>
      <c r="DR191" s="72">
        <v>0</v>
      </c>
      <c r="DS191" s="72">
        <v>0</v>
      </c>
      <c r="DT191" s="72">
        <v>0</v>
      </c>
      <c r="DU191" s="72">
        <v>0</v>
      </c>
      <c r="DV191" s="72">
        <v>0</v>
      </c>
      <c r="DW191" s="72">
        <v>0</v>
      </c>
      <c r="DX191" s="72">
        <v>0</v>
      </c>
      <c r="DY191" s="72">
        <v>0</v>
      </c>
      <c r="DZ191" s="72">
        <v>0</v>
      </c>
      <c r="EA191" s="72">
        <v>0</v>
      </c>
      <c r="EB191" s="72">
        <v>0</v>
      </c>
      <c r="EC191" s="72">
        <v>0</v>
      </c>
      <c r="ED191" s="72">
        <v>0</v>
      </c>
      <c r="EE191" s="72">
        <v>0</v>
      </c>
      <c r="EF191" s="72">
        <v>0</v>
      </c>
      <c r="EG191" s="72">
        <v>0</v>
      </c>
      <c r="EH191" s="72">
        <v>0</v>
      </c>
      <c r="EI191" s="72">
        <v>0</v>
      </c>
      <c r="EJ191" s="72">
        <v>0</v>
      </c>
      <c r="EK191" s="72">
        <v>0</v>
      </c>
      <c r="EL191" s="72">
        <v>0</v>
      </c>
      <c r="EM191" s="72">
        <v>0</v>
      </c>
      <c r="EN191" s="72">
        <v>0</v>
      </c>
      <c r="EO191" s="72">
        <v>0</v>
      </c>
      <c r="EP191" s="72">
        <v>0</v>
      </c>
      <c r="EQ191" s="72">
        <v>0</v>
      </c>
      <c r="ER191" s="72">
        <v>0</v>
      </c>
      <c r="ES191" s="72">
        <v>0</v>
      </c>
      <c r="ET191" s="72">
        <v>0</v>
      </c>
      <c r="EU191" s="72">
        <v>0</v>
      </c>
      <c r="EV191" s="72">
        <v>0</v>
      </c>
      <c r="EW191" s="72">
        <v>0</v>
      </c>
      <c r="EX191" s="72">
        <v>0</v>
      </c>
      <c r="EY191" s="72">
        <v>0</v>
      </c>
      <c r="EZ191" s="72">
        <v>0</v>
      </c>
      <c r="FA191" s="72">
        <v>0</v>
      </c>
      <c r="FB191" s="72">
        <v>0</v>
      </c>
      <c r="FC191" s="72">
        <v>0</v>
      </c>
      <c r="FD191" s="72">
        <v>0</v>
      </c>
      <c r="FE191" s="72">
        <v>0</v>
      </c>
      <c r="FF191" s="72">
        <v>0</v>
      </c>
      <c r="FG191" s="72">
        <v>0</v>
      </c>
      <c r="FH191" s="72">
        <v>0</v>
      </c>
      <c r="FI191" s="72">
        <v>0</v>
      </c>
      <c r="FJ191" s="72">
        <v>0</v>
      </c>
      <c r="FK191" s="72">
        <v>0</v>
      </c>
      <c r="FL191" s="72">
        <v>0</v>
      </c>
      <c r="FM191" s="72">
        <v>0</v>
      </c>
      <c r="FN191" s="72">
        <v>0</v>
      </c>
      <c r="FO191" s="72">
        <v>0</v>
      </c>
      <c r="FP191" s="77">
        <v>2183.2409292098305</v>
      </c>
      <c r="FQ191" s="77">
        <v>21997.479851930573</v>
      </c>
      <c r="FR191" s="77">
        <v>51415.467978423338</v>
      </c>
      <c r="FS191" s="77">
        <v>86085.405240015156</v>
      </c>
      <c r="FT191" s="77">
        <v>34769.974943360707</v>
      </c>
      <c r="FU191" s="77">
        <v>111868.23632941763</v>
      </c>
      <c r="FV191" s="72">
        <v>0</v>
      </c>
      <c r="FW191" s="72">
        <v>0</v>
      </c>
      <c r="FX191" s="72">
        <v>0</v>
      </c>
      <c r="FY191" s="72">
        <v>0</v>
      </c>
      <c r="FZ191" s="72">
        <v>0</v>
      </c>
      <c r="GA191" s="72">
        <v>0</v>
      </c>
      <c r="GB191" s="72">
        <v>0</v>
      </c>
      <c r="GC191" s="72">
        <v>0</v>
      </c>
      <c r="GD191" s="72">
        <v>0</v>
      </c>
      <c r="GE191" s="72">
        <v>0</v>
      </c>
      <c r="GF191" s="72">
        <v>0</v>
      </c>
      <c r="GG191" s="72">
        <v>0</v>
      </c>
      <c r="GH191" s="72">
        <v>0</v>
      </c>
      <c r="GI191" s="72">
        <v>0</v>
      </c>
      <c r="GJ191" s="77">
        <v>5288.412002088653</v>
      </c>
      <c r="GK191" s="72">
        <v>0</v>
      </c>
      <c r="GL191" s="72">
        <v>0</v>
      </c>
      <c r="GM191" s="72">
        <v>0</v>
      </c>
      <c r="GN191" s="72">
        <v>0</v>
      </c>
      <c r="GO191" s="72">
        <v>0</v>
      </c>
      <c r="GP191" s="72">
        <v>0</v>
      </c>
      <c r="GQ191" s="77">
        <v>4213.4344291395546</v>
      </c>
      <c r="GR191" s="72">
        <f t="shared" si="2"/>
        <v>317821.65170358546</v>
      </c>
      <c r="GS191" s="72">
        <f>SUM(GF$5:GF$202)</f>
        <v>317821.65170358546</v>
      </c>
      <c r="GT191" s="73">
        <v>0</v>
      </c>
    </row>
    <row r="192" spans="1:202" outlineLevel="1" x14ac:dyDescent="0.2">
      <c r="A192" s="78" t="s">
        <v>1560</v>
      </c>
      <c r="B192" s="72">
        <v>0</v>
      </c>
      <c r="C192" s="72">
        <v>0</v>
      </c>
      <c r="D192" s="72">
        <v>0</v>
      </c>
      <c r="E192" s="72">
        <v>0</v>
      </c>
      <c r="F192" s="72">
        <v>0</v>
      </c>
      <c r="G192" s="72">
        <v>0</v>
      </c>
      <c r="H192" s="72">
        <v>0</v>
      </c>
      <c r="I192" s="72">
        <v>0</v>
      </c>
      <c r="J192" s="72">
        <v>0</v>
      </c>
      <c r="K192" s="72">
        <v>0</v>
      </c>
      <c r="L192" s="72">
        <v>0</v>
      </c>
      <c r="M192" s="72">
        <v>0</v>
      </c>
      <c r="N192" s="72">
        <v>0</v>
      </c>
      <c r="O192" s="72">
        <v>0</v>
      </c>
      <c r="P192" s="72">
        <v>0</v>
      </c>
      <c r="Q192" s="72">
        <v>0</v>
      </c>
      <c r="R192" s="72">
        <v>0</v>
      </c>
      <c r="S192" s="72">
        <v>0</v>
      </c>
      <c r="T192" s="72">
        <v>0</v>
      </c>
      <c r="U192" s="72">
        <v>0</v>
      </c>
      <c r="V192" s="72">
        <v>0</v>
      </c>
      <c r="W192" s="72">
        <v>0</v>
      </c>
      <c r="X192" s="72">
        <v>0</v>
      </c>
      <c r="Y192" s="72">
        <v>0</v>
      </c>
      <c r="Z192" s="72">
        <v>0</v>
      </c>
      <c r="AA192" s="72">
        <v>0</v>
      </c>
      <c r="AB192" s="72">
        <v>0</v>
      </c>
      <c r="AC192" s="72">
        <v>0</v>
      </c>
      <c r="AD192" s="72">
        <v>0</v>
      </c>
      <c r="AE192" s="72">
        <v>0</v>
      </c>
      <c r="AF192" s="72">
        <v>0</v>
      </c>
      <c r="AG192" s="72">
        <v>0</v>
      </c>
      <c r="AH192" s="72">
        <v>0</v>
      </c>
      <c r="AI192" s="72">
        <v>0</v>
      </c>
      <c r="AJ192" s="72">
        <v>0</v>
      </c>
      <c r="AK192" s="72">
        <v>0</v>
      </c>
      <c r="AL192" s="72">
        <v>0</v>
      </c>
      <c r="AM192" s="72">
        <v>0</v>
      </c>
      <c r="AN192" s="72">
        <v>0</v>
      </c>
      <c r="AO192" s="72">
        <v>0</v>
      </c>
      <c r="AP192" s="72">
        <v>0</v>
      </c>
      <c r="AQ192" s="72">
        <v>0</v>
      </c>
      <c r="AR192" s="72">
        <v>0</v>
      </c>
      <c r="AS192" s="72">
        <v>0</v>
      </c>
      <c r="AT192" s="72">
        <v>0</v>
      </c>
      <c r="AU192" s="72">
        <v>0</v>
      </c>
      <c r="AV192" s="72">
        <v>0</v>
      </c>
      <c r="AW192" s="72">
        <v>0</v>
      </c>
      <c r="AX192" s="72">
        <v>0</v>
      </c>
      <c r="AY192" s="72">
        <v>0</v>
      </c>
      <c r="AZ192" s="72">
        <v>0</v>
      </c>
      <c r="BA192" s="72">
        <v>0</v>
      </c>
      <c r="BB192" s="72">
        <v>0</v>
      </c>
      <c r="BC192" s="72">
        <v>0</v>
      </c>
      <c r="BD192" s="72">
        <v>0</v>
      </c>
      <c r="BE192" s="72">
        <v>0</v>
      </c>
      <c r="BF192" s="72">
        <v>0</v>
      </c>
      <c r="BG192" s="72">
        <v>0</v>
      </c>
      <c r="BH192" s="72">
        <v>0</v>
      </c>
      <c r="BI192" s="72">
        <v>0</v>
      </c>
      <c r="BJ192" s="72">
        <v>0</v>
      </c>
      <c r="BK192" s="72">
        <v>0</v>
      </c>
      <c r="BL192" s="72">
        <v>0</v>
      </c>
      <c r="BM192" s="72">
        <v>0</v>
      </c>
      <c r="BN192" s="72">
        <v>0</v>
      </c>
      <c r="BO192" s="72">
        <v>0</v>
      </c>
      <c r="BP192" s="72">
        <v>0</v>
      </c>
      <c r="BQ192" s="72">
        <v>0</v>
      </c>
      <c r="BR192" s="72">
        <v>0</v>
      </c>
      <c r="BS192" s="72">
        <v>0</v>
      </c>
      <c r="BT192" s="72">
        <v>0</v>
      </c>
      <c r="BU192" s="72">
        <v>0</v>
      </c>
      <c r="BV192" s="72">
        <v>0</v>
      </c>
      <c r="BW192" s="72">
        <v>0</v>
      </c>
      <c r="BX192" s="72">
        <v>0</v>
      </c>
      <c r="BY192" s="72">
        <v>0</v>
      </c>
      <c r="BZ192" s="72">
        <v>0</v>
      </c>
      <c r="CA192" s="72">
        <v>0</v>
      </c>
      <c r="CB192" s="72">
        <v>0</v>
      </c>
      <c r="CC192" s="72">
        <v>0</v>
      </c>
      <c r="CD192" s="72">
        <v>0</v>
      </c>
      <c r="CE192" s="72">
        <v>0</v>
      </c>
      <c r="CF192" s="72">
        <v>0</v>
      </c>
      <c r="CG192" s="72">
        <v>0</v>
      </c>
      <c r="CH192" s="72">
        <v>0</v>
      </c>
      <c r="CI192" s="72">
        <v>0</v>
      </c>
      <c r="CJ192" s="72">
        <v>0</v>
      </c>
      <c r="CK192" s="72">
        <v>0</v>
      </c>
      <c r="CL192" s="72">
        <v>0</v>
      </c>
      <c r="CM192" s="72">
        <v>0</v>
      </c>
      <c r="CN192" s="72">
        <v>0</v>
      </c>
      <c r="CO192" s="72">
        <v>0</v>
      </c>
      <c r="CP192" s="72">
        <v>0</v>
      </c>
      <c r="CQ192" s="72">
        <v>0</v>
      </c>
      <c r="CR192" s="72">
        <v>0</v>
      </c>
      <c r="CS192" s="72">
        <v>0</v>
      </c>
      <c r="CT192" s="72">
        <v>0</v>
      </c>
      <c r="CU192" s="72">
        <v>0</v>
      </c>
      <c r="CV192" s="72">
        <v>0</v>
      </c>
      <c r="CW192" s="72">
        <v>0</v>
      </c>
      <c r="CX192" s="72">
        <v>0</v>
      </c>
      <c r="CY192" s="72">
        <v>0</v>
      </c>
      <c r="CZ192" s="72">
        <v>0</v>
      </c>
      <c r="DA192" s="72">
        <v>0</v>
      </c>
      <c r="DB192" s="72">
        <v>0</v>
      </c>
      <c r="DC192" s="72">
        <v>0</v>
      </c>
      <c r="DD192" s="72">
        <v>0</v>
      </c>
      <c r="DE192" s="72">
        <v>0</v>
      </c>
      <c r="DF192" s="72">
        <v>0</v>
      </c>
      <c r="DG192" s="72">
        <v>0</v>
      </c>
      <c r="DH192" s="72">
        <v>0</v>
      </c>
      <c r="DI192" s="72">
        <v>0</v>
      </c>
      <c r="DJ192" s="72">
        <v>0</v>
      </c>
      <c r="DK192" s="72">
        <v>0</v>
      </c>
      <c r="DL192" s="72">
        <v>0</v>
      </c>
      <c r="DM192" s="72">
        <v>0</v>
      </c>
      <c r="DN192" s="72">
        <v>0</v>
      </c>
      <c r="DO192" s="72">
        <v>0</v>
      </c>
      <c r="DP192" s="72">
        <v>0</v>
      </c>
      <c r="DQ192" s="72">
        <v>0</v>
      </c>
      <c r="DR192" s="72">
        <v>0</v>
      </c>
      <c r="DS192" s="72">
        <v>0</v>
      </c>
      <c r="DT192" s="72">
        <v>0</v>
      </c>
      <c r="DU192" s="72">
        <v>0</v>
      </c>
      <c r="DV192" s="72">
        <v>0</v>
      </c>
      <c r="DW192" s="72">
        <v>0</v>
      </c>
      <c r="DX192" s="72">
        <v>0</v>
      </c>
      <c r="DY192" s="72">
        <v>0</v>
      </c>
      <c r="DZ192" s="72">
        <v>0</v>
      </c>
      <c r="EA192" s="72">
        <v>0</v>
      </c>
      <c r="EB192" s="72">
        <v>0</v>
      </c>
      <c r="EC192" s="72">
        <v>0</v>
      </c>
      <c r="ED192" s="72">
        <v>0</v>
      </c>
      <c r="EE192" s="72">
        <v>0</v>
      </c>
      <c r="EF192" s="72">
        <v>0</v>
      </c>
      <c r="EG192" s="72">
        <v>0</v>
      </c>
      <c r="EH192" s="72">
        <v>0</v>
      </c>
      <c r="EI192" s="72">
        <v>0</v>
      </c>
      <c r="EJ192" s="72">
        <v>0</v>
      </c>
      <c r="EK192" s="72">
        <v>0</v>
      </c>
      <c r="EL192" s="72">
        <v>0</v>
      </c>
      <c r="EM192" s="72">
        <v>0</v>
      </c>
      <c r="EN192" s="72">
        <v>0</v>
      </c>
      <c r="EO192" s="72">
        <v>0</v>
      </c>
      <c r="EP192" s="72">
        <v>0</v>
      </c>
      <c r="EQ192" s="72">
        <v>0</v>
      </c>
      <c r="ER192" s="72">
        <v>0</v>
      </c>
      <c r="ES192" s="72">
        <v>0</v>
      </c>
      <c r="ET192" s="72">
        <v>0</v>
      </c>
      <c r="EU192" s="72">
        <v>0</v>
      </c>
      <c r="EV192" s="72">
        <v>0</v>
      </c>
      <c r="EW192" s="72">
        <v>0</v>
      </c>
      <c r="EX192" s="72">
        <v>0</v>
      </c>
      <c r="EY192" s="72">
        <v>0</v>
      </c>
      <c r="EZ192" s="72">
        <v>0</v>
      </c>
      <c r="FA192" s="72">
        <v>0</v>
      </c>
      <c r="FB192" s="72">
        <v>0</v>
      </c>
      <c r="FC192" s="72">
        <v>0</v>
      </c>
      <c r="FD192" s="72">
        <v>0</v>
      </c>
      <c r="FE192" s="72">
        <v>0</v>
      </c>
      <c r="FF192" s="72">
        <v>0</v>
      </c>
      <c r="FG192" s="72">
        <v>0</v>
      </c>
      <c r="FH192" s="72">
        <v>0</v>
      </c>
      <c r="FI192" s="72">
        <v>0</v>
      </c>
      <c r="FJ192" s="72">
        <v>0</v>
      </c>
      <c r="FK192" s="72">
        <v>0</v>
      </c>
      <c r="FL192" s="72">
        <v>0</v>
      </c>
      <c r="FM192" s="72">
        <v>0</v>
      </c>
      <c r="FN192" s="72">
        <v>0</v>
      </c>
      <c r="FO192" s="72">
        <v>0</v>
      </c>
      <c r="FP192" s="77">
        <v>18613.271409909154</v>
      </c>
      <c r="FQ192" s="77">
        <v>10630.287098632443</v>
      </c>
      <c r="FR192" s="77">
        <v>55553.335189712321</v>
      </c>
      <c r="FS192" s="77">
        <v>148414.14923245888</v>
      </c>
      <c r="FT192" s="77">
        <v>56421.236256314471</v>
      </c>
      <c r="FU192" s="77">
        <v>97361.602935296178</v>
      </c>
      <c r="FV192" s="72">
        <v>0</v>
      </c>
      <c r="FW192" s="72">
        <v>0</v>
      </c>
      <c r="FX192" s="72">
        <v>0</v>
      </c>
      <c r="FY192" s="72">
        <v>0</v>
      </c>
      <c r="FZ192" s="72">
        <v>0</v>
      </c>
      <c r="GA192" s="72">
        <v>0</v>
      </c>
      <c r="GB192" s="72">
        <v>0</v>
      </c>
      <c r="GC192" s="72">
        <v>0</v>
      </c>
      <c r="GD192" s="72">
        <v>0</v>
      </c>
      <c r="GE192" s="72">
        <v>0</v>
      </c>
      <c r="GF192" s="72">
        <v>0</v>
      </c>
      <c r="GG192" s="72">
        <v>0</v>
      </c>
      <c r="GH192" s="72">
        <v>0</v>
      </c>
      <c r="GI192" s="72">
        <v>0</v>
      </c>
      <c r="GJ192" s="77">
        <v>6366.2045311755701</v>
      </c>
      <c r="GK192" s="72">
        <v>0</v>
      </c>
      <c r="GL192" s="72">
        <v>0</v>
      </c>
      <c r="GM192" s="72">
        <v>0</v>
      </c>
      <c r="GN192" s="72">
        <v>0</v>
      </c>
      <c r="GO192" s="72">
        <v>0</v>
      </c>
      <c r="GP192" s="72">
        <v>0</v>
      </c>
      <c r="GQ192" s="77">
        <v>3667.0528055506234</v>
      </c>
      <c r="GR192" s="72">
        <f t="shared" si="2"/>
        <v>397027.13945904962</v>
      </c>
      <c r="GS192" s="72">
        <f>SUM(GG$5:GG$202)</f>
        <v>397027.13945904962</v>
      </c>
      <c r="GT192" s="73">
        <v>0</v>
      </c>
    </row>
    <row r="193" spans="1:202" outlineLevel="1" x14ac:dyDescent="0.2">
      <c r="A193" s="78" t="s">
        <v>1561</v>
      </c>
      <c r="B193" s="72">
        <v>0</v>
      </c>
      <c r="C193" s="72">
        <v>0</v>
      </c>
      <c r="D193" s="72">
        <v>0</v>
      </c>
      <c r="E193" s="72">
        <v>0</v>
      </c>
      <c r="F193" s="72">
        <v>0</v>
      </c>
      <c r="G193" s="72">
        <v>0</v>
      </c>
      <c r="H193" s="72">
        <v>0</v>
      </c>
      <c r="I193" s="72">
        <v>0</v>
      </c>
      <c r="J193" s="72">
        <v>0</v>
      </c>
      <c r="K193" s="72">
        <v>0</v>
      </c>
      <c r="L193" s="72">
        <v>0</v>
      </c>
      <c r="M193" s="72">
        <v>0</v>
      </c>
      <c r="N193" s="72">
        <v>0</v>
      </c>
      <c r="O193" s="72">
        <v>0</v>
      </c>
      <c r="P193" s="72">
        <v>0</v>
      </c>
      <c r="Q193" s="72">
        <v>0</v>
      </c>
      <c r="R193" s="72">
        <v>0</v>
      </c>
      <c r="S193" s="72">
        <v>0</v>
      </c>
      <c r="T193" s="72">
        <v>0</v>
      </c>
      <c r="U193" s="72">
        <v>0</v>
      </c>
      <c r="V193" s="72">
        <v>0</v>
      </c>
      <c r="W193" s="72">
        <v>0</v>
      </c>
      <c r="X193" s="72">
        <v>0</v>
      </c>
      <c r="Y193" s="72">
        <v>0</v>
      </c>
      <c r="Z193" s="72">
        <v>0</v>
      </c>
      <c r="AA193" s="72">
        <v>0</v>
      </c>
      <c r="AB193" s="72">
        <v>0</v>
      </c>
      <c r="AC193" s="72">
        <v>0</v>
      </c>
      <c r="AD193" s="72">
        <v>0</v>
      </c>
      <c r="AE193" s="72">
        <v>0</v>
      </c>
      <c r="AF193" s="72">
        <v>0</v>
      </c>
      <c r="AG193" s="72">
        <v>0</v>
      </c>
      <c r="AH193" s="72">
        <v>0</v>
      </c>
      <c r="AI193" s="72">
        <v>0</v>
      </c>
      <c r="AJ193" s="72">
        <v>0</v>
      </c>
      <c r="AK193" s="72">
        <v>0</v>
      </c>
      <c r="AL193" s="72">
        <v>0</v>
      </c>
      <c r="AM193" s="72">
        <v>0</v>
      </c>
      <c r="AN193" s="72">
        <v>0</v>
      </c>
      <c r="AO193" s="72">
        <v>0</v>
      </c>
      <c r="AP193" s="72">
        <v>0</v>
      </c>
      <c r="AQ193" s="72">
        <v>0</v>
      </c>
      <c r="AR193" s="72">
        <v>0</v>
      </c>
      <c r="AS193" s="72">
        <v>0</v>
      </c>
      <c r="AT193" s="72">
        <v>0</v>
      </c>
      <c r="AU193" s="72">
        <v>0</v>
      </c>
      <c r="AV193" s="72">
        <v>0</v>
      </c>
      <c r="AW193" s="72">
        <v>0</v>
      </c>
      <c r="AX193" s="72">
        <v>0</v>
      </c>
      <c r="AY193" s="72">
        <v>0</v>
      </c>
      <c r="AZ193" s="72">
        <v>0</v>
      </c>
      <c r="BA193" s="72">
        <v>0</v>
      </c>
      <c r="BB193" s="72">
        <v>0</v>
      </c>
      <c r="BC193" s="72">
        <v>0</v>
      </c>
      <c r="BD193" s="72">
        <v>0</v>
      </c>
      <c r="BE193" s="72">
        <v>0</v>
      </c>
      <c r="BF193" s="72">
        <v>0</v>
      </c>
      <c r="BG193" s="72">
        <v>0</v>
      </c>
      <c r="BH193" s="72">
        <v>0</v>
      </c>
      <c r="BI193" s="72">
        <v>0</v>
      </c>
      <c r="BJ193" s="72">
        <v>0</v>
      </c>
      <c r="BK193" s="72">
        <v>0</v>
      </c>
      <c r="BL193" s="72">
        <v>0</v>
      </c>
      <c r="BM193" s="72">
        <v>0</v>
      </c>
      <c r="BN193" s="72">
        <v>0</v>
      </c>
      <c r="BO193" s="72">
        <v>0</v>
      </c>
      <c r="BP193" s="72">
        <v>0</v>
      </c>
      <c r="BQ193" s="72">
        <v>0</v>
      </c>
      <c r="BR193" s="72">
        <v>0</v>
      </c>
      <c r="BS193" s="72">
        <v>0</v>
      </c>
      <c r="BT193" s="72">
        <v>0</v>
      </c>
      <c r="BU193" s="72">
        <v>0</v>
      </c>
      <c r="BV193" s="72">
        <v>0</v>
      </c>
      <c r="BW193" s="72">
        <v>0</v>
      </c>
      <c r="BX193" s="72">
        <v>0</v>
      </c>
      <c r="BY193" s="72">
        <v>0</v>
      </c>
      <c r="BZ193" s="72">
        <v>0</v>
      </c>
      <c r="CA193" s="72">
        <v>0</v>
      </c>
      <c r="CB193" s="72">
        <v>0</v>
      </c>
      <c r="CC193" s="72">
        <v>0</v>
      </c>
      <c r="CD193" s="72">
        <v>0</v>
      </c>
      <c r="CE193" s="72">
        <v>0</v>
      </c>
      <c r="CF193" s="72">
        <v>0</v>
      </c>
      <c r="CG193" s="72">
        <v>0</v>
      </c>
      <c r="CH193" s="72">
        <v>0</v>
      </c>
      <c r="CI193" s="72">
        <v>0</v>
      </c>
      <c r="CJ193" s="72">
        <v>0</v>
      </c>
      <c r="CK193" s="72">
        <v>0</v>
      </c>
      <c r="CL193" s="72">
        <v>0</v>
      </c>
      <c r="CM193" s="72">
        <v>0</v>
      </c>
      <c r="CN193" s="72">
        <v>0</v>
      </c>
      <c r="CO193" s="72">
        <v>0</v>
      </c>
      <c r="CP193" s="72">
        <v>0</v>
      </c>
      <c r="CQ193" s="72">
        <v>0</v>
      </c>
      <c r="CR193" s="72">
        <v>0</v>
      </c>
      <c r="CS193" s="72">
        <v>0</v>
      </c>
      <c r="CT193" s="72">
        <v>0</v>
      </c>
      <c r="CU193" s="72">
        <v>0</v>
      </c>
      <c r="CV193" s="72">
        <v>0</v>
      </c>
      <c r="CW193" s="72">
        <v>0</v>
      </c>
      <c r="CX193" s="72">
        <v>0</v>
      </c>
      <c r="CY193" s="72">
        <v>0</v>
      </c>
      <c r="CZ193" s="72">
        <v>0</v>
      </c>
      <c r="DA193" s="72">
        <v>0</v>
      </c>
      <c r="DB193" s="72">
        <v>0</v>
      </c>
      <c r="DC193" s="72">
        <v>0</v>
      </c>
      <c r="DD193" s="72">
        <v>0</v>
      </c>
      <c r="DE193" s="72">
        <v>0</v>
      </c>
      <c r="DF193" s="72">
        <v>0</v>
      </c>
      <c r="DG193" s="72">
        <v>0</v>
      </c>
      <c r="DH193" s="72">
        <v>0</v>
      </c>
      <c r="DI193" s="72">
        <v>0</v>
      </c>
      <c r="DJ193" s="72">
        <v>0</v>
      </c>
      <c r="DK193" s="72">
        <v>0</v>
      </c>
      <c r="DL193" s="72">
        <v>0</v>
      </c>
      <c r="DM193" s="72">
        <v>0</v>
      </c>
      <c r="DN193" s="72">
        <v>0</v>
      </c>
      <c r="DO193" s="72">
        <v>0</v>
      </c>
      <c r="DP193" s="72">
        <v>0</v>
      </c>
      <c r="DQ193" s="72">
        <v>0</v>
      </c>
      <c r="DR193" s="72">
        <v>0</v>
      </c>
      <c r="DS193" s="72">
        <v>0</v>
      </c>
      <c r="DT193" s="72">
        <v>0</v>
      </c>
      <c r="DU193" s="72">
        <v>0</v>
      </c>
      <c r="DV193" s="72">
        <v>0</v>
      </c>
      <c r="DW193" s="72">
        <v>0</v>
      </c>
      <c r="DX193" s="72">
        <v>0</v>
      </c>
      <c r="DY193" s="72">
        <v>0</v>
      </c>
      <c r="DZ193" s="72">
        <v>0</v>
      </c>
      <c r="EA193" s="72">
        <v>0</v>
      </c>
      <c r="EB193" s="72">
        <v>0</v>
      </c>
      <c r="EC193" s="72">
        <v>0</v>
      </c>
      <c r="ED193" s="72">
        <v>0</v>
      </c>
      <c r="EE193" s="72">
        <v>0</v>
      </c>
      <c r="EF193" s="72">
        <v>0</v>
      </c>
      <c r="EG193" s="72">
        <v>0</v>
      </c>
      <c r="EH193" s="72">
        <v>0</v>
      </c>
      <c r="EI193" s="72">
        <v>0</v>
      </c>
      <c r="EJ193" s="72">
        <v>0</v>
      </c>
      <c r="EK193" s="72">
        <v>0</v>
      </c>
      <c r="EL193" s="72">
        <v>0</v>
      </c>
      <c r="EM193" s="72">
        <v>0</v>
      </c>
      <c r="EN193" s="72">
        <v>0</v>
      </c>
      <c r="EO193" s="72">
        <v>0</v>
      </c>
      <c r="EP193" s="72">
        <v>0</v>
      </c>
      <c r="EQ193" s="72">
        <v>0</v>
      </c>
      <c r="ER193" s="72">
        <v>0</v>
      </c>
      <c r="ES193" s="72">
        <v>0</v>
      </c>
      <c r="ET193" s="72">
        <v>0</v>
      </c>
      <c r="EU193" s="72">
        <v>0</v>
      </c>
      <c r="EV193" s="72">
        <v>0</v>
      </c>
      <c r="EW193" s="72">
        <v>0</v>
      </c>
      <c r="EX193" s="72">
        <v>0</v>
      </c>
      <c r="EY193" s="72">
        <v>0</v>
      </c>
      <c r="EZ193" s="72">
        <v>0</v>
      </c>
      <c r="FA193" s="72">
        <v>0</v>
      </c>
      <c r="FB193" s="72">
        <v>0</v>
      </c>
      <c r="FC193" s="72">
        <v>0</v>
      </c>
      <c r="FD193" s="72">
        <v>0</v>
      </c>
      <c r="FE193" s="72">
        <v>0</v>
      </c>
      <c r="FF193" s="72">
        <v>0</v>
      </c>
      <c r="FG193" s="72">
        <v>0</v>
      </c>
      <c r="FH193" s="72">
        <v>0</v>
      </c>
      <c r="FI193" s="72">
        <v>0</v>
      </c>
      <c r="FJ193" s="72">
        <v>0</v>
      </c>
      <c r="FK193" s="72">
        <v>0</v>
      </c>
      <c r="FL193" s="72">
        <v>0</v>
      </c>
      <c r="FM193" s="72">
        <v>0</v>
      </c>
      <c r="FN193" s="72">
        <v>0</v>
      </c>
      <c r="FO193" s="72">
        <v>0</v>
      </c>
      <c r="FP193" s="77">
        <v>6137.8894907687636</v>
      </c>
      <c r="FQ193" s="77">
        <v>12719.732838881802</v>
      </c>
      <c r="FR193" s="77">
        <v>49279.559085741006</v>
      </c>
      <c r="FS193" s="77">
        <v>201382.61058753484</v>
      </c>
      <c r="FT193" s="77">
        <v>48672.682522314601</v>
      </c>
      <c r="FU193" s="77">
        <v>182628.12934807321</v>
      </c>
      <c r="FV193" s="72">
        <v>0</v>
      </c>
      <c r="FW193" s="72">
        <v>0</v>
      </c>
      <c r="FX193" s="72">
        <v>0</v>
      </c>
      <c r="FY193" s="72">
        <v>0</v>
      </c>
      <c r="FZ193" s="72">
        <v>0</v>
      </c>
      <c r="GA193" s="72">
        <v>0</v>
      </c>
      <c r="GB193" s="72">
        <v>0</v>
      </c>
      <c r="GC193" s="72">
        <v>0</v>
      </c>
      <c r="GD193" s="72">
        <v>0</v>
      </c>
      <c r="GE193" s="72">
        <v>0</v>
      </c>
      <c r="GF193" s="72">
        <v>0</v>
      </c>
      <c r="GG193" s="72">
        <v>0</v>
      </c>
      <c r="GH193" s="72">
        <v>0</v>
      </c>
      <c r="GI193" s="72">
        <v>0</v>
      </c>
      <c r="GJ193" s="77">
        <v>4521.6731214162837</v>
      </c>
      <c r="GK193" s="72">
        <v>0</v>
      </c>
      <c r="GL193" s="72">
        <v>0</v>
      </c>
      <c r="GM193" s="72">
        <v>0</v>
      </c>
      <c r="GN193" s="72">
        <v>0</v>
      </c>
      <c r="GO193" s="72">
        <v>0</v>
      </c>
      <c r="GP193" s="72">
        <v>0</v>
      </c>
      <c r="GQ193" s="77">
        <v>6878.5534944754727</v>
      </c>
      <c r="GR193" s="72">
        <f t="shared" si="2"/>
        <v>512220.83048920601</v>
      </c>
      <c r="GS193" s="72">
        <f>SUM(GH$5:GH$202)</f>
        <v>512220.83048920601</v>
      </c>
      <c r="GT193" s="73">
        <v>0</v>
      </c>
    </row>
    <row r="194" spans="1:202" x14ac:dyDescent="0.2">
      <c r="A194" s="78" t="s">
        <v>1562</v>
      </c>
      <c r="B194" s="72">
        <v>0</v>
      </c>
      <c r="C194" s="72">
        <v>0</v>
      </c>
      <c r="D194" s="72">
        <v>0</v>
      </c>
      <c r="E194" s="72">
        <v>0</v>
      </c>
      <c r="F194" s="72">
        <v>0</v>
      </c>
      <c r="G194" s="72">
        <v>0</v>
      </c>
      <c r="H194" s="72">
        <v>0</v>
      </c>
      <c r="I194" s="72">
        <v>0</v>
      </c>
      <c r="J194" s="72">
        <v>0</v>
      </c>
      <c r="K194" s="72">
        <v>0</v>
      </c>
      <c r="L194" s="72">
        <v>0</v>
      </c>
      <c r="M194" s="72">
        <v>0</v>
      </c>
      <c r="N194" s="72">
        <v>0</v>
      </c>
      <c r="O194" s="72">
        <v>0</v>
      </c>
      <c r="P194" s="72">
        <v>0</v>
      </c>
      <c r="Q194" s="72">
        <v>0</v>
      </c>
      <c r="R194" s="72">
        <v>0</v>
      </c>
      <c r="S194" s="72">
        <v>0</v>
      </c>
      <c r="T194" s="72">
        <v>0</v>
      </c>
      <c r="U194" s="72">
        <v>0</v>
      </c>
      <c r="V194" s="72">
        <v>0</v>
      </c>
      <c r="W194" s="72">
        <v>0</v>
      </c>
      <c r="X194" s="72">
        <v>0</v>
      </c>
      <c r="Y194" s="72">
        <v>0</v>
      </c>
      <c r="Z194" s="72">
        <v>0</v>
      </c>
      <c r="AA194" s="72">
        <v>0</v>
      </c>
      <c r="AB194" s="72">
        <v>0</v>
      </c>
      <c r="AC194" s="72">
        <v>0</v>
      </c>
      <c r="AD194" s="72">
        <v>0</v>
      </c>
      <c r="AE194" s="72">
        <v>0</v>
      </c>
      <c r="AF194" s="72">
        <v>0</v>
      </c>
      <c r="AG194" s="72">
        <v>0</v>
      </c>
      <c r="AH194" s="72">
        <v>0</v>
      </c>
      <c r="AI194" s="72">
        <v>0</v>
      </c>
      <c r="AJ194" s="72">
        <v>0</v>
      </c>
      <c r="AK194" s="72">
        <v>0</v>
      </c>
      <c r="AL194" s="72">
        <v>0</v>
      </c>
      <c r="AM194" s="72">
        <v>0</v>
      </c>
      <c r="AN194" s="72">
        <v>0</v>
      </c>
      <c r="AO194" s="72">
        <v>0</v>
      </c>
      <c r="AP194" s="72">
        <v>0</v>
      </c>
      <c r="AQ194" s="72">
        <v>0</v>
      </c>
      <c r="AR194" s="72">
        <v>0</v>
      </c>
      <c r="AS194" s="72">
        <v>0</v>
      </c>
      <c r="AT194" s="72">
        <v>0</v>
      </c>
      <c r="AU194" s="72">
        <v>0</v>
      </c>
      <c r="AV194" s="72">
        <v>0</v>
      </c>
      <c r="AW194" s="72">
        <v>0</v>
      </c>
      <c r="AX194" s="72">
        <v>0</v>
      </c>
      <c r="AY194" s="72">
        <v>0</v>
      </c>
      <c r="AZ194" s="72">
        <v>0</v>
      </c>
      <c r="BA194" s="72">
        <v>0</v>
      </c>
      <c r="BB194" s="72">
        <v>0</v>
      </c>
      <c r="BC194" s="72">
        <v>0</v>
      </c>
      <c r="BD194" s="72">
        <v>0</v>
      </c>
      <c r="BE194" s="72">
        <v>0</v>
      </c>
      <c r="BF194" s="72">
        <v>0</v>
      </c>
      <c r="BG194" s="72">
        <v>0</v>
      </c>
      <c r="BH194" s="72">
        <v>0</v>
      </c>
      <c r="BI194" s="72">
        <v>0</v>
      </c>
      <c r="BJ194" s="72">
        <v>0</v>
      </c>
      <c r="BK194" s="72">
        <v>0</v>
      </c>
      <c r="BL194" s="72">
        <v>0</v>
      </c>
      <c r="BM194" s="72">
        <v>0</v>
      </c>
      <c r="BN194" s="72">
        <v>0</v>
      </c>
      <c r="BO194" s="72">
        <v>0</v>
      </c>
      <c r="BP194" s="72">
        <v>0</v>
      </c>
      <c r="BQ194" s="72">
        <v>0</v>
      </c>
      <c r="BR194" s="72">
        <v>0</v>
      </c>
      <c r="BS194" s="72">
        <v>0</v>
      </c>
      <c r="BT194" s="72">
        <v>0</v>
      </c>
      <c r="BU194" s="72">
        <v>0</v>
      </c>
      <c r="BV194" s="72">
        <v>0</v>
      </c>
      <c r="BW194" s="72">
        <v>0</v>
      </c>
      <c r="BX194" s="72">
        <v>0</v>
      </c>
      <c r="BY194" s="72">
        <v>0</v>
      </c>
      <c r="BZ194" s="72">
        <v>0</v>
      </c>
      <c r="CA194" s="72">
        <v>0</v>
      </c>
      <c r="CB194" s="72">
        <v>0</v>
      </c>
      <c r="CC194" s="72">
        <v>0</v>
      </c>
      <c r="CD194" s="72">
        <v>0</v>
      </c>
      <c r="CE194" s="72">
        <v>0</v>
      </c>
      <c r="CF194" s="72">
        <v>0</v>
      </c>
      <c r="CG194" s="72">
        <v>0</v>
      </c>
      <c r="CH194" s="72">
        <v>0</v>
      </c>
      <c r="CI194" s="72">
        <v>0</v>
      </c>
      <c r="CJ194" s="72">
        <v>0</v>
      </c>
      <c r="CK194" s="72">
        <v>0</v>
      </c>
      <c r="CL194" s="72">
        <v>0</v>
      </c>
      <c r="CM194" s="72">
        <v>0</v>
      </c>
      <c r="CN194" s="72">
        <v>0</v>
      </c>
      <c r="CO194" s="72">
        <v>0</v>
      </c>
      <c r="CP194" s="72">
        <v>0</v>
      </c>
      <c r="CQ194" s="72">
        <v>0</v>
      </c>
      <c r="CR194" s="72">
        <v>0</v>
      </c>
      <c r="CS194" s="72">
        <v>0</v>
      </c>
      <c r="CT194" s="72">
        <v>0</v>
      </c>
      <c r="CU194" s="72">
        <v>0</v>
      </c>
      <c r="CV194" s="72">
        <v>0</v>
      </c>
      <c r="CW194" s="72">
        <v>0</v>
      </c>
      <c r="CX194" s="72">
        <v>0</v>
      </c>
      <c r="CY194" s="72">
        <v>0</v>
      </c>
      <c r="CZ194" s="72">
        <v>0</v>
      </c>
      <c r="DA194" s="72">
        <v>0</v>
      </c>
      <c r="DB194" s="72">
        <v>0</v>
      </c>
      <c r="DC194" s="72">
        <v>0</v>
      </c>
      <c r="DD194" s="72">
        <v>0</v>
      </c>
      <c r="DE194" s="72">
        <v>0</v>
      </c>
      <c r="DF194" s="72">
        <v>0</v>
      </c>
      <c r="DG194" s="72">
        <v>0</v>
      </c>
      <c r="DH194" s="72">
        <v>0</v>
      </c>
      <c r="DI194" s="72">
        <v>0</v>
      </c>
      <c r="DJ194" s="72">
        <v>0</v>
      </c>
      <c r="DK194" s="72">
        <v>0</v>
      </c>
      <c r="DL194" s="72">
        <v>0</v>
      </c>
      <c r="DM194" s="72">
        <v>0</v>
      </c>
      <c r="DN194" s="72">
        <v>0</v>
      </c>
      <c r="DO194" s="72">
        <v>0</v>
      </c>
      <c r="DP194" s="72">
        <v>0</v>
      </c>
      <c r="DQ194" s="72">
        <v>0</v>
      </c>
      <c r="DR194" s="72">
        <v>0</v>
      </c>
      <c r="DS194" s="72">
        <v>0</v>
      </c>
      <c r="DT194" s="72">
        <v>0</v>
      </c>
      <c r="DU194" s="72">
        <v>0</v>
      </c>
      <c r="DV194" s="72">
        <v>0</v>
      </c>
      <c r="DW194" s="72">
        <v>0</v>
      </c>
      <c r="DX194" s="72">
        <v>0</v>
      </c>
      <c r="DY194" s="72">
        <v>0</v>
      </c>
      <c r="DZ194" s="72">
        <v>0</v>
      </c>
      <c r="EA194" s="72">
        <v>0</v>
      </c>
      <c r="EB194" s="72">
        <v>0</v>
      </c>
      <c r="EC194" s="72">
        <v>0</v>
      </c>
      <c r="ED194" s="72">
        <v>0</v>
      </c>
      <c r="EE194" s="72">
        <v>0</v>
      </c>
      <c r="EF194" s="72">
        <v>0</v>
      </c>
      <c r="EG194" s="72">
        <v>0</v>
      </c>
      <c r="EH194" s="72">
        <v>0</v>
      </c>
      <c r="EI194" s="72">
        <v>0</v>
      </c>
      <c r="EJ194" s="72">
        <v>0</v>
      </c>
      <c r="EK194" s="72">
        <v>0</v>
      </c>
      <c r="EL194" s="72">
        <v>0</v>
      </c>
      <c r="EM194" s="72">
        <v>0</v>
      </c>
      <c r="EN194" s="72">
        <v>0</v>
      </c>
      <c r="EO194" s="72">
        <v>0</v>
      </c>
      <c r="EP194" s="72">
        <v>0</v>
      </c>
      <c r="EQ194" s="72">
        <v>0</v>
      </c>
      <c r="ER194" s="72">
        <v>0</v>
      </c>
      <c r="ES194" s="72">
        <v>0</v>
      </c>
      <c r="ET194" s="72">
        <v>0</v>
      </c>
      <c r="EU194" s="72">
        <v>0</v>
      </c>
      <c r="EV194" s="72">
        <v>0</v>
      </c>
      <c r="EW194" s="72">
        <v>0</v>
      </c>
      <c r="EX194" s="72">
        <v>0</v>
      </c>
      <c r="EY194" s="72">
        <v>0</v>
      </c>
      <c r="EZ194" s="72">
        <v>0</v>
      </c>
      <c r="FA194" s="72">
        <v>0</v>
      </c>
      <c r="FB194" s="72">
        <v>0</v>
      </c>
      <c r="FC194" s="72">
        <v>0</v>
      </c>
      <c r="FD194" s="72">
        <v>0</v>
      </c>
      <c r="FE194" s="72">
        <v>0</v>
      </c>
      <c r="FF194" s="72">
        <v>0</v>
      </c>
      <c r="FG194" s="72">
        <v>0</v>
      </c>
      <c r="FH194" s="72">
        <v>0</v>
      </c>
      <c r="FI194" s="72">
        <v>0</v>
      </c>
      <c r="FJ194" s="72">
        <v>0</v>
      </c>
      <c r="FK194" s="72">
        <v>0</v>
      </c>
      <c r="FL194" s="72">
        <v>0</v>
      </c>
      <c r="FM194" s="72">
        <v>0</v>
      </c>
      <c r="FN194" s="72">
        <v>0</v>
      </c>
      <c r="FO194" s="72">
        <v>0</v>
      </c>
      <c r="FP194" s="77">
        <v>2456.4715961107136</v>
      </c>
      <c r="FQ194" s="77">
        <v>3406.9911739532317</v>
      </c>
      <c r="FR194" s="77">
        <v>67666.213831506742</v>
      </c>
      <c r="FS194" s="77">
        <v>346845.83357491257</v>
      </c>
      <c r="FT194" s="77">
        <v>115512.60544230277</v>
      </c>
      <c r="FU194" s="77">
        <v>341767.04383505712</v>
      </c>
      <c r="FV194" s="72">
        <v>0</v>
      </c>
      <c r="FW194" s="72">
        <v>0</v>
      </c>
      <c r="FX194" s="72">
        <v>0</v>
      </c>
      <c r="FY194" s="72">
        <v>0</v>
      </c>
      <c r="FZ194" s="72">
        <v>0</v>
      </c>
      <c r="GA194" s="72">
        <v>0</v>
      </c>
      <c r="GB194" s="72">
        <v>0</v>
      </c>
      <c r="GC194" s="72">
        <v>0</v>
      </c>
      <c r="GD194" s="72">
        <v>0</v>
      </c>
      <c r="GE194" s="72">
        <v>0</v>
      </c>
      <c r="GF194" s="72">
        <v>0</v>
      </c>
      <c r="GG194" s="72">
        <v>0</v>
      </c>
      <c r="GH194" s="72">
        <v>0</v>
      </c>
      <c r="GI194" s="72">
        <v>0</v>
      </c>
      <c r="GJ194" s="77">
        <v>1639.6188142822582</v>
      </c>
      <c r="GK194" s="72">
        <v>0</v>
      </c>
      <c r="GL194" s="72">
        <v>0</v>
      </c>
      <c r="GM194" s="72">
        <v>0</v>
      </c>
      <c r="GN194" s="72">
        <v>0</v>
      </c>
      <c r="GO194" s="72">
        <v>0</v>
      </c>
      <c r="GP194" s="72">
        <v>0</v>
      </c>
      <c r="GQ194" s="77">
        <v>12872.403074269243</v>
      </c>
      <c r="GR194" s="72">
        <f t="shared" si="2"/>
        <v>892167.18134239479</v>
      </c>
      <c r="GS194" s="72">
        <f>SUM(GI$5:GI$202)</f>
        <v>892167.18134239479</v>
      </c>
      <c r="GT194" s="73">
        <v>0</v>
      </c>
    </row>
    <row r="195" spans="1:202" x14ac:dyDescent="0.2">
      <c r="A195" s="66" t="s">
        <v>1516</v>
      </c>
      <c r="B195" s="72">
        <v>0</v>
      </c>
      <c r="C195" s="72">
        <v>0</v>
      </c>
      <c r="D195" s="72">
        <v>0</v>
      </c>
      <c r="E195" s="72">
        <v>0</v>
      </c>
      <c r="F195" s="72">
        <v>0</v>
      </c>
      <c r="G195" s="72">
        <v>0</v>
      </c>
      <c r="H195" s="72">
        <v>0</v>
      </c>
      <c r="I195" s="72">
        <v>0</v>
      </c>
      <c r="J195" s="72">
        <v>0</v>
      </c>
      <c r="K195" s="72">
        <v>0</v>
      </c>
      <c r="L195" s="72">
        <v>0</v>
      </c>
      <c r="M195" s="72">
        <v>0</v>
      </c>
      <c r="N195" s="72">
        <v>0</v>
      </c>
      <c r="O195" s="72">
        <v>0</v>
      </c>
      <c r="P195" s="72">
        <v>0</v>
      </c>
      <c r="Q195" s="72">
        <v>0</v>
      </c>
      <c r="R195" s="72">
        <v>0</v>
      </c>
      <c r="S195" s="72">
        <v>0</v>
      </c>
      <c r="T195" s="72">
        <v>0</v>
      </c>
      <c r="U195" s="72">
        <v>0</v>
      </c>
      <c r="V195" s="72">
        <v>0</v>
      </c>
      <c r="W195" s="72">
        <v>0</v>
      </c>
      <c r="X195" s="72">
        <v>0</v>
      </c>
      <c r="Y195" s="72">
        <v>0</v>
      </c>
      <c r="Z195" s="72">
        <v>0</v>
      </c>
      <c r="AA195" s="72">
        <v>0</v>
      </c>
      <c r="AB195" s="72">
        <v>0</v>
      </c>
      <c r="AC195" s="72">
        <v>0</v>
      </c>
      <c r="AD195" s="72">
        <v>0</v>
      </c>
      <c r="AE195" s="72">
        <v>0</v>
      </c>
      <c r="AF195" s="72">
        <v>0</v>
      </c>
      <c r="AG195" s="72">
        <v>0</v>
      </c>
      <c r="AH195" s="72">
        <v>0</v>
      </c>
      <c r="AI195" s="72">
        <v>0</v>
      </c>
      <c r="AJ195" s="72">
        <v>0</v>
      </c>
      <c r="AK195" s="72">
        <v>0</v>
      </c>
      <c r="AL195" s="72">
        <v>0</v>
      </c>
      <c r="AM195" s="72">
        <v>0</v>
      </c>
      <c r="AN195" s="72">
        <v>0</v>
      </c>
      <c r="AO195" s="72">
        <v>0</v>
      </c>
      <c r="AP195" s="72">
        <v>0</v>
      </c>
      <c r="AQ195" s="72">
        <v>0</v>
      </c>
      <c r="AR195" s="72">
        <v>0</v>
      </c>
      <c r="AS195" s="72">
        <v>0</v>
      </c>
      <c r="AT195" s="72">
        <v>0</v>
      </c>
      <c r="AU195" s="72">
        <v>0</v>
      </c>
      <c r="AV195" s="72">
        <v>0</v>
      </c>
      <c r="AW195" s="72">
        <v>0</v>
      </c>
      <c r="AX195" s="72">
        <v>0</v>
      </c>
      <c r="AY195" s="72">
        <v>0</v>
      </c>
      <c r="AZ195" s="72">
        <v>0</v>
      </c>
      <c r="BA195" s="72">
        <v>0</v>
      </c>
      <c r="BB195" s="72">
        <v>0</v>
      </c>
      <c r="BC195" s="72">
        <v>0</v>
      </c>
      <c r="BD195" s="72">
        <v>0</v>
      </c>
      <c r="BE195" s="72">
        <v>0</v>
      </c>
      <c r="BF195" s="72">
        <v>0</v>
      </c>
      <c r="BG195" s="72">
        <v>0</v>
      </c>
      <c r="BH195" s="72">
        <v>0</v>
      </c>
      <c r="BI195" s="72">
        <v>0</v>
      </c>
      <c r="BJ195" s="72">
        <v>0</v>
      </c>
      <c r="BK195" s="72">
        <v>0</v>
      </c>
      <c r="BL195" s="72">
        <v>0</v>
      </c>
      <c r="BM195" s="72">
        <v>0</v>
      </c>
      <c r="BN195" s="72">
        <v>0</v>
      </c>
      <c r="BO195" s="72">
        <v>0</v>
      </c>
      <c r="BP195" s="72">
        <v>0</v>
      </c>
      <c r="BQ195" s="72">
        <v>0</v>
      </c>
      <c r="BR195" s="72">
        <v>0</v>
      </c>
      <c r="BS195" s="72">
        <v>0</v>
      </c>
      <c r="BT195" s="72">
        <v>0</v>
      </c>
      <c r="BU195" s="72">
        <v>0</v>
      </c>
      <c r="BV195" s="72">
        <v>0</v>
      </c>
      <c r="BW195" s="72">
        <v>0</v>
      </c>
      <c r="BX195" s="72">
        <v>0</v>
      </c>
      <c r="BY195" s="72">
        <v>0</v>
      </c>
      <c r="BZ195" s="72">
        <v>0</v>
      </c>
      <c r="CA195" s="72">
        <v>0</v>
      </c>
      <c r="CB195" s="72">
        <v>0</v>
      </c>
      <c r="CC195" s="72">
        <v>0</v>
      </c>
      <c r="CD195" s="72">
        <v>0</v>
      </c>
      <c r="CE195" s="72">
        <v>0</v>
      </c>
      <c r="CF195" s="72">
        <v>0</v>
      </c>
      <c r="CG195" s="72">
        <v>0</v>
      </c>
      <c r="CH195" s="72">
        <v>0</v>
      </c>
      <c r="CI195" s="72">
        <v>0</v>
      </c>
      <c r="CJ195" s="72">
        <v>0</v>
      </c>
      <c r="CK195" s="72">
        <v>0</v>
      </c>
      <c r="CL195" s="72">
        <v>0</v>
      </c>
      <c r="CM195" s="72">
        <v>0</v>
      </c>
      <c r="CN195" s="72">
        <v>0</v>
      </c>
      <c r="CO195" s="72">
        <v>0</v>
      </c>
      <c r="CP195" s="72">
        <v>0</v>
      </c>
      <c r="CQ195" s="72">
        <v>0</v>
      </c>
      <c r="CR195" s="72">
        <v>0</v>
      </c>
      <c r="CS195" s="72">
        <v>0</v>
      </c>
      <c r="CT195" s="72">
        <v>0</v>
      </c>
      <c r="CU195" s="72">
        <v>0</v>
      </c>
      <c r="CV195" s="72">
        <v>0</v>
      </c>
      <c r="CW195" s="72">
        <v>0</v>
      </c>
      <c r="CX195" s="72">
        <v>0</v>
      </c>
      <c r="CY195" s="72">
        <v>0</v>
      </c>
      <c r="CZ195" s="72">
        <v>0</v>
      </c>
      <c r="DA195" s="72">
        <v>0</v>
      </c>
      <c r="DB195" s="72">
        <v>0</v>
      </c>
      <c r="DC195" s="72">
        <v>0</v>
      </c>
      <c r="DD195" s="72">
        <v>0</v>
      </c>
      <c r="DE195" s="72">
        <v>0</v>
      </c>
      <c r="DF195" s="72">
        <v>0</v>
      </c>
      <c r="DG195" s="72">
        <v>0</v>
      </c>
      <c r="DH195" s="72">
        <v>0</v>
      </c>
      <c r="DI195" s="72">
        <v>0</v>
      </c>
      <c r="DJ195" s="72">
        <v>0</v>
      </c>
      <c r="DK195" s="72">
        <v>0</v>
      </c>
      <c r="DL195" s="72">
        <v>0</v>
      </c>
      <c r="DM195" s="72">
        <v>0</v>
      </c>
      <c r="DN195" s="72">
        <v>0</v>
      </c>
      <c r="DO195" s="72">
        <v>0</v>
      </c>
      <c r="DP195" s="72">
        <v>0</v>
      </c>
      <c r="DQ195" s="72">
        <v>0</v>
      </c>
      <c r="DR195" s="72">
        <v>0</v>
      </c>
      <c r="DS195" s="72">
        <v>0</v>
      </c>
      <c r="DT195" s="72">
        <v>0</v>
      </c>
      <c r="DU195" s="72">
        <v>0</v>
      </c>
      <c r="DV195" s="72">
        <v>0</v>
      </c>
      <c r="DW195" s="72">
        <v>0</v>
      </c>
      <c r="DX195" s="72">
        <v>0</v>
      </c>
      <c r="DY195" s="72">
        <v>0</v>
      </c>
      <c r="DZ195" s="72">
        <v>0</v>
      </c>
      <c r="EA195" s="72">
        <v>0</v>
      </c>
      <c r="EB195" s="72">
        <v>0</v>
      </c>
      <c r="EC195" s="72">
        <v>0</v>
      </c>
      <c r="ED195" s="72">
        <v>0</v>
      </c>
      <c r="EE195" s="72">
        <v>0</v>
      </c>
      <c r="EF195" s="72">
        <v>0</v>
      </c>
      <c r="EG195" s="72">
        <v>0</v>
      </c>
      <c r="EH195" s="72">
        <v>0</v>
      </c>
      <c r="EI195" s="72">
        <v>0</v>
      </c>
      <c r="EJ195" s="72">
        <v>0</v>
      </c>
      <c r="EK195" s="72">
        <v>0</v>
      </c>
      <c r="EL195" s="72">
        <v>0</v>
      </c>
      <c r="EM195" s="72">
        <v>0</v>
      </c>
      <c r="EN195" s="72">
        <v>0</v>
      </c>
      <c r="EO195" s="72">
        <v>0</v>
      </c>
      <c r="EP195" s="72">
        <v>0</v>
      </c>
      <c r="EQ195" s="72">
        <v>0</v>
      </c>
      <c r="ER195" s="72">
        <v>0</v>
      </c>
      <c r="ES195" s="72">
        <v>0</v>
      </c>
      <c r="ET195" s="72">
        <v>0</v>
      </c>
      <c r="EU195" s="72">
        <v>0</v>
      </c>
      <c r="EV195" s="72">
        <v>0</v>
      </c>
      <c r="EW195" s="72">
        <v>0</v>
      </c>
      <c r="EX195" s="72">
        <v>0</v>
      </c>
      <c r="EY195" s="72">
        <v>0</v>
      </c>
      <c r="EZ195" s="72">
        <v>0</v>
      </c>
      <c r="FA195" s="72">
        <v>0</v>
      </c>
      <c r="FB195" s="72">
        <v>0</v>
      </c>
      <c r="FC195" s="72">
        <v>0</v>
      </c>
      <c r="FD195" s="72">
        <v>0</v>
      </c>
      <c r="FE195" s="72">
        <v>0</v>
      </c>
      <c r="FF195" s="72">
        <v>0</v>
      </c>
      <c r="FG195" s="72">
        <v>0</v>
      </c>
      <c r="FH195" s="72">
        <v>0</v>
      </c>
      <c r="FI195" s="72">
        <v>0</v>
      </c>
      <c r="FJ195" s="72">
        <v>0</v>
      </c>
      <c r="FK195" s="72">
        <v>0</v>
      </c>
      <c r="FL195" s="72">
        <v>0</v>
      </c>
      <c r="FM195" s="72">
        <v>0</v>
      </c>
      <c r="FN195" s="72">
        <v>0</v>
      </c>
      <c r="FO195" s="72">
        <v>0</v>
      </c>
      <c r="FP195" s="72">
        <v>0</v>
      </c>
      <c r="FQ195" s="72">
        <v>0</v>
      </c>
      <c r="FR195" s="72">
        <v>0</v>
      </c>
      <c r="FS195" s="72">
        <v>0</v>
      </c>
      <c r="FT195" s="72">
        <v>124438.8267442449</v>
      </c>
      <c r="FU195" s="72">
        <v>429412</v>
      </c>
      <c r="FV195" s="74">
        <v>41.593425068387234</v>
      </c>
      <c r="FW195" s="74">
        <v>280.93710646896983</v>
      </c>
      <c r="FX195" s="74">
        <v>747.61139200555738</v>
      </c>
      <c r="FY195" s="74">
        <v>1327.8215039303595</v>
      </c>
      <c r="FZ195" s="74">
        <v>2846.589351160249</v>
      </c>
      <c r="GA195" s="74">
        <v>7865.6777152245886</v>
      </c>
      <c r="GB195" s="74">
        <v>12744.478397962408</v>
      </c>
      <c r="GC195" s="74">
        <v>29531.038559225835</v>
      </c>
      <c r="GD195" s="74">
        <v>96431.082949863499</v>
      </c>
      <c r="GE195" s="74">
        <v>20550.579974616277</v>
      </c>
      <c r="GF195" s="74">
        <v>38238.390207922035</v>
      </c>
      <c r="GG195" s="74">
        <v>42159.614867366079</v>
      </c>
      <c r="GH195" s="74">
        <v>69255.405309846668</v>
      </c>
      <c r="GI195" s="74">
        <v>131897.17923933899</v>
      </c>
      <c r="GJ195" s="72">
        <v>265177</v>
      </c>
      <c r="GK195" s="72">
        <v>106419.70903117261</v>
      </c>
      <c r="GL195" s="72">
        <v>519804.99999999994</v>
      </c>
      <c r="GM195" s="72">
        <v>48933.999999999964</v>
      </c>
      <c r="GN195" s="72">
        <v>773858</v>
      </c>
      <c r="GO195" s="72">
        <v>0</v>
      </c>
      <c r="GP195" s="72">
        <v>0</v>
      </c>
      <c r="GQ195" s="72">
        <v>968</v>
      </c>
      <c r="GR195" s="72">
        <f t="shared" si="2"/>
        <v>2722930.5357754175</v>
      </c>
      <c r="GS195" s="72">
        <f>SUM(GJ$5:GJ$202)</f>
        <v>2722930.5357754175</v>
      </c>
      <c r="GT195" s="73">
        <v>0</v>
      </c>
    </row>
    <row r="196" spans="1:202" x14ac:dyDescent="0.2">
      <c r="A196" s="66" t="s">
        <v>1519</v>
      </c>
      <c r="B196" s="72">
        <v>372.71431421947193</v>
      </c>
      <c r="C196" s="72">
        <v>351.99717304010471</v>
      </c>
      <c r="D196" s="72">
        <v>95.461554031717796</v>
      </c>
      <c r="E196" s="72">
        <v>1147.4234712420755</v>
      </c>
      <c r="F196" s="72">
        <v>571.00930705390033</v>
      </c>
      <c r="G196" s="72">
        <v>3169.85777004396</v>
      </c>
      <c r="H196" s="72">
        <v>1042.1791552002501</v>
      </c>
      <c r="I196" s="72">
        <v>2222.7876306838302</v>
      </c>
      <c r="J196" s="72">
        <v>1178.3559983618502</v>
      </c>
      <c r="K196" s="72">
        <v>182.79959769491165</v>
      </c>
      <c r="L196" s="72">
        <v>91.066761436596337</v>
      </c>
      <c r="M196" s="72">
        <v>16.142582490321281</v>
      </c>
      <c r="N196" s="72">
        <v>26.435621237960007</v>
      </c>
      <c r="O196" s="72">
        <v>284.62318404183611</v>
      </c>
      <c r="P196" s="72">
        <v>431.14478175457361</v>
      </c>
      <c r="Q196" s="72">
        <v>362.44267955493467</v>
      </c>
      <c r="R196" s="72">
        <v>709.8703349530274</v>
      </c>
      <c r="S196" s="72">
        <v>840.57117947799543</v>
      </c>
      <c r="T196" s="72">
        <v>1100.92258672707</v>
      </c>
      <c r="U196" s="72">
        <v>189.59523048748167</v>
      </c>
      <c r="V196" s="72">
        <v>222.06794965010079</v>
      </c>
      <c r="W196" s="72">
        <v>126.88819991941149</v>
      </c>
      <c r="X196" s="72">
        <v>533.41101105944426</v>
      </c>
      <c r="Y196" s="72">
        <v>626.28912674267224</v>
      </c>
      <c r="Z196" s="72">
        <v>547.90098011757118</v>
      </c>
      <c r="AA196" s="72">
        <v>259.3877079142859</v>
      </c>
      <c r="AB196" s="72">
        <v>397.76573945477537</v>
      </c>
      <c r="AC196" s="72">
        <v>63.952702241177306</v>
      </c>
      <c r="AD196" s="72">
        <v>104.73915603820672</v>
      </c>
      <c r="AE196" s="72">
        <v>821.71531504480208</v>
      </c>
      <c r="AF196" s="72">
        <v>341.77032333804783</v>
      </c>
      <c r="AG196" s="72">
        <v>60.784856068915666</v>
      </c>
      <c r="AH196" s="72">
        <v>100.27240874676644</v>
      </c>
      <c r="AI196" s="72">
        <v>9445.3695425639198</v>
      </c>
      <c r="AJ196" s="72">
        <v>39.623901531967817</v>
      </c>
      <c r="AK196" s="72">
        <v>2079.8627980853935</v>
      </c>
      <c r="AL196" s="72">
        <v>5122.8336202053479</v>
      </c>
      <c r="AM196" s="72">
        <v>2673.9542917947992</v>
      </c>
      <c r="AN196" s="72">
        <v>2885.7432049281342</v>
      </c>
      <c r="AO196" s="72">
        <v>3145.640292453591</v>
      </c>
      <c r="AP196" s="72">
        <v>3516.3077871063274</v>
      </c>
      <c r="AQ196" s="72">
        <v>146.79733647903657</v>
      </c>
      <c r="AR196" s="72">
        <v>1103.7419415027503</v>
      </c>
      <c r="AS196" s="72">
        <v>1971.829711073306</v>
      </c>
      <c r="AT196" s="72">
        <v>1712.913099057188</v>
      </c>
      <c r="AU196" s="72">
        <v>2242.8644999999997</v>
      </c>
      <c r="AV196" s="72">
        <v>417.41108000000003</v>
      </c>
      <c r="AW196" s="72">
        <v>915.73988200000008</v>
      </c>
      <c r="AX196" s="72">
        <v>31479.445380737245</v>
      </c>
      <c r="AY196" s="72">
        <v>539.6645956108365</v>
      </c>
      <c r="AZ196" s="72">
        <v>603.77668583070681</v>
      </c>
      <c r="BA196" s="72">
        <v>-606.2647693595909</v>
      </c>
      <c r="BB196" s="72">
        <v>2506.2027932857009</v>
      </c>
      <c r="BC196" s="72">
        <v>9501.9129493336077</v>
      </c>
      <c r="BD196" s="72">
        <v>1004.5941066854348</v>
      </c>
      <c r="BE196" s="72">
        <v>3472.1315826328714</v>
      </c>
      <c r="BF196" s="72">
        <v>-170.54483960291196</v>
      </c>
      <c r="BG196" s="72">
        <v>342.22394046687964</v>
      </c>
      <c r="BH196" s="72">
        <v>1311.5468440206364</v>
      </c>
      <c r="BI196" s="72">
        <v>95.038827644137612</v>
      </c>
      <c r="BJ196" s="72">
        <v>325.00155503526503</v>
      </c>
      <c r="BK196" s="72">
        <v>0</v>
      </c>
      <c r="BL196" s="72">
        <v>0</v>
      </c>
      <c r="BM196" s="72">
        <v>0</v>
      </c>
      <c r="BN196" s="72">
        <v>0</v>
      </c>
      <c r="BO196" s="72">
        <v>0</v>
      </c>
      <c r="BP196" s="72">
        <v>0</v>
      </c>
      <c r="BQ196" s="72">
        <v>0</v>
      </c>
      <c r="BR196" s="72">
        <v>0</v>
      </c>
      <c r="BS196" s="72">
        <v>0</v>
      </c>
      <c r="BT196" s="72">
        <v>0</v>
      </c>
      <c r="BU196" s="72">
        <v>0</v>
      </c>
      <c r="BV196" s="72">
        <v>0</v>
      </c>
      <c r="BW196" s="72">
        <v>0</v>
      </c>
      <c r="BX196" s="72">
        <v>0</v>
      </c>
      <c r="BY196" s="72">
        <v>0</v>
      </c>
      <c r="BZ196" s="72">
        <v>0</v>
      </c>
      <c r="CA196" s="72">
        <v>0</v>
      </c>
      <c r="CB196" s="72">
        <v>0</v>
      </c>
      <c r="CC196" s="72">
        <v>0</v>
      </c>
      <c r="CD196" s="72">
        <v>0</v>
      </c>
      <c r="CE196" s="72">
        <v>0</v>
      </c>
      <c r="CF196" s="72">
        <v>0</v>
      </c>
      <c r="CG196" s="72">
        <v>0</v>
      </c>
      <c r="CH196" s="72">
        <v>0</v>
      </c>
      <c r="CI196" s="72">
        <v>0</v>
      </c>
      <c r="CJ196" s="72">
        <v>0</v>
      </c>
      <c r="CK196" s="72">
        <v>0</v>
      </c>
      <c r="CL196" s="72">
        <v>0</v>
      </c>
      <c r="CM196" s="72">
        <v>0</v>
      </c>
      <c r="CN196" s="72">
        <v>0</v>
      </c>
      <c r="CO196" s="72">
        <v>0</v>
      </c>
      <c r="CP196" s="72">
        <v>0</v>
      </c>
      <c r="CQ196" s="72">
        <v>0</v>
      </c>
      <c r="CR196" s="72">
        <v>0</v>
      </c>
      <c r="CS196" s="72">
        <v>0</v>
      </c>
      <c r="CT196" s="72">
        <v>0</v>
      </c>
      <c r="CU196" s="72">
        <v>0</v>
      </c>
      <c r="CV196" s="72">
        <v>0</v>
      </c>
      <c r="CW196" s="72">
        <v>0</v>
      </c>
      <c r="CX196" s="72">
        <v>0</v>
      </c>
      <c r="CY196" s="72">
        <v>0</v>
      </c>
      <c r="CZ196" s="72">
        <v>0</v>
      </c>
      <c r="DA196" s="72">
        <v>0</v>
      </c>
      <c r="DB196" s="72">
        <v>0</v>
      </c>
      <c r="DC196" s="72">
        <v>0</v>
      </c>
      <c r="DD196" s="72">
        <v>0</v>
      </c>
      <c r="DE196" s="72">
        <v>0</v>
      </c>
      <c r="DF196" s="72">
        <v>0</v>
      </c>
      <c r="DG196" s="72">
        <v>0</v>
      </c>
      <c r="DH196" s="72">
        <v>0</v>
      </c>
      <c r="DI196" s="72">
        <v>0</v>
      </c>
      <c r="DJ196" s="72">
        <v>0</v>
      </c>
      <c r="DK196" s="72">
        <v>0</v>
      </c>
      <c r="DL196" s="72">
        <v>0</v>
      </c>
      <c r="DM196" s="72">
        <v>0</v>
      </c>
      <c r="DN196" s="72">
        <v>0</v>
      </c>
      <c r="DO196" s="72">
        <v>0</v>
      </c>
      <c r="DP196" s="72">
        <v>0</v>
      </c>
      <c r="DQ196" s="72">
        <v>0</v>
      </c>
      <c r="DR196" s="72">
        <v>0</v>
      </c>
      <c r="DS196" s="72">
        <v>0</v>
      </c>
      <c r="DT196" s="72">
        <v>0</v>
      </c>
      <c r="DU196" s="72">
        <v>0</v>
      </c>
      <c r="DV196" s="72">
        <v>0</v>
      </c>
      <c r="DW196" s="72">
        <v>0</v>
      </c>
      <c r="DX196" s="72">
        <v>0</v>
      </c>
      <c r="DY196" s="72">
        <v>0</v>
      </c>
      <c r="DZ196" s="72">
        <v>0</v>
      </c>
      <c r="EA196" s="72">
        <v>0</v>
      </c>
      <c r="EB196" s="72">
        <v>0</v>
      </c>
      <c r="EC196" s="72">
        <v>0</v>
      </c>
      <c r="ED196" s="72">
        <v>0</v>
      </c>
      <c r="EE196" s="72">
        <v>0</v>
      </c>
      <c r="EF196" s="72">
        <v>0</v>
      </c>
      <c r="EG196" s="72">
        <v>0</v>
      </c>
      <c r="EH196" s="72">
        <v>0</v>
      </c>
      <c r="EI196" s="72">
        <v>0</v>
      </c>
      <c r="EJ196" s="72">
        <v>0</v>
      </c>
      <c r="EK196" s="72">
        <v>0</v>
      </c>
      <c r="EL196" s="72">
        <v>0</v>
      </c>
      <c r="EM196" s="72">
        <v>0</v>
      </c>
      <c r="EN196" s="72">
        <v>0</v>
      </c>
      <c r="EO196" s="72">
        <v>0</v>
      </c>
      <c r="EP196" s="72">
        <v>0</v>
      </c>
      <c r="EQ196" s="72">
        <v>0</v>
      </c>
      <c r="ER196" s="72">
        <v>0</v>
      </c>
      <c r="ES196" s="72">
        <v>0</v>
      </c>
      <c r="ET196" s="72">
        <v>0</v>
      </c>
      <c r="EU196" s="72">
        <v>0</v>
      </c>
      <c r="EV196" s="72">
        <v>0</v>
      </c>
      <c r="EW196" s="72">
        <v>0</v>
      </c>
      <c r="EX196" s="72">
        <v>0</v>
      </c>
      <c r="EY196" s="72">
        <v>0</v>
      </c>
      <c r="EZ196" s="72">
        <v>0</v>
      </c>
      <c r="FA196" s="72">
        <v>0</v>
      </c>
      <c r="FB196" s="72">
        <v>0</v>
      </c>
      <c r="FC196" s="72">
        <v>0</v>
      </c>
      <c r="FD196" s="72">
        <v>0</v>
      </c>
      <c r="FE196" s="72">
        <v>0</v>
      </c>
      <c r="FF196" s="72">
        <v>0</v>
      </c>
      <c r="FG196" s="72">
        <v>0</v>
      </c>
      <c r="FH196" s="72">
        <v>0</v>
      </c>
      <c r="FI196" s="72">
        <v>0</v>
      </c>
      <c r="FJ196" s="72">
        <v>0</v>
      </c>
      <c r="FK196" s="72">
        <v>0</v>
      </c>
      <c r="FL196" s="72">
        <v>0</v>
      </c>
      <c r="FM196" s="72">
        <v>0</v>
      </c>
      <c r="FN196" s="72">
        <v>0</v>
      </c>
      <c r="FO196" s="72">
        <v>0</v>
      </c>
      <c r="FP196" s="72">
        <v>0</v>
      </c>
      <c r="FQ196" s="72">
        <v>0</v>
      </c>
      <c r="FR196" s="72">
        <v>0</v>
      </c>
      <c r="FS196" s="72">
        <v>0</v>
      </c>
      <c r="FT196" s="72">
        <v>0</v>
      </c>
      <c r="FU196" s="72">
        <v>0</v>
      </c>
      <c r="FV196" s="72">
        <v>0</v>
      </c>
      <c r="FW196" s="72">
        <v>0</v>
      </c>
      <c r="FX196" s="72">
        <v>0</v>
      </c>
      <c r="FY196" s="72">
        <v>0</v>
      </c>
      <c r="FZ196" s="72">
        <v>0</v>
      </c>
      <c r="GA196" s="72">
        <v>0</v>
      </c>
      <c r="GB196" s="72">
        <v>0</v>
      </c>
      <c r="GC196" s="72">
        <v>0</v>
      </c>
      <c r="GD196" s="72">
        <v>0</v>
      </c>
      <c r="GE196" s="72">
        <v>0</v>
      </c>
      <c r="GF196" s="72">
        <v>0</v>
      </c>
      <c r="GG196" s="72">
        <v>0</v>
      </c>
      <c r="GH196" s="72">
        <v>0</v>
      </c>
      <c r="GI196" s="72">
        <v>0</v>
      </c>
      <c r="GJ196" s="72">
        <v>0</v>
      </c>
      <c r="GK196" s="72">
        <v>0</v>
      </c>
      <c r="GL196" s="72">
        <v>0</v>
      </c>
      <c r="GM196" s="72">
        <v>0</v>
      </c>
      <c r="GN196" s="72">
        <v>0</v>
      </c>
      <c r="GO196" s="72">
        <v>0</v>
      </c>
      <c r="GP196" s="72">
        <v>0</v>
      </c>
      <c r="GQ196" s="72">
        <v>0</v>
      </c>
      <c r="GR196" s="72">
        <f t="shared" si="2"/>
        <v>106419.70903117262</v>
      </c>
      <c r="GS196" s="72">
        <f>SUM(GK$5:GK$202)</f>
        <v>106419.70903117261</v>
      </c>
      <c r="GT196" s="73">
        <v>0</v>
      </c>
    </row>
    <row r="197" spans="1:202" x14ac:dyDescent="0.2">
      <c r="A197" s="66" t="s">
        <v>1287</v>
      </c>
      <c r="B197" s="72">
        <v>0</v>
      </c>
      <c r="C197" s="72">
        <v>0</v>
      </c>
      <c r="D197" s="72">
        <v>0</v>
      </c>
      <c r="E197" s="72">
        <v>0</v>
      </c>
      <c r="F197" s="72">
        <v>0</v>
      </c>
      <c r="G197" s="72">
        <v>0</v>
      </c>
      <c r="H197" s="72">
        <v>0</v>
      </c>
      <c r="I197" s="72">
        <v>0</v>
      </c>
      <c r="J197" s="72">
        <v>0</v>
      </c>
      <c r="K197" s="72">
        <v>0</v>
      </c>
      <c r="L197" s="72">
        <v>0</v>
      </c>
      <c r="M197" s="72">
        <v>0</v>
      </c>
      <c r="N197" s="72">
        <v>0</v>
      </c>
      <c r="O197" s="72">
        <v>0</v>
      </c>
      <c r="P197" s="72">
        <v>0</v>
      </c>
      <c r="Q197" s="72">
        <v>0</v>
      </c>
      <c r="R197" s="72">
        <v>0</v>
      </c>
      <c r="S197" s="72">
        <v>0</v>
      </c>
      <c r="T197" s="72">
        <v>0</v>
      </c>
      <c r="U197" s="72">
        <v>0</v>
      </c>
      <c r="V197" s="72">
        <v>0</v>
      </c>
      <c r="W197" s="72">
        <v>0</v>
      </c>
      <c r="X197" s="72">
        <v>0</v>
      </c>
      <c r="Y197" s="72">
        <v>0</v>
      </c>
      <c r="Z197" s="72">
        <v>0</v>
      </c>
      <c r="AA197" s="72">
        <v>0</v>
      </c>
      <c r="AB197" s="72">
        <v>0</v>
      </c>
      <c r="AC197" s="72">
        <v>0</v>
      </c>
      <c r="AD197" s="72">
        <v>0</v>
      </c>
      <c r="AE197" s="72">
        <v>0</v>
      </c>
      <c r="AF197" s="72">
        <v>0</v>
      </c>
      <c r="AG197" s="72">
        <v>0</v>
      </c>
      <c r="AH197" s="72">
        <v>0</v>
      </c>
      <c r="AI197" s="72">
        <v>0</v>
      </c>
      <c r="AJ197" s="72">
        <v>0</v>
      </c>
      <c r="AK197" s="72">
        <v>0</v>
      </c>
      <c r="AL197" s="72">
        <v>0</v>
      </c>
      <c r="AM197" s="72">
        <v>0</v>
      </c>
      <c r="AN197" s="72">
        <v>0</v>
      </c>
      <c r="AO197" s="72">
        <v>0</v>
      </c>
      <c r="AP197" s="72">
        <v>0</v>
      </c>
      <c r="AQ197" s="72">
        <v>0</v>
      </c>
      <c r="AR197" s="72">
        <v>0</v>
      </c>
      <c r="AS197" s="72">
        <v>0</v>
      </c>
      <c r="AT197" s="72">
        <v>0</v>
      </c>
      <c r="AU197" s="72">
        <v>0</v>
      </c>
      <c r="AV197" s="72">
        <v>0</v>
      </c>
      <c r="AW197" s="72">
        <v>0</v>
      </c>
      <c r="AX197" s="72">
        <v>0</v>
      </c>
      <c r="AY197" s="72">
        <v>0</v>
      </c>
      <c r="AZ197" s="72">
        <v>0</v>
      </c>
      <c r="BA197" s="72">
        <v>0</v>
      </c>
      <c r="BB197" s="72">
        <v>0</v>
      </c>
      <c r="BC197" s="72">
        <v>0</v>
      </c>
      <c r="BD197" s="72">
        <v>0</v>
      </c>
      <c r="BE197" s="72">
        <v>0</v>
      </c>
      <c r="BF197" s="72">
        <v>0</v>
      </c>
      <c r="BG197" s="72">
        <v>0</v>
      </c>
      <c r="BH197" s="72">
        <v>0</v>
      </c>
      <c r="BI197" s="72">
        <v>0</v>
      </c>
      <c r="BJ197" s="72">
        <v>0</v>
      </c>
      <c r="BK197" s="72">
        <v>0</v>
      </c>
      <c r="BL197" s="72">
        <v>340.94072063376171</v>
      </c>
      <c r="BM197" s="72">
        <v>190.89883413390274</v>
      </c>
      <c r="BN197" s="72">
        <v>42.301239746895952</v>
      </c>
      <c r="BO197" s="72">
        <v>216.50782268992725</v>
      </c>
      <c r="BP197" s="72">
        <v>23.522893671750399</v>
      </c>
      <c r="BQ197" s="72">
        <v>0</v>
      </c>
      <c r="BR197" s="72">
        <v>0</v>
      </c>
      <c r="BS197" s="72">
        <v>98.188301880307748</v>
      </c>
      <c r="BT197" s="72">
        <v>104.02553472985872</v>
      </c>
      <c r="BU197" s="72">
        <v>12991.699069818116</v>
      </c>
      <c r="BV197" s="72">
        <v>3686.9822799751828</v>
      </c>
      <c r="BW197" s="72">
        <v>11824.97581713195</v>
      </c>
      <c r="BX197" s="72">
        <v>376.88331411902408</v>
      </c>
      <c r="BY197" s="72">
        <v>687.63440506581014</v>
      </c>
      <c r="BZ197" s="72">
        <v>1102.6476620438198</v>
      </c>
      <c r="CA197" s="72">
        <v>397.56361328626855</v>
      </c>
      <c r="CB197" s="72">
        <v>1728.8964436262102</v>
      </c>
      <c r="CC197" s="72">
        <v>2627.124920694966</v>
      </c>
      <c r="CD197" s="72">
        <v>876.15505741289826</v>
      </c>
      <c r="CE197" s="72">
        <v>1848.2186500311655</v>
      </c>
      <c r="CF197" s="72">
        <v>948.19588456148915</v>
      </c>
      <c r="CG197" s="72">
        <v>2416.7069252598953</v>
      </c>
      <c r="CH197" s="72">
        <v>4738.4677681410367</v>
      </c>
      <c r="CI197" s="72">
        <v>52669.233150174514</v>
      </c>
      <c r="CJ197" s="72">
        <v>5324.0720580867592</v>
      </c>
      <c r="CK197" s="72">
        <v>22687.700964226726</v>
      </c>
      <c r="CL197" s="72">
        <v>49.090416305490351</v>
      </c>
      <c r="CM197" s="72">
        <v>2308.8420933406146</v>
      </c>
      <c r="CN197" s="72">
        <v>902.37372838541398</v>
      </c>
      <c r="CO197" s="72">
        <v>323.73945279366785</v>
      </c>
      <c r="CP197" s="72">
        <v>53.154660465660584</v>
      </c>
      <c r="CQ197" s="72">
        <v>14516.384040748864</v>
      </c>
      <c r="CR197" s="72">
        <v>479.55053615816178</v>
      </c>
      <c r="CS197" s="72">
        <v>4621.3223555690474</v>
      </c>
      <c r="CT197" s="72">
        <v>232.67795191316262</v>
      </c>
      <c r="CU197" s="72">
        <v>2323.7576276832406</v>
      </c>
      <c r="CV197" s="72">
        <v>3270.613659605438</v>
      </c>
      <c r="CW197" s="72">
        <v>69.472235108842895</v>
      </c>
      <c r="CX197" s="72">
        <v>121282</v>
      </c>
      <c r="CY197" s="72">
        <v>527.94811290560938</v>
      </c>
      <c r="CZ197" s="72">
        <v>473.88828625137108</v>
      </c>
      <c r="DA197" s="72">
        <v>8409.0892408462696</v>
      </c>
      <c r="DB197" s="72">
        <v>4513.9361092431964</v>
      </c>
      <c r="DC197" s="72">
        <v>2.3581237873102054</v>
      </c>
      <c r="DD197" s="72">
        <v>3259.9290360906766</v>
      </c>
      <c r="DE197" s="72">
        <v>534.64208575598821</v>
      </c>
      <c r="DF197" s="72">
        <v>297.25167439011091</v>
      </c>
      <c r="DG197" s="72">
        <v>920.95507596114965</v>
      </c>
      <c r="DH197" s="72">
        <v>208.95048875074229</v>
      </c>
      <c r="DI197" s="72">
        <v>260.72493311716607</v>
      </c>
      <c r="DJ197" s="72">
        <v>48.662836568724174</v>
      </c>
      <c r="DK197" s="72">
        <v>1.0983575990052401</v>
      </c>
      <c r="DL197" s="72">
        <v>4916.9624314290386</v>
      </c>
      <c r="DM197" s="72">
        <v>1417.6845784141192</v>
      </c>
      <c r="DN197" s="72">
        <v>3001.7324677161932</v>
      </c>
      <c r="DO197" s="72">
        <v>0.24165944979043275</v>
      </c>
      <c r="DP197" s="72">
        <v>0</v>
      </c>
      <c r="DQ197" s="72">
        <v>0</v>
      </c>
      <c r="DR197" s="72">
        <v>3.0560157648153563E-2</v>
      </c>
      <c r="DS197" s="72">
        <v>63.840780871947317</v>
      </c>
      <c r="DT197" s="72">
        <v>1627.0505872526505</v>
      </c>
      <c r="DU197" s="72">
        <v>288.42080995428034</v>
      </c>
      <c r="DV197" s="72">
        <v>78.508900123182102</v>
      </c>
      <c r="DW197" s="72">
        <v>202.74672469035562</v>
      </c>
      <c r="DX197" s="72">
        <v>565.02471300680259</v>
      </c>
      <c r="DY197" s="72">
        <v>2276.0966247604388</v>
      </c>
      <c r="DZ197" s="72">
        <v>2334.8756368298336</v>
      </c>
      <c r="EA197" s="72">
        <v>1510.8571836175954</v>
      </c>
      <c r="EB197" s="72">
        <v>7699.8555226941971</v>
      </c>
      <c r="EC197" s="72">
        <v>1959.3481507725101</v>
      </c>
      <c r="ED197" s="72">
        <v>21591.095726441083</v>
      </c>
      <c r="EE197" s="72">
        <v>304.21557234149338</v>
      </c>
      <c r="EF197" s="72">
        <v>137.51909191464202</v>
      </c>
      <c r="EG197" s="72">
        <v>314.6331205643956</v>
      </c>
      <c r="EH197" s="72">
        <v>193.02017223268669</v>
      </c>
      <c r="EI197" s="72">
        <v>591.7953725802156</v>
      </c>
      <c r="EJ197" s="72">
        <v>26177.594674754266</v>
      </c>
      <c r="EK197" s="72">
        <v>0</v>
      </c>
      <c r="EL197" s="72">
        <v>16278.995573136168</v>
      </c>
      <c r="EM197" s="72">
        <v>3057.8536613393953</v>
      </c>
      <c r="EN197" s="72">
        <v>11749.005619750971</v>
      </c>
      <c r="EO197" s="72">
        <v>-9484.2538656748839</v>
      </c>
      <c r="EP197" s="72">
        <v>188.29513922602365</v>
      </c>
      <c r="EQ197" s="72">
        <v>1972.1503290167541</v>
      </c>
      <c r="ER197" s="72">
        <v>314.33451786989042</v>
      </c>
      <c r="ES197" s="72">
        <v>0</v>
      </c>
      <c r="ET197" s="72">
        <v>0</v>
      </c>
      <c r="EU197" s="72">
        <v>0</v>
      </c>
      <c r="EV197" s="72">
        <v>7600.8388430013256</v>
      </c>
      <c r="EW197" s="72">
        <v>8012.8623311131141</v>
      </c>
      <c r="EX197" s="72">
        <v>11511.403370484735</v>
      </c>
      <c r="EY197" s="72">
        <v>0</v>
      </c>
      <c r="EZ197" s="72">
        <v>6477.5026357741335</v>
      </c>
      <c r="FA197" s="72">
        <v>2685.8672365633183</v>
      </c>
      <c r="FB197" s="72">
        <v>1404.6933390748893</v>
      </c>
      <c r="FC197" s="72">
        <v>8910.4527004217034</v>
      </c>
      <c r="FD197" s="72">
        <v>7548.1650686919738</v>
      </c>
      <c r="FE197" s="72">
        <v>12524.465856711935</v>
      </c>
      <c r="FF197" s="72">
        <v>10999.775511510812</v>
      </c>
      <c r="FG197" s="72">
        <v>609.56704120594509</v>
      </c>
      <c r="FH197" s="72">
        <v>2001.5446587751012</v>
      </c>
      <c r="FI197" s="72">
        <v>597.22895438698208</v>
      </c>
      <c r="FJ197" s="72">
        <v>22339.899339561245</v>
      </c>
      <c r="FK197" s="72">
        <v>92.896230275845539</v>
      </c>
      <c r="FL197" s="72">
        <v>13384.875063615227</v>
      </c>
      <c r="FM197" s="72">
        <v>3931.473331110898</v>
      </c>
      <c r="FN197" s="72">
        <v>0</v>
      </c>
      <c r="FO197" s="72">
        <v>0</v>
      </c>
      <c r="FP197" s="72">
        <v>0</v>
      </c>
      <c r="FQ197" s="72">
        <v>0</v>
      </c>
      <c r="FR197" s="72">
        <v>0</v>
      </c>
      <c r="FS197" s="72">
        <v>0</v>
      </c>
      <c r="FT197" s="72">
        <v>0</v>
      </c>
      <c r="FU197" s="72">
        <v>0</v>
      </c>
      <c r="FV197" s="72">
        <v>0</v>
      </c>
      <c r="FW197" s="72">
        <v>0</v>
      </c>
      <c r="FX197" s="72">
        <v>0</v>
      </c>
      <c r="FY197" s="72">
        <v>0</v>
      </c>
      <c r="FZ197" s="72">
        <v>0</v>
      </c>
      <c r="GA197" s="72">
        <v>0</v>
      </c>
      <c r="GB197" s="72">
        <v>0</v>
      </c>
      <c r="GC197" s="72">
        <v>0</v>
      </c>
      <c r="GD197" s="72">
        <v>0</v>
      </c>
      <c r="GE197" s="72">
        <v>0</v>
      </c>
      <c r="GF197" s="72">
        <v>0</v>
      </c>
      <c r="GG197" s="72">
        <v>0</v>
      </c>
      <c r="GH197" s="72">
        <v>0</v>
      </c>
      <c r="GI197" s="72">
        <v>0</v>
      </c>
      <c r="GJ197" s="72">
        <v>0</v>
      </c>
      <c r="GK197" s="72">
        <v>0</v>
      </c>
      <c r="GL197" s="72">
        <v>0</v>
      </c>
      <c r="GM197" s="72">
        <v>0</v>
      </c>
      <c r="GN197" s="72">
        <v>0</v>
      </c>
      <c r="GO197" s="72">
        <v>0</v>
      </c>
      <c r="GP197" s="72">
        <v>0</v>
      </c>
      <c r="GQ197" s="72">
        <v>0</v>
      </c>
      <c r="GR197" s="72">
        <f t="shared" ref="GR197:GR202" si="3">SUM(B197:GQ197)</f>
        <v>519804.99999999994</v>
      </c>
      <c r="GS197" s="72">
        <f>SUM(GL$5:GL$202)</f>
        <v>519804.99999999994</v>
      </c>
      <c r="GT197" s="73">
        <v>0</v>
      </c>
    </row>
    <row r="198" spans="1:202" x14ac:dyDescent="0.2">
      <c r="A198" s="66" t="s">
        <v>1288</v>
      </c>
      <c r="B198" s="72">
        <v>0</v>
      </c>
      <c r="C198" s="72">
        <v>0</v>
      </c>
      <c r="D198" s="72">
        <v>0</v>
      </c>
      <c r="E198" s="72">
        <v>0</v>
      </c>
      <c r="F198" s="72">
        <v>0</v>
      </c>
      <c r="G198" s="72">
        <v>0</v>
      </c>
      <c r="H198" s="72">
        <v>0</v>
      </c>
      <c r="I198" s="72">
        <v>0</v>
      </c>
      <c r="J198" s="72">
        <v>0</v>
      </c>
      <c r="K198" s="72">
        <v>0</v>
      </c>
      <c r="L198" s="72">
        <v>0</v>
      </c>
      <c r="M198" s="72">
        <v>0</v>
      </c>
      <c r="N198" s="72">
        <v>0</v>
      </c>
      <c r="O198" s="72">
        <v>0</v>
      </c>
      <c r="P198" s="72">
        <v>0</v>
      </c>
      <c r="Q198" s="72">
        <v>0</v>
      </c>
      <c r="R198" s="72">
        <v>0</v>
      </c>
      <c r="S198" s="72">
        <v>0</v>
      </c>
      <c r="T198" s="72">
        <v>0</v>
      </c>
      <c r="U198" s="72">
        <v>0</v>
      </c>
      <c r="V198" s="72">
        <v>0</v>
      </c>
      <c r="W198" s="72">
        <v>0</v>
      </c>
      <c r="X198" s="72">
        <v>0</v>
      </c>
      <c r="Y198" s="72">
        <v>0</v>
      </c>
      <c r="Z198" s="72">
        <v>0</v>
      </c>
      <c r="AA198" s="72">
        <v>0</v>
      </c>
      <c r="AB198" s="72">
        <v>0</v>
      </c>
      <c r="AC198" s="72">
        <v>0</v>
      </c>
      <c r="AD198" s="72">
        <v>0</v>
      </c>
      <c r="AE198" s="72">
        <v>0</v>
      </c>
      <c r="AF198" s="72">
        <v>0</v>
      </c>
      <c r="AG198" s="72">
        <v>0</v>
      </c>
      <c r="AH198" s="72">
        <v>0</v>
      </c>
      <c r="AI198" s="72">
        <v>0</v>
      </c>
      <c r="AJ198" s="72">
        <v>0</v>
      </c>
      <c r="AK198" s="72">
        <v>0</v>
      </c>
      <c r="AL198" s="72">
        <v>0</v>
      </c>
      <c r="AM198" s="72">
        <v>0</v>
      </c>
      <c r="AN198" s="72">
        <v>0</v>
      </c>
      <c r="AO198" s="72">
        <v>0</v>
      </c>
      <c r="AP198" s="72">
        <v>0</v>
      </c>
      <c r="AQ198" s="72">
        <v>0</v>
      </c>
      <c r="AR198" s="72">
        <v>0</v>
      </c>
      <c r="AS198" s="72">
        <v>0</v>
      </c>
      <c r="AT198" s="72">
        <v>0</v>
      </c>
      <c r="AU198" s="72">
        <v>0</v>
      </c>
      <c r="AV198" s="72">
        <v>0</v>
      </c>
      <c r="AW198" s="72">
        <v>0</v>
      </c>
      <c r="AX198" s="72">
        <v>0</v>
      </c>
      <c r="AY198" s="72">
        <v>0</v>
      </c>
      <c r="AZ198" s="72">
        <v>0</v>
      </c>
      <c r="BA198" s="72">
        <v>0</v>
      </c>
      <c r="BB198" s="72">
        <v>0</v>
      </c>
      <c r="BC198" s="72">
        <v>0</v>
      </c>
      <c r="BD198" s="72">
        <v>0</v>
      </c>
      <c r="BE198" s="72">
        <v>0</v>
      </c>
      <c r="BF198" s="72">
        <v>0</v>
      </c>
      <c r="BG198" s="72">
        <v>0</v>
      </c>
      <c r="BH198" s="72">
        <v>0</v>
      </c>
      <c r="BI198" s="72">
        <v>0</v>
      </c>
      <c r="BJ198" s="72">
        <v>0</v>
      </c>
      <c r="BK198" s="72">
        <v>550.70097144875069</v>
      </c>
      <c r="BL198" s="72">
        <v>454.61958302689794</v>
      </c>
      <c r="BM198" s="72">
        <v>16.830669789025301</v>
      </c>
      <c r="BN198" s="72">
        <v>22.15693411015679</v>
      </c>
      <c r="BO198" s="72">
        <v>6.4235199984959163E-2</v>
      </c>
      <c r="BP198" s="72">
        <v>0.66605475010932835</v>
      </c>
      <c r="BQ198" s="72">
        <v>21.355820129797529</v>
      </c>
      <c r="BR198" s="72">
        <v>0</v>
      </c>
      <c r="BS198" s="72">
        <v>0.98499413519573775</v>
      </c>
      <c r="BT198" s="72">
        <v>114.664598192097</v>
      </c>
      <c r="BU198" s="72">
        <v>0.57233121417732846</v>
      </c>
      <c r="BV198" s="72">
        <v>0</v>
      </c>
      <c r="BW198" s="72">
        <v>480.38827462419283</v>
      </c>
      <c r="BX198" s="72">
        <v>33.605624279828497</v>
      </c>
      <c r="BY198" s="72">
        <v>56.631405185219926</v>
      </c>
      <c r="BZ198" s="72">
        <v>69.852163316112282</v>
      </c>
      <c r="CA198" s="72">
        <v>351.11179932230442</v>
      </c>
      <c r="CB198" s="72">
        <v>99.729615361322843</v>
      </c>
      <c r="CC198" s="72">
        <v>1154.2469570117503</v>
      </c>
      <c r="CD198" s="72">
        <v>77.860783371592973</v>
      </c>
      <c r="CE198" s="72">
        <v>67.367333954906769</v>
      </c>
      <c r="CF198" s="72">
        <v>57.228054501779873</v>
      </c>
      <c r="CG198" s="72">
        <v>72.76214557497218</v>
      </c>
      <c r="CH198" s="72">
        <v>338.83705665672892</v>
      </c>
      <c r="CI198" s="72">
        <v>2301.7930304262582</v>
      </c>
      <c r="CJ198" s="72">
        <v>526.01934403360826</v>
      </c>
      <c r="CK198" s="72">
        <v>2019.0281802892923</v>
      </c>
      <c r="CL198" s="72">
        <v>492.2349210947429</v>
      </c>
      <c r="CM198" s="72">
        <v>641.11523081212681</v>
      </c>
      <c r="CN198" s="72">
        <v>115.35357122811219</v>
      </c>
      <c r="CO198" s="72">
        <v>236.65805154042482</v>
      </c>
      <c r="CP198" s="72">
        <v>344.44416872900973</v>
      </c>
      <c r="CQ198" s="72">
        <v>7440.4727016061443</v>
      </c>
      <c r="CR198" s="72">
        <v>820.53737072717922</v>
      </c>
      <c r="CS198" s="72">
        <v>3651.4845661626828</v>
      </c>
      <c r="CT198" s="72">
        <v>167.88077018133978</v>
      </c>
      <c r="CU198" s="72">
        <v>255.23978210031237</v>
      </c>
      <c r="CV198" s="72">
        <v>36.717809754222145</v>
      </c>
      <c r="CW198" s="72">
        <v>16.946821778153819</v>
      </c>
      <c r="CX198" s="72">
        <v>8.6634389508344096</v>
      </c>
      <c r="CY198" s="72">
        <v>883.50546451111677</v>
      </c>
      <c r="CZ198" s="72">
        <v>39.077327952335786</v>
      </c>
      <c r="DA198" s="72">
        <v>42.872079628082879</v>
      </c>
      <c r="DB198" s="72">
        <v>404.11581818451555</v>
      </c>
      <c r="DC198" s="72">
        <v>572.01344706928046</v>
      </c>
      <c r="DD198" s="72">
        <v>1040.7792106761403</v>
      </c>
      <c r="DE198" s="72">
        <v>622.56213679868199</v>
      </c>
      <c r="DF198" s="72">
        <v>258.06794551046585</v>
      </c>
      <c r="DG198" s="72">
        <v>248.05875581773293</v>
      </c>
      <c r="DH198" s="72">
        <v>226.47757422746946</v>
      </c>
      <c r="DI198" s="72">
        <v>1.2032004408913706</v>
      </c>
      <c r="DJ198" s="72">
        <v>19.394384686473312</v>
      </c>
      <c r="DK198" s="72">
        <v>82.604742806613572</v>
      </c>
      <c r="DL198" s="72">
        <v>770.17874054841548</v>
      </c>
      <c r="DM198" s="72">
        <v>52.117976594603327</v>
      </c>
      <c r="DN198" s="72">
        <v>434.71296185029973</v>
      </c>
      <c r="DO198" s="72">
        <v>119.61938014797478</v>
      </c>
      <c r="DP198" s="72">
        <v>51.724030570329575</v>
      </c>
      <c r="DQ198" s="72">
        <v>409.35608035897241</v>
      </c>
      <c r="DR198" s="72">
        <v>238.1948828434692</v>
      </c>
      <c r="DS198" s="72">
        <v>80.651872619200617</v>
      </c>
      <c r="DT198" s="72">
        <v>1017.199656737609</v>
      </c>
      <c r="DU198" s="72">
        <v>336.10307099314491</v>
      </c>
      <c r="DV198" s="72">
        <v>68.726127812611665</v>
      </c>
      <c r="DW198" s="72">
        <v>220.00646893896186</v>
      </c>
      <c r="DX198" s="72">
        <v>1234.5793890657058</v>
      </c>
      <c r="DY198" s="72">
        <v>209.63628785200916</v>
      </c>
      <c r="DZ198" s="72">
        <v>320.88200114111845</v>
      </c>
      <c r="EA198" s="72">
        <v>1825.3145576543855</v>
      </c>
      <c r="EB198" s="72">
        <v>2278.0242136527522</v>
      </c>
      <c r="EC198" s="72">
        <v>150.07433083907472</v>
      </c>
      <c r="ED198" s="72">
        <v>10392.41533765155</v>
      </c>
      <c r="EE198" s="72">
        <v>756.63365347699994</v>
      </c>
      <c r="EF198" s="72">
        <v>9.7093855536028055</v>
      </c>
      <c r="EG198" s="72">
        <v>0.27371136269893764</v>
      </c>
      <c r="EH198" s="72">
        <v>0.18123285049708088</v>
      </c>
      <c r="EI198" s="72">
        <v>400.12539600284612</v>
      </c>
      <c r="EJ198" s="72">
        <v>0</v>
      </c>
      <c r="EK198" s="72">
        <v>0</v>
      </c>
      <c r="EL198" s="72">
        <v>0</v>
      </c>
      <c r="EM198" s="72">
        <v>0</v>
      </c>
      <c r="EN198" s="72">
        <v>0</v>
      </c>
      <c r="EO198" s="72">
        <v>0</v>
      </c>
      <c r="EP198" s="72">
        <v>0</v>
      </c>
      <c r="EQ198" s="72">
        <v>0</v>
      </c>
      <c r="ER198" s="72">
        <v>0</v>
      </c>
      <c r="ES198" s="72">
        <v>0</v>
      </c>
      <c r="ET198" s="72">
        <v>0</v>
      </c>
      <c r="EU198" s="72">
        <v>0</v>
      </c>
      <c r="EV198" s="72">
        <v>0</v>
      </c>
      <c r="EW198" s="72">
        <v>0</v>
      </c>
      <c r="EX198" s="72">
        <v>0</v>
      </c>
      <c r="EY198" s="72">
        <v>0</v>
      </c>
      <c r="EZ198" s="72">
        <v>0</v>
      </c>
      <c r="FA198" s="72">
        <v>0</v>
      </c>
      <c r="FB198" s="72">
        <v>0</v>
      </c>
      <c r="FC198" s="72">
        <v>0</v>
      </c>
      <c r="FD198" s="72">
        <v>0</v>
      </c>
      <c r="FE198" s="72">
        <v>0</v>
      </c>
      <c r="FF198" s="72">
        <v>0</v>
      </c>
      <c r="FG198" s="72">
        <v>0</v>
      </c>
      <c r="FH198" s="72">
        <v>0</v>
      </c>
      <c r="FI198" s="72">
        <v>0</v>
      </c>
      <c r="FJ198" s="72">
        <v>0</v>
      </c>
      <c r="FK198" s="72">
        <v>0</v>
      </c>
      <c r="FL198" s="72">
        <v>0</v>
      </c>
      <c r="FM198" s="72">
        <v>0</v>
      </c>
      <c r="FN198" s="72">
        <v>0</v>
      </c>
      <c r="FO198" s="72">
        <v>0</v>
      </c>
      <c r="FP198" s="72">
        <v>0</v>
      </c>
      <c r="FQ198" s="72">
        <v>0</v>
      </c>
      <c r="FR198" s="72">
        <v>0</v>
      </c>
      <c r="FS198" s="72">
        <v>0</v>
      </c>
      <c r="FT198" s="72">
        <v>0</v>
      </c>
      <c r="FU198" s="72">
        <v>0</v>
      </c>
      <c r="FV198" s="72">
        <v>0</v>
      </c>
      <c r="FW198" s="72">
        <v>0</v>
      </c>
      <c r="FX198" s="72">
        <v>0</v>
      </c>
      <c r="FY198" s="72">
        <v>0</v>
      </c>
      <c r="FZ198" s="72">
        <v>0</v>
      </c>
      <c r="GA198" s="72">
        <v>0</v>
      </c>
      <c r="GB198" s="72">
        <v>0</v>
      </c>
      <c r="GC198" s="72">
        <v>0</v>
      </c>
      <c r="GD198" s="72">
        <v>0</v>
      </c>
      <c r="GE198" s="72">
        <v>0</v>
      </c>
      <c r="GF198" s="72">
        <v>0</v>
      </c>
      <c r="GG198" s="72">
        <v>0</v>
      </c>
      <c r="GH198" s="72">
        <v>0</v>
      </c>
      <c r="GI198" s="72">
        <v>0</v>
      </c>
      <c r="GJ198" s="72">
        <v>0</v>
      </c>
      <c r="GK198" s="72">
        <v>0</v>
      </c>
      <c r="GL198" s="72">
        <v>0</v>
      </c>
      <c r="GM198" s="72">
        <v>0</v>
      </c>
      <c r="GN198" s="72">
        <v>0</v>
      </c>
      <c r="GO198" s="72">
        <v>0</v>
      </c>
      <c r="GP198" s="72">
        <v>0</v>
      </c>
      <c r="GQ198" s="72">
        <v>0</v>
      </c>
      <c r="GR198" s="72">
        <f t="shared" si="3"/>
        <v>48933.999999999964</v>
      </c>
      <c r="GS198" s="72">
        <f>SUM(GM$5:GM$202)</f>
        <v>48933.999999999964</v>
      </c>
      <c r="GT198" s="73">
        <v>0</v>
      </c>
    </row>
    <row r="199" spans="1:202" x14ac:dyDescent="0.2">
      <c r="A199" s="66" t="s">
        <v>1289</v>
      </c>
      <c r="B199" s="72">
        <v>0</v>
      </c>
      <c r="C199" s="72">
        <v>0</v>
      </c>
      <c r="D199" s="72">
        <v>0</v>
      </c>
      <c r="E199" s="72">
        <v>0</v>
      </c>
      <c r="F199" s="72">
        <v>0</v>
      </c>
      <c r="G199" s="72">
        <v>0</v>
      </c>
      <c r="H199" s="72">
        <v>0</v>
      </c>
      <c r="I199" s="72">
        <v>0</v>
      </c>
      <c r="J199" s="72">
        <v>0</v>
      </c>
      <c r="K199" s="72">
        <v>0</v>
      </c>
      <c r="L199" s="72">
        <v>0</v>
      </c>
      <c r="M199" s="72">
        <v>0</v>
      </c>
      <c r="N199" s="72">
        <v>0</v>
      </c>
      <c r="O199" s="72">
        <v>0</v>
      </c>
      <c r="P199" s="72">
        <v>0</v>
      </c>
      <c r="Q199" s="72">
        <v>0</v>
      </c>
      <c r="R199" s="72">
        <v>0</v>
      </c>
      <c r="S199" s="72">
        <v>0</v>
      </c>
      <c r="T199" s="72">
        <v>0</v>
      </c>
      <c r="U199" s="72">
        <v>0</v>
      </c>
      <c r="V199" s="72">
        <v>0</v>
      </c>
      <c r="W199" s="72">
        <v>0</v>
      </c>
      <c r="X199" s="72">
        <v>0</v>
      </c>
      <c r="Y199" s="72">
        <v>0</v>
      </c>
      <c r="Z199" s="72">
        <v>0</v>
      </c>
      <c r="AA199" s="72">
        <v>0</v>
      </c>
      <c r="AB199" s="72">
        <v>0</v>
      </c>
      <c r="AC199" s="72">
        <v>0</v>
      </c>
      <c r="AD199" s="72">
        <v>0</v>
      </c>
      <c r="AE199" s="72">
        <v>0</v>
      </c>
      <c r="AF199" s="72">
        <v>0</v>
      </c>
      <c r="AG199" s="72">
        <v>0</v>
      </c>
      <c r="AH199" s="72">
        <v>0</v>
      </c>
      <c r="AI199" s="72">
        <v>0</v>
      </c>
      <c r="AJ199" s="72">
        <v>0</v>
      </c>
      <c r="AK199" s="72">
        <v>0</v>
      </c>
      <c r="AL199" s="72">
        <v>0</v>
      </c>
      <c r="AM199" s="72">
        <v>0</v>
      </c>
      <c r="AN199" s="72">
        <v>0</v>
      </c>
      <c r="AO199" s="72">
        <v>0</v>
      </c>
      <c r="AP199" s="72">
        <v>0</v>
      </c>
      <c r="AQ199" s="72">
        <v>0</v>
      </c>
      <c r="AR199" s="72">
        <v>0</v>
      </c>
      <c r="AS199" s="72">
        <v>0</v>
      </c>
      <c r="AT199" s="72">
        <v>0</v>
      </c>
      <c r="AU199" s="72">
        <v>0</v>
      </c>
      <c r="AV199" s="72">
        <v>0</v>
      </c>
      <c r="AW199" s="72">
        <v>0</v>
      </c>
      <c r="AX199" s="72">
        <v>0</v>
      </c>
      <c r="AY199" s="72">
        <v>0</v>
      </c>
      <c r="AZ199" s="72">
        <v>0</v>
      </c>
      <c r="BA199" s="72">
        <v>0</v>
      </c>
      <c r="BB199" s="72">
        <v>0</v>
      </c>
      <c r="BC199" s="72">
        <v>0</v>
      </c>
      <c r="BD199" s="72">
        <v>0</v>
      </c>
      <c r="BE199" s="72">
        <v>0</v>
      </c>
      <c r="BF199" s="72">
        <v>0</v>
      </c>
      <c r="BG199" s="72">
        <v>0</v>
      </c>
      <c r="BH199" s="72">
        <v>0</v>
      </c>
      <c r="BI199" s="72">
        <v>0</v>
      </c>
      <c r="BJ199" s="72">
        <v>0</v>
      </c>
      <c r="BK199" s="72">
        <v>0</v>
      </c>
      <c r="BL199" s="72">
        <v>0</v>
      </c>
      <c r="BM199" s="72">
        <v>0</v>
      </c>
      <c r="BN199" s="72">
        <v>0</v>
      </c>
      <c r="BO199" s="72">
        <v>0</v>
      </c>
      <c r="BP199" s="72">
        <v>0</v>
      </c>
      <c r="BQ199" s="72">
        <v>0</v>
      </c>
      <c r="BR199" s="72">
        <v>0</v>
      </c>
      <c r="BS199" s="72">
        <v>0</v>
      </c>
      <c r="BT199" s="72">
        <v>0</v>
      </c>
      <c r="BU199" s="72">
        <v>0</v>
      </c>
      <c r="BV199" s="72">
        <v>0</v>
      </c>
      <c r="BW199" s="72">
        <v>0</v>
      </c>
      <c r="BX199" s="72">
        <v>0</v>
      </c>
      <c r="BY199" s="72">
        <v>0</v>
      </c>
      <c r="BZ199" s="72">
        <v>0</v>
      </c>
      <c r="CA199" s="72">
        <v>0</v>
      </c>
      <c r="CB199" s="72">
        <v>0</v>
      </c>
      <c r="CC199" s="72">
        <v>0</v>
      </c>
      <c r="CD199" s="72">
        <v>0</v>
      </c>
      <c r="CE199" s="72">
        <v>0</v>
      </c>
      <c r="CF199" s="72">
        <v>0</v>
      </c>
      <c r="CG199" s="72">
        <v>0</v>
      </c>
      <c r="CH199" s="72">
        <v>0</v>
      </c>
      <c r="CI199" s="72">
        <v>0</v>
      </c>
      <c r="CJ199" s="72">
        <v>0</v>
      </c>
      <c r="CK199" s="72">
        <v>0</v>
      </c>
      <c r="CL199" s="72">
        <v>0</v>
      </c>
      <c r="CM199" s="72">
        <v>0</v>
      </c>
      <c r="CN199" s="72">
        <v>0</v>
      </c>
      <c r="CO199" s="72">
        <v>0</v>
      </c>
      <c r="CP199" s="72">
        <v>0</v>
      </c>
      <c r="CQ199" s="72">
        <v>0</v>
      </c>
      <c r="CR199" s="72">
        <v>0</v>
      </c>
      <c r="CS199" s="72">
        <v>0</v>
      </c>
      <c r="CT199" s="72">
        <v>0</v>
      </c>
      <c r="CU199" s="72">
        <v>0</v>
      </c>
      <c r="CV199" s="72">
        <v>0</v>
      </c>
      <c r="CW199" s="72">
        <v>0</v>
      </c>
      <c r="CX199" s="72">
        <v>0</v>
      </c>
      <c r="CY199" s="72">
        <v>0</v>
      </c>
      <c r="CZ199" s="72">
        <v>0</v>
      </c>
      <c r="DA199" s="72">
        <v>0</v>
      </c>
      <c r="DB199" s="72">
        <v>0</v>
      </c>
      <c r="DC199" s="72">
        <v>0</v>
      </c>
      <c r="DD199" s="72">
        <v>0</v>
      </c>
      <c r="DE199" s="72">
        <v>0</v>
      </c>
      <c r="DF199" s="72">
        <v>0</v>
      </c>
      <c r="DG199" s="72">
        <v>0</v>
      </c>
      <c r="DH199" s="72">
        <v>0</v>
      </c>
      <c r="DI199" s="72">
        <v>0</v>
      </c>
      <c r="DJ199" s="72">
        <v>0</v>
      </c>
      <c r="DK199" s="72">
        <v>0</v>
      </c>
      <c r="DL199" s="72">
        <v>0</v>
      </c>
      <c r="DM199" s="72">
        <v>0</v>
      </c>
      <c r="DN199" s="72">
        <v>0</v>
      </c>
      <c r="DO199" s="72">
        <v>0</v>
      </c>
      <c r="DP199" s="72">
        <v>0</v>
      </c>
      <c r="DQ199" s="72">
        <v>0</v>
      </c>
      <c r="DR199" s="72">
        <v>0</v>
      </c>
      <c r="DS199" s="72">
        <v>0</v>
      </c>
      <c r="DT199" s="72">
        <v>0</v>
      </c>
      <c r="DU199" s="72">
        <v>0</v>
      </c>
      <c r="DV199" s="72">
        <v>0</v>
      </c>
      <c r="DW199" s="72">
        <v>0</v>
      </c>
      <c r="DX199" s="72">
        <v>0</v>
      </c>
      <c r="DY199" s="72">
        <v>0</v>
      </c>
      <c r="DZ199" s="72">
        <v>0</v>
      </c>
      <c r="EA199" s="72">
        <v>0</v>
      </c>
      <c r="EB199" s="72">
        <v>0</v>
      </c>
      <c r="EC199" s="72">
        <v>0</v>
      </c>
      <c r="ED199" s="72">
        <v>0</v>
      </c>
      <c r="EE199" s="72">
        <v>0</v>
      </c>
      <c r="EF199" s="72">
        <v>0</v>
      </c>
      <c r="EG199" s="72">
        <v>0</v>
      </c>
      <c r="EH199" s="72">
        <v>0</v>
      </c>
      <c r="EI199" s="72">
        <v>0</v>
      </c>
      <c r="EJ199" s="72">
        <v>0</v>
      </c>
      <c r="EK199" s="72">
        <v>0</v>
      </c>
      <c r="EL199" s="72">
        <v>0</v>
      </c>
      <c r="EM199" s="72">
        <v>0</v>
      </c>
      <c r="EN199" s="72">
        <v>0</v>
      </c>
      <c r="EO199" s="72">
        <v>0</v>
      </c>
      <c r="EP199" s="72">
        <v>0</v>
      </c>
      <c r="EQ199" s="72">
        <v>0</v>
      </c>
      <c r="ER199" s="72">
        <v>0</v>
      </c>
      <c r="ES199" s="72">
        <v>0</v>
      </c>
      <c r="ET199" s="72">
        <v>0</v>
      </c>
      <c r="EU199" s="72">
        <v>0</v>
      </c>
      <c r="EV199" s="72">
        <v>0</v>
      </c>
      <c r="EW199" s="72">
        <v>0</v>
      </c>
      <c r="EX199" s="72">
        <v>0</v>
      </c>
      <c r="EY199" s="72">
        <v>0</v>
      </c>
      <c r="EZ199" s="72">
        <v>0</v>
      </c>
      <c r="FA199" s="72">
        <v>0</v>
      </c>
      <c r="FB199" s="72">
        <v>0</v>
      </c>
      <c r="FC199" s="72">
        <v>0</v>
      </c>
      <c r="FD199" s="72">
        <v>0</v>
      </c>
      <c r="FE199" s="72">
        <v>0</v>
      </c>
      <c r="FF199" s="72">
        <v>0</v>
      </c>
      <c r="FG199" s="72">
        <v>0</v>
      </c>
      <c r="FH199" s="72">
        <v>0</v>
      </c>
      <c r="FI199" s="72">
        <v>0</v>
      </c>
      <c r="FJ199" s="72">
        <v>0</v>
      </c>
      <c r="FK199" s="72">
        <v>0</v>
      </c>
      <c r="FL199" s="72">
        <v>0</v>
      </c>
      <c r="FM199" s="72">
        <v>0</v>
      </c>
      <c r="FN199" s="72">
        <v>0</v>
      </c>
      <c r="FO199" s="72">
        <v>0</v>
      </c>
      <c r="FP199" s="72">
        <v>0</v>
      </c>
      <c r="FQ199" s="72">
        <v>0</v>
      </c>
      <c r="FR199" s="72">
        <v>0</v>
      </c>
      <c r="FS199" s="72">
        <v>0</v>
      </c>
      <c r="FT199" s="72">
        <v>0</v>
      </c>
      <c r="FU199" s="72">
        <v>237566</v>
      </c>
      <c r="FV199" s="74">
        <v>49.141521413064751</v>
      </c>
      <c r="FW199" s="74">
        <v>331.91969188808724</v>
      </c>
      <c r="FX199" s="74">
        <v>883.28290273010623</v>
      </c>
      <c r="FY199" s="74">
        <v>1568.7856616962104</v>
      </c>
      <c r="FZ199" s="74">
        <v>3363.1693308316308</v>
      </c>
      <c r="GA199" s="74">
        <v>9293.0882521804051</v>
      </c>
      <c r="GB199" s="74">
        <v>15057.261022916156</v>
      </c>
      <c r="GC199" s="74">
        <v>34890.133748836444</v>
      </c>
      <c r="GD199" s="74">
        <v>113930.7503499491</v>
      </c>
      <c r="GE199" s="74">
        <v>24279.961657715521</v>
      </c>
      <c r="GF199" s="74">
        <v>45177.637285560217</v>
      </c>
      <c r="GG199" s="74">
        <v>49810.459546546932</v>
      </c>
      <c r="GH199" s="74">
        <v>81823.412652567844</v>
      </c>
      <c r="GI199" s="74">
        <v>155832.99637516818</v>
      </c>
      <c r="GJ199" s="72">
        <v>0</v>
      </c>
      <c r="GK199" s="72">
        <v>0</v>
      </c>
      <c r="GL199" s="72">
        <v>0</v>
      </c>
      <c r="GM199" s="72">
        <v>0</v>
      </c>
      <c r="GN199" s="72">
        <v>0</v>
      </c>
      <c r="GO199" s="72">
        <v>0</v>
      </c>
      <c r="GP199" s="72">
        <v>0</v>
      </c>
      <c r="GQ199" s="72">
        <v>0</v>
      </c>
      <c r="GR199" s="72">
        <f t="shared" si="3"/>
        <v>773857.99999999988</v>
      </c>
      <c r="GS199" s="72">
        <f>SUM(GN$5:GN$202)</f>
        <v>773858</v>
      </c>
      <c r="GT199" s="73">
        <v>0</v>
      </c>
    </row>
    <row r="200" spans="1:202" x14ac:dyDescent="0.2">
      <c r="A200" s="66" t="s">
        <v>1517</v>
      </c>
      <c r="B200" s="72">
        <v>0</v>
      </c>
      <c r="C200" s="72">
        <v>0</v>
      </c>
      <c r="D200" s="72">
        <v>0</v>
      </c>
      <c r="E200" s="72">
        <v>0</v>
      </c>
      <c r="F200" s="72">
        <v>0</v>
      </c>
      <c r="G200" s="72">
        <v>0</v>
      </c>
      <c r="H200" s="72">
        <v>0</v>
      </c>
      <c r="I200" s="72">
        <v>0</v>
      </c>
      <c r="J200" s="72">
        <v>0</v>
      </c>
      <c r="K200" s="72">
        <v>0</v>
      </c>
      <c r="L200" s="72">
        <v>0</v>
      </c>
      <c r="M200" s="72">
        <v>0</v>
      </c>
      <c r="N200" s="72">
        <v>0</v>
      </c>
      <c r="O200" s="72">
        <v>0</v>
      </c>
      <c r="P200" s="72">
        <v>0</v>
      </c>
      <c r="Q200" s="72">
        <v>0</v>
      </c>
      <c r="R200" s="72">
        <v>0</v>
      </c>
      <c r="S200" s="72">
        <v>0</v>
      </c>
      <c r="T200" s="72">
        <v>0</v>
      </c>
      <c r="U200" s="72">
        <v>0</v>
      </c>
      <c r="V200" s="72">
        <v>0</v>
      </c>
      <c r="W200" s="72">
        <v>0</v>
      </c>
      <c r="X200" s="72">
        <v>0</v>
      </c>
      <c r="Y200" s="72">
        <v>0</v>
      </c>
      <c r="Z200" s="72">
        <v>0</v>
      </c>
      <c r="AA200" s="72">
        <v>0</v>
      </c>
      <c r="AB200" s="72">
        <v>0</v>
      </c>
      <c r="AC200" s="72">
        <v>0</v>
      </c>
      <c r="AD200" s="72">
        <v>0</v>
      </c>
      <c r="AE200" s="72">
        <v>0</v>
      </c>
      <c r="AF200" s="72">
        <v>0</v>
      </c>
      <c r="AG200" s="72">
        <v>0</v>
      </c>
      <c r="AH200" s="72">
        <v>0</v>
      </c>
      <c r="AI200" s="72">
        <v>0</v>
      </c>
      <c r="AJ200" s="72">
        <v>0</v>
      </c>
      <c r="AK200" s="72">
        <v>0</v>
      </c>
      <c r="AL200" s="72">
        <v>0</v>
      </c>
      <c r="AM200" s="72">
        <v>0</v>
      </c>
      <c r="AN200" s="72">
        <v>0</v>
      </c>
      <c r="AO200" s="72">
        <v>0</v>
      </c>
      <c r="AP200" s="72">
        <v>0</v>
      </c>
      <c r="AQ200" s="72">
        <v>0</v>
      </c>
      <c r="AR200" s="72">
        <v>0</v>
      </c>
      <c r="AS200" s="72">
        <v>0</v>
      </c>
      <c r="AT200" s="72">
        <v>0</v>
      </c>
      <c r="AU200" s="72">
        <v>0</v>
      </c>
      <c r="AV200" s="72">
        <v>0</v>
      </c>
      <c r="AW200" s="72">
        <v>0</v>
      </c>
      <c r="AX200" s="72">
        <v>0</v>
      </c>
      <c r="AY200" s="72">
        <v>0</v>
      </c>
      <c r="AZ200" s="72">
        <v>0</v>
      </c>
      <c r="BA200" s="72">
        <v>0</v>
      </c>
      <c r="BB200" s="72">
        <v>0</v>
      </c>
      <c r="BC200" s="72">
        <v>0</v>
      </c>
      <c r="BD200" s="72">
        <v>0</v>
      </c>
      <c r="BE200" s="72">
        <v>0</v>
      </c>
      <c r="BF200" s="72">
        <v>0</v>
      </c>
      <c r="BG200" s="72">
        <v>0</v>
      </c>
      <c r="BH200" s="72">
        <v>0</v>
      </c>
      <c r="BI200" s="72">
        <v>0</v>
      </c>
      <c r="BJ200" s="72">
        <v>0</v>
      </c>
      <c r="BK200" s="72">
        <v>0</v>
      </c>
      <c r="BL200" s="72">
        <v>0</v>
      </c>
      <c r="BM200" s="72">
        <v>0</v>
      </c>
      <c r="BN200" s="72">
        <v>0</v>
      </c>
      <c r="BO200" s="72">
        <v>0</v>
      </c>
      <c r="BP200" s="72">
        <v>0</v>
      </c>
      <c r="BQ200" s="72">
        <v>0</v>
      </c>
      <c r="BR200" s="72">
        <v>0</v>
      </c>
      <c r="BS200" s="72">
        <v>0</v>
      </c>
      <c r="BT200" s="72">
        <v>0</v>
      </c>
      <c r="BU200" s="72">
        <v>0</v>
      </c>
      <c r="BV200" s="72">
        <v>0</v>
      </c>
      <c r="BW200" s="72">
        <v>0</v>
      </c>
      <c r="BX200" s="72">
        <v>0</v>
      </c>
      <c r="BY200" s="72">
        <v>0</v>
      </c>
      <c r="BZ200" s="72">
        <v>0</v>
      </c>
      <c r="CA200" s="72">
        <v>0</v>
      </c>
      <c r="CB200" s="72">
        <v>0</v>
      </c>
      <c r="CC200" s="72">
        <v>0</v>
      </c>
      <c r="CD200" s="72">
        <v>0</v>
      </c>
      <c r="CE200" s="72">
        <v>0</v>
      </c>
      <c r="CF200" s="72">
        <v>0</v>
      </c>
      <c r="CG200" s="72">
        <v>0</v>
      </c>
      <c r="CH200" s="72">
        <v>0</v>
      </c>
      <c r="CI200" s="72">
        <v>0</v>
      </c>
      <c r="CJ200" s="72">
        <v>0</v>
      </c>
      <c r="CK200" s="72">
        <v>0</v>
      </c>
      <c r="CL200" s="72">
        <v>0</v>
      </c>
      <c r="CM200" s="72">
        <v>0</v>
      </c>
      <c r="CN200" s="72">
        <v>0</v>
      </c>
      <c r="CO200" s="72">
        <v>0</v>
      </c>
      <c r="CP200" s="72">
        <v>0</v>
      </c>
      <c r="CQ200" s="72">
        <v>0</v>
      </c>
      <c r="CR200" s="72">
        <v>0</v>
      </c>
      <c r="CS200" s="72">
        <v>0</v>
      </c>
      <c r="CT200" s="72">
        <v>0</v>
      </c>
      <c r="CU200" s="72">
        <v>0</v>
      </c>
      <c r="CV200" s="72">
        <v>0</v>
      </c>
      <c r="CW200" s="72">
        <v>0</v>
      </c>
      <c r="CX200" s="72">
        <v>0</v>
      </c>
      <c r="CY200" s="72">
        <v>0</v>
      </c>
      <c r="CZ200" s="72">
        <v>0</v>
      </c>
      <c r="DA200" s="72">
        <v>0</v>
      </c>
      <c r="DB200" s="72">
        <v>0</v>
      </c>
      <c r="DC200" s="72">
        <v>0</v>
      </c>
      <c r="DD200" s="72">
        <v>0</v>
      </c>
      <c r="DE200" s="72">
        <v>0</v>
      </c>
      <c r="DF200" s="72">
        <v>0</v>
      </c>
      <c r="DG200" s="72">
        <v>0</v>
      </c>
      <c r="DH200" s="72">
        <v>0</v>
      </c>
      <c r="DI200" s="72">
        <v>0</v>
      </c>
      <c r="DJ200" s="72">
        <v>0</v>
      </c>
      <c r="DK200" s="72">
        <v>0</v>
      </c>
      <c r="DL200" s="72">
        <v>0</v>
      </c>
      <c r="DM200" s="72">
        <v>0</v>
      </c>
      <c r="DN200" s="72">
        <v>0</v>
      </c>
      <c r="DO200" s="72">
        <v>0</v>
      </c>
      <c r="DP200" s="72">
        <v>0</v>
      </c>
      <c r="DQ200" s="72">
        <v>0</v>
      </c>
      <c r="DR200" s="72">
        <v>0</v>
      </c>
      <c r="DS200" s="72">
        <v>0</v>
      </c>
      <c r="DT200" s="72">
        <v>0</v>
      </c>
      <c r="DU200" s="72">
        <v>0</v>
      </c>
      <c r="DV200" s="72">
        <v>0</v>
      </c>
      <c r="DW200" s="72">
        <v>0</v>
      </c>
      <c r="DX200" s="72">
        <v>0</v>
      </c>
      <c r="DY200" s="72">
        <v>0</v>
      </c>
      <c r="DZ200" s="72">
        <v>0</v>
      </c>
      <c r="EA200" s="72">
        <v>0</v>
      </c>
      <c r="EB200" s="72">
        <v>0</v>
      </c>
      <c r="EC200" s="72">
        <v>0</v>
      </c>
      <c r="ED200" s="72">
        <v>0</v>
      </c>
      <c r="EE200" s="72">
        <v>0</v>
      </c>
      <c r="EF200" s="72">
        <v>0</v>
      </c>
      <c r="EG200" s="72">
        <v>0</v>
      </c>
      <c r="EH200" s="72">
        <v>0</v>
      </c>
      <c r="EI200" s="72">
        <v>0</v>
      </c>
      <c r="EJ200" s="72">
        <v>0</v>
      </c>
      <c r="EK200" s="72">
        <v>0</v>
      </c>
      <c r="EL200" s="72">
        <v>0</v>
      </c>
      <c r="EM200" s="72">
        <v>0</v>
      </c>
      <c r="EN200" s="72">
        <v>0</v>
      </c>
      <c r="EO200" s="72">
        <v>0</v>
      </c>
      <c r="EP200" s="72">
        <v>0</v>
      </c>
      <c r="EQ200" s="72">
        <v>0</v>
      </c>
      <c r="ER200" s="72">
        <v>0</v>
      </c>
      <c r="ES200" s="72">
        <v>0</v>
      </c>
      <c r="ET200" s="72">
        <v>0</v>
      </c>
      <c r="EU200" s="72">
        <v>0</v>
      </c>
      <c r="EV200" s="72">
        <v>0</v>
      </c>
      <c r="EW200" s="72">
        <v>0</v>
      </c>
      <c r="EX200" s="72">
        <v>0</v>
      </c>
      <c r="EY200" s="72">
        <v>0</v>
      </c>
      <c r="EZ200" s="72">
        <v>0</v>
      </c>
      <c r="FA200" s="72">
        <v>0</v>
      </c>
      <c r="FB200" s="72">
        <v>0</v>
      </c>
      <c r="FC200" s="72">
        <v>0</v>
      </c>
      <c r="FD200" s="72">
        <v>0</v>
      </c>
      <c r="FE200" s="72">
        <v>0</v>
      </c>
      <c r="FF200" s="72">
        <v>0</v>
      </c>
      <c r="FG200" s="72">
        <v>0</v>
      </c>
      <c r="FH200" s="72">
        <v>0</v>
      </c>
      <c r="FI200" s="72">
        <v>0</v>
      </c>
      <c r="FJ200" s="72">
        <v>0</v>
      </c>
      <c r="FK200" s="72">
        <v>0</v>
      </c>
      <c r="FL200" s="72">
        <v>0</v>
      </c>
      <c r="FM200" s="72">
        <v>0</v>
      </c>
      <c r="FN200" s="72">
        <v>0</v>
      </c>
      <c r="FO200" s="72">
        <v>0</v>
      </c>
      <c r="FP200" s="72">
        <v>0</v>
      </c>
      <c r="FQ200" s="72">
        <v>0</v>
      </c>
      <c r="FR200" s="72">
        <v>0</v>
      </c>
      <c r="FS200" s="72">
        <v>0</v>
      </c>
      <c r="FT200" s="72">
        <v>0</v>
      </c>
      <c r="FU200" s="72">
        <v>692364</v>
      </c>
      <c r="FV200" s="74">
        <v>78.443169791166525</v>
      </c>
      <c r="FW200" s="74">
        <v>123.9126492697864</v>
      </c>
      <c r="FX200" s="74">
        <v>209.38426266869445</v>
      </c>
      <c r="FY200" s="74">
        <v>416.46542650868957</v>
      </c>
      <c r="FZ200" s="74">
        <v>596.96231050461165</v>
      </c>
      <c r="GA200" s="74">
        <v>921.04611799925613</v>
      </c>
      <c r="GB200" s="74">
        <v>1257.0098293783194</v>
      </c>
      <c r="GC200" s="74">
        <v>2275.3212163040043</v>
      </c>
      <c r="GD200" s="74">
        <v>5254.2924673881798</v>
      </c>
      <c r="GE200" s="74">
        <v>1516.9320663942494</v>
      </c>
      <c r="GF200" s="74">
        <v>2927.2931768171625</v>
      </c>
      <c r="GG200" s="74">
        <v>3652.9419463507879</v>
      </c>
      <c r="GH200" s="74">
        <v>9029.954221564245</v>
      </c>
      <c r="GI200" s="74">
        <v>68918.04113906085</v>
      </c>
      <c r="GJ200" s="72">
        <v>-43755</v>
      </c>
      <c r="GK200" s="72">
        <v>0</v>
      </c>
      <c r="GL200" s="72">
        <v>0</v>
      </c>
      <c r="GM200" s="72">
        <v>0</v>
      </c>
      <c r="GN200" s="72">
        <v>0</v>
      </c>
      <c r="GO200" s="72">
        <v>0</v>
      </c>
      <c r="GP200" s="72">
        <v>0</v>
      </c>
      <c r="GQ200" s="72">
        <v>144163.32401825741</v>
      </c>
      <c r="GR200" s="72">
        <f t="shared" si="3"/>
        <v>889950.32401825732</v>
      </c>
      <c r="GS200" s="72">
        <f>SUM(GO$5:GO$202)</f>
        <v>889950.32401825744</v>
      </c>
      <c r="GT200" s="73">
        <v>0</v>
      </c>
    </row>
    <row r="201" spans="1:202" x14ac:dyDescent="0.2">
      <c r="A201" s="66" t="s">
        <v>1520</v>
      </c>
      <c r="B201" s="72">
        <v>0</v>
      </c>
      <c r="C201" s="72">
        <v>0</v>
      </c>
      <c r="D201" s="72">
        <v>0</v>
      </c>
      <c r="E201" s="72">
        <v>0</v>
      </c>
      <c r="F201" s="72">
        <v>0</v>
      </c>
      <c r="G201" s="72">
        <v>0</v>
      </c>
      <c r="H201" s="72">
        <v>0</v>
      </c>
      <c r="I201" s="72">
        <v>0</v>
      </c>
      <c r="J201" s="72">
        <v>0</v>
      </c>
      <c r="K201" s="72">
        <v>0</v>
      </c>
      <c r="L201" s="72">
        <v>0</v>
      </c>
      <c r="M201" s="72">
        <v>0</v>
      </c>
      <c r="N201" s="72">
        <v>0</v>
      </c>
      <c r="O201" s="72">
        <v>0</v>
      </c>
      <c r="P201" s="72">
        <v>0</v>
      </c>
      <c r="Q201" s="72">
        <v>0</v>
      </c>
      <c r="R201" s="72">
        <v>0</v>
      </c>
      <c r="S201" s="72">
        <v>0</v>
      </c>
      <c r="T201" s="72">
        <v>0</v>
      </c>
      <c r="U201" s="72">
        <v>0</v>
      </c>
      <c r="V201" s="72">
        <v>0</v>
      </c>
      <c r="W201" s="72">
        <v>0</v>
      </c>
      <c r="X201" s="72">
        <v>0</v>
      </c>
      <c r="Y201" s="72">
        <v>0</v>
      </c>
      <c r="Z201" s="72">
        <v>0</v>
      </c>
      <c r="AA201" s="72">
        <v>0</v>
      </c>
      <c r="AB201" s="72">
        <v>0</v>
      </c>
      <c r="AC201" s="72">
        <v>0</v>
      </c>
      <c r="AD201" s="72">
        <v>0</v>
      </c>
      <c r="AE201" s="72">
        <v>0</v>
      </c>
      <c r="AF201" s="72">
        <v>0</v>
      </c>
      <c r="AG201" s="72">
        <v>0</v>
      </c>
      <c r="AH201" s="72">
        <v>0</v>
      </c>
      <c r="AI201" s="72">
        <v>0</v>
      </c>
      <c r="AJ201" s="72">
        <v>0</v>
      </c>
      <c r="AK201" s="72">
        <v>0</v>
      </c>
      <c r="AL201" s="72">
        <v>0</v>
      </c>
      <c r="AM201" s="72">
        <v>0</v>
      </c>
      <c r="AN201" s="72">
        <v>0</v>
      </c>
      <c r="AO201" s="72">
        <v>0</v>
      </c>
      <c r="AP201" s="72">
        <v>0</v>
      </c>
      <c r="AQ201" s="72">
        <v>0</v>
      </c>
      <c r="AR201" s="72">
        <v>0</v>
      </c>
      <c r="AS201" s="72">
        <v>0</v>
      </c>
      <c r="AT201" s="72">
        <v>0</v>
      </c>
      <c r="AU201" s="72">
        <v>0</v>
      </c>
      <c r="AV201" s="72">
        <v>0</v>
      </c>
      <c r="AW201" s="72">
        <v>0</v>
      </c>
      <c r="AX201" s="72">
        <v>0</v>
      </c>
      <c r="AY201" s="72">
        <v>0</v>
      </c>
      <c r="AZ201" s="72">
        <v>0</v>
      </c>
      <c r="BA201" s="72">
        <v>0</v>
      </c>
      <c r="BB201" s="72">
        <v>0</v>
      </c>
      <c r="BC201" s="72">
        <v>0</v>
      </c>
      <c r="BD201" s="72">
        <v>0</v>
      </c>
      <c r="BE201" s="72">
        <v>0</v>
      </c>
      <c r="BF201" s="72">
        <v>0</v>
      </c>
      <c r="BG201" s="72">
        <v>0</v>
      </c>
      <c r="BH201" s="72">
        <v>0</v>
      </c>
      <c r="BI201" s="72">
        <v>0</v>
      </c>
      <c r="BJ201" s="72">
        <v>0</v>
      </c>
      <c r="BK201" s="72">
        <v>0</v>
      </c>
      <c r="BL201" s="72">
        <v>0</v>
      </c>
      <c r="BM201" s="72">
        <v>0</v>
      </c>
      <c r="BN201" s="72">
        <v>0</v>
      </c>
      <c r="BO201" s="72">
        <v>0</v>
      </c>
      <c r="BP201" s="72">
        <v>0</v>
      </c>
      <c r="BQ201" s="72">
        <v>0</v>
      </c>
      <c r="BR201" s="72">
        <v>0</v>
      </c>
      <c r="BS201" s="72">
        <v>0</v>
      </c>
      <c r="BT201" s="72">
        <v>0</v>
      </c>
      <c r="BU201" s="72">
        <v>0</v>
      </c>
      <c r="BV201" s="72">
        <v>0</v>
      </c>
      <c r="BW201" s="72">
        <v>0</v>
      </c>
      <c r="BX201" s="72">
        <v>0</v>
      </c>
      <c r="BY201" s="72">
        <v>0</v>
      </c>
      <c r="BZ201" s="72">
        <v>0</v>
      </c>
      <c r="CA201" s="72">
        <v>0</v>
      </c>
      <c r="CB201" s="72">
        <v>0</v>
      </c>
      <c r="CC201" s="72">
        <v>0</v>
      </c>
      <c r="CD201" s="72">
        <v>0</v>
      </c>
      <c r="CE201" s="72">
        <v>0</v>
      </c>
      <c r="CF201" s="72">
        <v>0</v>
      </c>
      <c r="CG201" s="72">
        <v>0</v>
      </c>
      <c r="CH201" s="72">
        <v>0</v>
      </c>
      <c r="CI201" s="72">
        <v>0</v>
      </c>
      <c r="CJ201" s="72">
        <v>0</v>
      </c>
      <c r="CK201" s="72">
        <v>0</v>
      </c>
      <c r="CL201" s="72">
        <v>0</v>
      </c>
      <c r="CM201" s="72">
        <v>0</v>
      </c>
      <c r="CN201" s="72">
        <v>0</v>
      </c>
      <c r="CO201" s="72">
        <v>0</v>
      </c>
      <c r="CP201" s="72">
        <v>0</v>
      </c>
      <c r="CQ201" s="72">
        <v>0</v>
      </c>
      <c r="CR201" s="72">
        <v>0</v>
      </c>
      <c r="CS201" s="72">
        <v>0</v>
      </c>
      <c r="CT201" s="72">
        <v>0</v>
      </c>
      <c r="CU201" s="72">
        <v>0</v>
      </c>
      <c r="CV201" s="72">
        <v>0</v>
      </c>
      <c r="CW201" s="72">
        <v>0</v>
      </c>
      <c r="CX201" s="72">
        <v>0</v>
      </c>
      <c r="CY201" s="72">
        <v>0</v>
      </c>
      <c r="CZ201" s="72">
        <v>0</v>
      </c>
      <c r="DA201" s="72">
        <v>0</v>
      </c>
      <c r="DB201" s="72">
        <v>0</v>
      </c>
      <c r="DC201" s="72">
        <v>0</v>
      </c>
      <c r="DD201" s="72">
        <v>0</v>
      </c>
      <c r="DE201" s="72">
        <v>0</v>
      </c>
      <c r="DF201" s="72">
        <v>0</v>
      </c>
      <c r="DG201" s="72">
        <v>0</v>
      </c>
      <c r="DH201" s="72">
        <v>0</v>
      </c>
      <c r="DI201" s="72">
        <v>0</v>
      </c>
      <c r="DJ201" s="72">
        <v>0</v>
      </c>
      <c r="DK201" s="72">
        <v>0</v>
      </c>
      <c r="DL201" s="72">
        <v>0</v>
      </c>
      <c r="DM201" s="72">
        <v>0</v>
      </c>
      <c r="DN201" s="72">
        <v>0</v>
      </c>
      <c r="DO201" s="72">
        <v>0</v>
      </c>
      <c r="DP201" s="72">
        <v>0</v>
      </c>
      <c r="DQ201" s="72">
        <v>0</v>
      </c>
      <c r="DR201" s="72">
        <v>0</v>
      </c>
      <c r="DS201" s="72">
        <v>0</v>
      </c>
      <c r="DT201" s="72">
        <v>0</v>
      </c>
      <c r="DU201" s="72">
        <v>0</v>
      </c>
      <c r="DV201" s="72">
        <v>0</v>
      </c>
      <c r="DW201" s="72">
        <v>0</v>
      </c>
      <c r="DX201" s="72">
        <v>0</v>
      </c>
      <c r="DY201" s="72">
        <v>0</v>
      </c>
      <c r="DZ201" s="72">
        <v>0</v>
      </c>
      <c r="EA201" s="72">
        <v>0</v>
      </c>
      <c r="EB201" s="72">
        <v>0</v>
      </c>
      <c r="EC201" s="72">
        <v>0</v>
      </c>
      <c r="ED201" s="72">
        <v>0</v>
      </c>
      <c r="EE201" s="72">
        <v>0</v>
      </c>
      <c r="EF201" s="72">
        <v>0</v>
      </c>
      <c r="EG201" s="72">
        <v>0</v>
      </c>
      <c r="EH201" s="72">
        <v>0</v>
      </c>
      <c r="EI201" s="72">
        <v>0</v>
      </c>
      <c r="EJ201" s="72">
        <v>0</v>
      </c>
      <c r="EK201" s="72">
        <v>0</v>
      </c>
      <c r="EL201" s="72">
        <v>0</v>
      </c>
      <c r="EM201" s="72">
        <v>0</v>
      </c>
      <c r="EN201" s="72">
        <v>0</v>
      </c>
      <c r="EO201" s="72">
        <v>0</v>
      </c>
      <c r="EP201" s="72">
        <v>0</v>
      </c>
      <c r="EQ201" s="72">
        <v>0</v>
      </c>
      <c r="ER201" s="72">
        <v>0</v>
      </c>
      <c r="ES201" s="72">
        <v>0</v>
      </c>
      <c r="ET201" s="72">
        <v>0</v>
      </c>
      <c r="EU201" s="72">
        <v>0</v>
      </c>
      <c r="EV201" s="72">
        <v>0</v>
      </c>
      <c r="EW201" s="72">
        <v>0</v>
      </c>
      <c r="EX201" s="72">
        <v>0</v>
      </c>
      <c r="EY201" s="72">
        <v>0</v>
      </c>
      <c r="EZ201" s="72">
        <v>0</v>
      </c>
      <c r="FA201" s="72">
        <v>0</v>
      </c>
      <c r="FB201" s="72">
        <v>0</v>
      </c>
      <c r="FC201" s="72">
        <v>0</v>
      </c>
      <c r="FD201" s="72">
        <v>0</v>
      </c>
      <c r="FE201" s="72">
        <v>0</v>
      </c>
      <c r="FF201" s="72">
        <v>0</v>
      </c>
      <c r="FG201" s="72">
        <v>0</v>
      </c>
      <c r="FH201" s="72">
        <v>0</v>
      </c>
      <c r="FI201" s="72">
        <v>0</v>
      </c>
      <c r="FJ201" s="72">
        <v>0</v>
      </c>
      <c r="FK201" s="72">
        <v>0</v>
      </c>
      <c r="FL201" s="72">
        <v>0</v>
      </c>
      <c r="FM201" s="72">
        <v>0</v>
      </c>
      <c r="FN201" s="72">
        <v>0</v>
      </c>
      <c r="FO201" s="72">
        <v>0</v>
      </c>
      <c r="FP201" s="72">
        <v>0</v>
      </c>
      <c r="FQ201" s="72">
        <v>0</v>
      </c>
      <c r="FR201" s="72">
        <v>0</v>
      </c>
      <c r="FS201" s="72">
        <v>0</v>
      </c>
      <c r="FT201" s="72">
        <v>0</v>
      </c>
      <c r="FU201" s="72">
        <v>0</v>
      </c>
      <c r="FV201" s="72">
        <v>0</v>
      </c>
      <c r="FW201" s="72">
        <v>0</v>
      </c>
      <c r="FX201" s="72">
        <v>0</v>
      </c>
      <c r="FY201" s="72">
        <v>0</v>
      </c>
      <c r="FZ201" s="72">
        <v>0</v>
      </c>
      <c r="GA201" s="72">
        <v>0</v>
      </c>
      <c r="GB201" s="72">
        <v>0</v>
      </c>
      <c r="GC201" s="72">
        <v>0</v>
      </c>
      <c r="GD201" s="72">
        <v>0</v>
      </c>
      <c r="GE201" s="72">
        <v>0</v>
      </c>
      <c r="GF201" s="72">
        <v>0</v>
      </c>
      <c r="GG201" s="72">
        <v>0</v>
      </c>
      <c r="GH201" s="72">
        <v>0</v>
      </c>
      <c r="GI201" s="72">
        <v>0</v>
      </c>
      <c r="GJ201" s="72">
        <v>0</v>
      </c>
      <c r="GK201" s="72">
        <v>0</v>
      </c>
      <c r="GL201" s="72">
        <v>0</v>
      </c>
      <c r="GM201" s="72">
        <v>0</v>
      </c>
      <c r="GN201" s="72">
        <v>0</v>
      </c>
      <c r="GO201" s="72">
        <v>24451.050778095017</v>
      </c>
      <c r="GP201" s="72">
        <v>0</v>
      </c>
      <c r="GQ201" s="72">
        <v>0</v>
      </c>
      <c r="GR201" s="72">
        <f t="shared" si="3"/>
        <v>24451.050778095017</v>
      </c>
      <c r="GS201" s="72">
        <f>SUM(GP$5:GP$202)</f>
        <v>24451.050778095017</v>
      </c>
      <c r="GT201" s="73">
        <v>0</v>
      </c>
    </row>
    <row r="202" spans="1:202" x14ac:dyDescent="0.2">
      <c r="A202" s="66" t="s">
        <v>1521</v>
      </c>
      <c r="B202" s="72">
        <v>0</v>
      </c>
      <c r="C202" s="72">
        <v>0</v>
      </c>
      <c r="D202" s="72">
        <v>0</v>
      </c>
      <c r="E202" s="72">
        <v>0</v>
      </c>
      <c r="F202" s="72">
        <v>0</v>
      </c>
      <c r="G202" s="72">
        <v>0</v>
      </c>
      <c r="H202" s="72">
        <v>0</v>
      </c>
      <c r="I202" s="72">
        <v>0</v>
      </c>
      <c r="J202" s="72">
        <v>0</v>
      </c>
      <c r="K202" s="72">
        <v>0</v>
      </c>
      <c r="L202" s="72">
        <v>0</v>
      </c>
      <c r="M202" s="72">
        <v>0</v>
      </c>
      <c r="N202" s="72">
        <v>0</v>
      </c>
      <c r="O202" s="72">
        <v>0</v>
      </c>
      <c r="P202" s="72">
        <v>0</v>
      </c>
      <c r="Q202" s="72">
        <v>0</v>
      </c>
      <c r="R202" s="72">
        <v>0</v>
      </c>
      <c r="S202" s="72">
        <v>0</v>
      </c>
      <c r="T202" s="72">
        <v>0</v>
      </c>
      <c r="U202" s="72">
        <v>0</v>
      </c>
      <c r="V202" s="72">
        <v>0</v>
      </c>
      <c r="W202" s="72">
        <v>0</v>
      </c>
      <c r="X202" s="72">
        <v>0</v>
      </c>
      <c r="Y202" s="72">
        <v>0</v>
      </c>
      <c r="Z202" s="72">
        <v>0</v>
      </c>
      <c r="AA202" s="72">
        <v>0</v>
      </c>
      <c r="AB202" s="72">
        <v>0</v>
      </c>
      <c r="AC202" s="72">
        <v>0</v>
      </c>
      <c r="AD202" s="72">
        <v>0</v>
      </c>
      <c r="AE202" s="72">
        <v>0</v>
      </c>
      <c r="AF202" s="72">
        <v>0</v>
      </c>
      <c r="AG202" s="72">
        <v>0</v>
      </c>
      <c r="AH202" s="72">
        <v>0</v>
      </c>
      <c r="AI202" s="72">
        <v>0</v>
      </c>
      <c r="AJ202" s="72">
        <v>0</v>
      </c>
      <c r="AK202" s="72">
        <v>0</v>
      </c>
      <c r="AL202" s="72">
        <v>0</v>
      </c>
      <c r="AM202" s="72">
        <v>0</v>
      </c>
      <c r="AN202" s="72">
        <v>0</v>
      </c>
      <c r="AO202" s="72">
        <v>0</v>
      </c>
      <c r="AP202" s="72">
        <v>0</v>
      </c>
      <c r="AQ202" s="72">
        <v>0</v>
      </c>
      <c r="AR202" s="72">
        <v>0</v>
      </c>
      <c r="AS202" s="72">
        <v>0</v>
      </c>
      <c r="AT202" s="72">
        <v>0</v>
      </c>
      <c r="AU202" s="72">
        <v>0</v>
      </c>
      <c r="AV202" s="72">
        <v>0</v>
      </c>
      <c r="AW202" s="72">
        <v>0</v>
      </c>
      <c r="AX202" s="72">
        <v>0</v>
      </c>
      <c r="AY202" s="72">
        <v>0</v>
      </c>
      <c r="AZ202" s="72">
        <v>0</v>
      </c>
      <c r="BA202" s="72">
        <v>0</v>
      </c>
      <c r="BB202" s="72">
        <v>0</v>
      </c>
      <c r="BC202" s="72">
        <v>0</v>
      </c>
      <c r="BD202" s="72">
        <v>0</v>
      </c>
      <c r="BE202" s="72">
        <v>0</v>
      </c>
      <c r="BF202" s="72">
        <v>0</v>
      </c>
      <c r="BG202" s="72">
        <v>0</v>
      </c>
      <c r="BH202" s="72">
        <v>0</v>
      </c>
      <c r="BI202" s="72">
        <v>0</v>
      </c>
      <c r="BJ202" s="72">
        <v>0</v>
      </c>
      <c r="BK202" s="72">
        <v>7586.4483718431329</v>
      </c>
      <c r="BL202" s="72">
        <v>10218.801960298073</v>
      </c>
      <c r="BM202" s="72">
        <v>3403.893396817758</v>
      </c>
      <c r="BN202" s="72">
        <v>690.78339823570775</v>
      </c>
      <c r="BO202" s="72">
        <v>68.534511242440857</v>
      </c>
      <c r="BP202" s="72">
        <v>7054.6802967732765</v>
      </c>
      <c r="BQ202" s="72">
        <v>140565.3956051782</v>
      </c>
      <c r="BR202" s="72">
        <v>1307.3122756620676</v>
      </c>
      <c r="BS202" s="72">
        <v>426.98143694835409</v>
      </c>
      <c r="BT202" s="72">
        <v>8461.6798769354009</v>
      </c>
      <c r="BU202" s="72">
        <v>4649.8903166151185</v>
      </c>
      <c r="BV202" s="72">
        <v>0</v>
      </c>
      <c r="BW202" s="72">
        <v>11645.851937330524</v>
      </c>
      <c r="BX202" s="72">
        <v>7336.690059610316</v>
      </c>
      <c r="BY202" s="72">
        <v>1881.0877813663874</v>
      </c>
      <c r="BZ202" s="72">
        <v>3645.3259189534742</v>
      </c>
      <c r="CA202" s="72">
        <v>12640.162876627015</v>
      </c>
      <c r="CB202" s="72">
        <v>2777.2796907309144</v>
      </c>
      <c r="CC202" s="72">
        <v>11791.462813727949</v>
      </c>
      <c r="CD202" s="72">
        <v>2250.8588287531602</v>
      </c>
      <c r="CE202" s="72">
        <v>1970.052610206983</v>
      </c>
      <c r="CF202" s="72">
        <v>1511.6240687977652</v>
      </c>
      <c r="CG202" s="72">
        <v>4526.3081345797073</v>
      </c>
      <c r="CH202" s="72">
        <v>7793.2679742252058</v>
      </c>
      <c r="CI202" s="72">
        <v>11021.896635650357</v>
      </c>
      <c r="CJ202" s="72">
        <v>2735.6629207740389</v>
      </c>
      <c r="CK202" s="72">
        <v>3381.1204951618283</v>
      </c>
      <c r="CL202" s="72">
        <v>7070.8146255421125</v>
      </c>
      <c r="CM202" s="72">
        <v>4476.0319196891387</v>
      </c>
      <c r="CN202" s="72">
        <v>606.92513301555766</v>
      </c>
      <c r="CO202" s="72">
        <v>4258.8058998238694</v>
      </c>
      <c r="CP202" s="72">
        <v>3008.6829724031918</v>
      </c>
      <c r="CQ202" s="72">
        <v>32642.322290849952</v>
      </c>
      <c r="CR202" s="72">
        <v>3932.8648260888785</v>
      </c>
      <c r="CS202" s="72">
        <v>14394.84368346577</v>
      </c>
      <c r="CT202" s="72">
        <v>5261.1727565350875</v>
      </c>
      <c r="CU202" s="72">
        <v>18713.865669532068</v>
      </c>
      <c r="CV202" s="72">
        <v>4159.6831130048749</v>
      </c>
      <c r="CW202" s="72">
        <v>3564.0627482540344</v>
      </c>
      <c r="CX202" s="72">
        <v>73017.399438140783</v>
      </c>
      <c r="CY202" s="72">
        <v>73522.524713281557</v>
      </c>
      <c r="CZ202" s="72">
        <v>4934.4009272561116</v>
      </c>
      <c r="DA202" s="72">
        <v>39626.62833874613</v>
      </c>
      <c r="DB202" s="72">
        <v>10865.071880223686</v>
      </c>
      <c r="DC202" s="72">
        <v>31467.967092431121</v>
      </c>
      <c r="DD202" s="72">
        <v>16597.323489356</v>
      </c>
      <c r="DE202" s="72">
        <v>19632.780280280898</v>
      </c>
      <c r="DF202" s="72">
        <v>4422.805430473386</v>
      </c>
      <c r="DG202" s="72">
        <v>4701.13332884394</v>
      </c>
      <c r="DH202" s="72">
        <v>3866.9681182154995</v>
      </c>
      <c r="DI202" s="72">
        <v>1221.9413832941436</v>
      </c>
      <c r="DJ202" s="72">
        <v>639.34760841434741</v>
      </c>
      <c r="DK202" s="72">
        <v>3083.0199981508426</v>
      </c>
      <c r="DL202" s="72">
        <v>8396.1253121469454</v>
      </c>
      <c r="DM202" s="72">
        <v>3381.9356489511647</v>
      </c>
      <c r="DN202" s="72">
        <v>12041.61972972534</v>
      </c>
      <c r="DO202" s="72">
        <v>3509.2195611769353</v>
      </c>
      <c r="DP202" s="72">
        <v>2515.7815157328018</v>
      </c>
      <c r="DQ202" s="72">
        <v>16273.97895645967</v>
      </c>
      <c r="DR202" s="72">
        <v>33695.154969220144</v>
      </c>
      <c r="DS202" s="72">
        <v>2061.061690560105</v>
      </c>
      <c r="DT202" s="72">
        <v>21246.332146092464</v>
      </c>
      <c r="DU202" s="72">
        <v>41450.938503980877</v>
      </c>
      <c r="DV202" s="72">
        <v>10279.142994555024</v>
      </c>
      <c r="DW202" s="72">
        <v>24862.414126540432</v>
      </c>
      <c r="DX202" s="72">
        <v>62957.375552529484</v>
      </c>
      <c r="DY202" s="72">
        <v>8074.5946996917382</v>
      </c>
      <c r="DZ202" s="72">
        <v>24292.754938480364</v>
      </c>
      <c r="EA202" s="72">
        <v>46643.368973250603</v>
      </c>
      <c r="EB202" s="72">
        <v>73423.153486023308</v>
      </c>
      <c r="EC202" s="72">
        <v>39957.928067166402</v>
      </c>
      <c r="ED202" s="72">
        <v>204697.08484668712</v>
      </c>
      <c r="EE202" s="72">
        <v>7156.7031585529157</v>
      </c>
      <c r="EF202" s="72">
        <v>1093.345307781156</v>
      </c>
      <c r="EG202" s="72">
        <v>1853.1897341850724</v>
      </c>
      <c r="EH202" s="72">
        <v>14425.257597848235</v>
      </c>
      <c r="EI202" s="72">
        <v>2694.2861975292976</v>
      </c>
      <c r="EJ202" s="72">
        <v>64.366256113681075</v>
      </c>
      <c r="EK202" s="72">
        <v>0</v>
      </c>
      <c r="EL202" s="72">
        <v>0</v>
      </c>
      <c r="EM202" s="72">
        <v>16302.474520779129</v>
      </c>
      <c r="EN202" s="72">
        <v>9426.9674488724595</v>
      </c>
      <c r="EO202" s="72">
        <v>39586.431559199453</v>
      </c>
      <c r="EP202" s="72">
        <v>0</v>
      </c>
      <c r="EQ202" s="72">
        <v>0</v>
      </c>
      <c r="ER202" s="72">
        <v>0</v>
      </c>
      <c r="ES202" s="72">
        <v>0</v>
      </c>
      <c r="ET202" s="72">
        <v>0</v>
      </c>
      <c r="EU202" s="72">
        <v>3121.0292469999999</v>
      </c>
      <c r="EV202" s="72">
        <v>1326</v>
      </c>
      <c r="EW202" s="72">
        <v>4350</v>
      </c>
      <c r="EX202" s="72">
        <v>0</v>
      </c>
      <c r="EY202" s="72">
        <v>0</v>
      </c>
      <c r="EZ202" s="72">
        <v>0</v>
      </c>
      <c r="FA202" s="72">
        <v>3089.5802934566918</v>
      </c>
      <c r="FB202" s="72">
        <v>1483.4410588699934</v>
      </c>
      <c r="FC202" s="72">
        <v>3558.2470957844316</v>
      </c>
      <c r="FD202" s="72">
        <v>29032.730733532801</v>
      </c>
      <c r="FE202" s="72">
        <v>26190.830757207183</v>
      </c>
      <c r="FF202" s="72">
        <v>24101.191785269166</v>
      </c>
      <c r="FG202" s="72">
        <v>0</v>
      </c>
      <c r="FH202" s="72">
        <v>6391.3680875381751</v>
      </c>
      <c r="FI202" s="72">
        <v>900.72529649082446</v>
      </c>
      <c r="FJ202" s="72">
        <v>0</v>
      </c>
      <c r="FK202" s="72">
        <v>0</v>
      </c>
      <c r="FL202" s="72">
        <v>4813.5910855871598</v>
      </c>
      <c r="FM202" s="72">
        <v>310.76833029886643</v>
      </c>
      <c r="FN202" s="72">
        <v>0</v>
      </c>
      <c r="FO202" s="72">
        <v>0</v>
      </c>
      <c r="FP202" s="77">
        <v>1271.8066493244439</v>
      </c>
      <c r="FQ202" s="77">
        <v>2883.2981357335116</v>
      </c>
      <c r="FR202" s="77">
        <v>4161.2045923770056</v>
      </c>
      <c r="FS202" s="77">
        <v>6891.6906225650382</v>
      </c>
      <c r="FT202" s="72">
        <v>248032</v>
      </c>
      <c r="FU202" s="72">
        <v>14929</v>
      </c>
      <c r="FV202" s="74">
        <v>5.2150852801797223</v>
      </c>
      <c r="FW202" s="74">
        <v>20.903269099647215</v>
      </c>
      <c r="FX202" s="74">
        <v>48.708155480601391</v>
      </c>
      <c r="FY202" s="74">
        <v>107.72203415810456</v>
      </c>
      <c r="FZ202" s="74">
        <v>272.62089922019049</v>
      </c>
      <c r="GA202" s="74">
        <v>525.48799670764163</v>
      </c>
      <c r="GB202" s="74">
        <v>915.50273143645552</v>
      </c>
      <c r="GC202" s="74">
        <v>2761.1966776373547</v>
      </c>
      <c r="GD202" s="74">
        <v>5872.932460956069</v>
      </c>
      <c r="GE202" s="74">
        <v>1908.0634240246306</v>
      </c>
      <c r="GF202" s="74">
        <v>2604.2495876465014</v>
      </c>
      <c r="GG202" s="74">
        <v>3965.8183002916876</v>
      </c>
      <c r="GH202" s="74">
        <v>3910.9644373944184</v>
      </c>
      <c r="GI202" s="74">
        <v>7665.6149406665199</v>
      </c>
      <c r="GJ202" s="72">
        <v>49782</v>
      </c>
      <c r="GK202" s="72">
        <v>0</v>
      </c>
      <c r="GL202" s="72">
        <v>0</v>
      </c>
      <c r="GM202" s="72">
        <v>0</v>
      </c>
      <c r="GN202" s="72">
        <v>0</v>
      </c>
      <c r="GO202" s="72">
        <v>0</v>
      </c>
      <c r="GP202" s="72">
        <v>0</v>
      </c>
      <c r="GQ202" s="72">
        <v>0</v>
      </c>
      <c r="GR202" s="72">
        <f t="shared" si="3"/>
        <v>1860600.9331292261</v>
      </c>
      <c r="GS202" s="72">
        <f>SUM(GQ$5:GQ$202)</f>
        <v>1860600.9331292275</v>
      </c>
      <c r="GT202" s="73">
        <v>0</v>
      </c>
    </row>
    <row r="203" spans="1:202" x14ac:dyDescent="0.2">
      <c r="A203" s="66" t="s">
        <v>124</v>
      </c>
      <c r="B203" s="72">
        <f t="shared" ref="B203:BM203" si="4">SUM(B$5:B$202)</f>
        <v>317177.17920191213</v>
      </c>
      <c r="C203" s="72">
        <f t="shared" si="4"/>
        <v>15004.489103571588</v>
      </c>
      <c r="D203" s="72">
        <f t="shared" si="4"/>
        <v>20115.800067532073</v>
      </c>
      <c r="E203" s="72">
        <f t="shared" si="4"/>
        <v>148651.96816003579</v>
      </c>
      <c r="F203" s="72">
        <f t="shared" si="4"/>
        <v>86695.783461950021</v>
      </c>
      <c r="G203" s="72">
        <f t="shared" si="4"/>
        <v>462676.28493673267</v>
      </c>
      <c r="H203" s="72">
        <f t="shared" si="4"/>
        <v>84977.76497156432</v>
      </c>
      <c r="I203" s="72">
        <f t="shared" si="4"/>
        <v>383542.33988294721</v>
      </c>
      <c r="J203" s="72">
        <f t="shared" si="4"/>
        <v>135073.78051535576</v>
      </c>
      <c r="K203" s="72">
        <f t="shared" si="4"/>
        <v>27971.440577105288</v>
      </c>
      <c r="L203" s="72">
        <f t="shared" si="4"/>
        <v>40117.426990149921</v>
      </c>
      <c r="M203" s="72">
        <f t="shared" si="4"/>
        <v>8010.785141710282</v>
      </c>
      <c r="N203" s="72">
        <f t="shared" si="4"/>
        <v>6403.2560825832797</v>
      </c>
      <c r="O203" s="72">
        <f t="shared" si="4"/>
        <v>36291.145179120605</v>
      </c>
      <c r="P203" s="72">
        <f t="shared" si="4"/>
        <v>96288.109807211877</v>
      </c>
      <c r="Q203" s="72">
        <f t="shared" si="4"/>
        <v>64377.107546137078</v>
      </c>
      <c r="R203" s="72">
        <f t="shared" si="4"/>
        <v>348633.43571924249</v>
      </c>
      <c r="S203" s="72">
        <f t="shared" si="4"/>
        <v>107759.02260074028</v>
      </c>
      <c r="T203" s="72">
        <f t="shared" si="4"/>
        <v>137585.11176869116</v>
      </c>
      <c r="U203" s="72">
        <f t="shared" si="4"/>
        <v>21056.909241257006</v>
      </c>
      <c r="V203" s="72">
        <f t="shared" si="4"/>
        <v>49088.475788189506</v>
      </c>
      <c r="W203" s="72">
        <f t="shared" si="4"/>
        <v>10157.615275682676</v>
      </c>
      <c r="X203" s="72">
        <f t="shared" si="4"/>
        <v>60777.989321058456</v>
      </c>
      <c r="Y203" s="72">
        <f t="shared" si="4"/>
        <v>227063.60457398029</v>
      </c>
      <c r="Z203" s="72">
        <f t="shared" si="4"/>
        <v>120486.05184048803</v>
      </c>
      <c r="AA203" s="72">
        <f t="shared" si="4"/>
        <v>138677.93173633813</v>
      </c>
      <c r="AB203" s="72">
        <f t="shared" si="4"/>
        <v>65651.798901252056</v>
      </c>
      <c r="AC203" s="72">
        <f t="shared" si="4"/>
        <v>17007.204716269523</v>
      </c>
      <c r="AD203" s="72">
        <f t="shared" si="4"/>
        <v>13528.608981878164</v>
      </c>
      <c r="AE203" s="72">
        <f t="shared" si="4"/>
        <v>292598.62942698837</v>
      </c>
      <c r="AF203" s="72">
        <f t="shared" si="4"/>
        <v>24015.423628872228</v>
      </c>
      <c r="AG203" s="72">
        <f t="shared" si="4"/>
        <v>17511.757630090098</v>
      </c>
      <c r="AH203" s="72">
        <f t="shared" si="4"/>
        <v>55009.567143934168</v>
      </c>
      <c r="AI203" s="72">
        <f t="shared" si="4"/>
        <v>274785.18735246384</v>
      </c>
      <c r="AJ203" s="72">
        <f t="shared" si="4"/>
        <v>63783.086826287989</v>
      </c>
      <c r="AK203" s="72">
        <f t="shared" si="4"/>
        <v>412707.62263494986</v>
      </c>
      <c r="AL203" s="72">
        <f t="shared" si="4"/>
        <v>468972.89896174968</v>
      </c>
      <c r="AM203" s="72">
        <f t="shared" si="4"/>
        <v>299195.88313172862</v>
      </c>
      <c r="AN203" s="72">
        <f t="shared" si="4"/>
        <v>184517.86027437967</v>
      </c>
      <c r="AO203" s="72">
        <f t="shared" si="4"/>
        <v>156779.30513866918</v>
      </c>
      <c r="AP203" s="72">
        <f t="shared" si="4"/>
        <v>295036.64570915024</v>
      </c>
      <c r="AQ203" s="72">
        <f t="shared" si="4"/>
        <v>6896.2804447260905</v>
      </c>
      <c r="AR203" s="72">
        <f t="shared" si="4"/>
        <v>79623.062274342563</v>
      </c>
      <c r="AS203" s="72">
        <f t="shared" si="4"/>
        <v>196715.28271942018</v>
      </c>
      <c r="AT203" s="72">
        <f t="shared" si="4"/>
        <v>383446.80456068995</v>
      </c>
      <c r="AU203" s="72">
        <f t="shared" si="4"/>
        <v>305728.78607900004</v>
      </c>
      <c r="AV203" s="72">
        <f t="shared" si="4"/>
        <v>124950</v>
      </c>
      <c r="AW203" s="72">
        <f t="shared" si="4"/>
        <v>269468.85897310392</v>
      </c>
      <c r="AX203" s="72">
        <f t="shared" si="4"/>
        <v>541571.84952895553</v>
      </c>
      <c r="AY203" s="72">
        <f t="shared" si="4"/>
        <v>51930.692727465597</v>
      </c>
      <c r="AZ203" s="72">
        <f t="shared" si="4"/>
        <v>159852.99159252481</v>
      </c>
      <c r="BA203" s="72">
        <f t="shared" si="4"/>
        <v>20859.983543101494</v>
      </c>
      <c r="BB203" s="72">
        <f t="shared" si="4"/>
        <v>654519.63628581632</v>
      </c>
      <c r="BC203" s="72">
        <f t="shared" si="4"/>
        <v>687736.15515491669</v>
      </c>
      <c r="BD203" s="72">
        <f t="shared" si="4"/>
        <v>487883.6746298697</v>
      </c>
      <c r="BE203" s="72">
        <f t="shared" si="4"/>
        <v>379119.11264279403</v>
      </c>
      <c r="BF203" s="72">
        <f t="shared" si="4"/>
        <v>47062.764305930155</v>
      </c>
      <c r="BG203" s="72">
        <f t="shared" si="4"/>
        <v>18633.256844639764</v>
      </c>
      <c r="BH203" s="72">
        <f t="shared" si="4"/>
        <v>98396.843540465488</v>
      </c>
      <c r="BI203" s="72">
        <f t="shared" si="4"/>
        <v>8573.2367336686821</v>
      </c>
      <c r="BJ203" s="72">
        <f t="shared" si="4"/>
        <v>717946.67467586044</v>
      </c>
      <c r="BK203" s="72">
        <f t="shared" si="4"/>
        <v>75679.753509102869</v>
      </c>
      <c r="BL203" s="72">
        <f t="shared" si="4"/>
        <v>117263.63128110992</v>
      </c>
      <c r="BM203" s="72">
        <f t="shared" si="4"/>
        <v>101213.14711078833</v>
      </c>
      <c r="BN203" s="72">
        <f t="shared" ref="BN203:DY203" si="5">SUM(BN$5:BN$202)</f>
        <v>21121.527036943953</v>
      </c>
      <c r="BO203" s="72">
        <f t="shared" si="5"/>
        <v>10944.978044863545</v>
      </c>
      <c r="BP203" s="72">
        <f t="shared" si="5"/>
        <v>150383.33236432765</v>
      </c>
      <c r="BQ203" s="72">
        <f t="shared" si="5"/>
        <v>156760.51464564906</v>
      </c>
      <c r="BR203" s="72">
        <f t="shared" si="5"/>
        <v>311015.59869494726</v>
      </c>
      <c r="BS203" s="72">
        <f t="shared" si="5"/>
        <v>33049.035713990997</v>
      </c>
      <c r="BT203" s="72">
        <f t="shared" si="5"/>
        <v>46195.572806543532</v>
      </c>
      <c r="BU203" s="72">
        <f t="shared" si="5"/>
        <v>295471.90797732788</v>
      </c>
      <c r="BV203" s="72">
        <f t="shared" si="5"/>
        <v>65421.00115822121</v>
      </c>
      <c r="BW203" s="72">
        <f t="shared" si="5"/>
        <v>147983.4459071077</v>
      </c>
      <c r="BX203" s="72">
        <f t="shared" si="5"/>
        <v>32766.924917909739</v>
      </c>
      <c r="BY203" s="72">
        <f t="shared" si="5"/>
        <v>26261.812144328953</v>
      </c>
      <c r="BZ203" s="72">
        <f t="shared" si="5"/>
        <v>49042.018017997238</v>
      </c>
      <c r="CA203" s="72">
        <f t="shared" si="5"/>
        <v>61889.563300323956</v>
      </c>
      <c r="CB203" s="72">
        <f t="shared" si="5"/>
        <v>90059.44337110284</v>
      </c>
      <c r="CC203" s="72">
        <f t="shared" si="5"/>
        <v>74454.02569939656</v>
      </c>
      <c r="CD203" s="72">
        <f t="shared" si="5"/>
        <v>45875.414556379983</v>
      </c>
      <c r="CE203" s="72">
        <f t="shared" si="5"/>
        <v>49234.451744719394</v>
      </c>
      <c r="CF203" s="72">
        <f t="shared" si="5"/>
        <v>29568.504023369456</v>
      </c>
      <c r="CG203" s="72">
        <f t="shared" si="5"/>
        <v>28674.693435067507</v>
      </c>
      <c r="CH203" s="72">
        <f t="shared" si="5"/>
        <v>90346.999009560386</v>
      </c>
      <c r="CI203" s="72">
        <f t="shared" si="5"/>
        <v>192992.19009362231</v>
      </c>
      <c r="CJ203" s="72">
        <f t="shared" si="5"/>
        <v>72528.676599686878</v>
      </c>
      <c r="CK203" s="72">
        <f t="shared" si="5"/>
        <v>62775.885669813586</v>
      </c>
      <c r="CL203" s="72">
        <f t="shared" si="5"/>
        <v>27059.441497503602</v>
      </c>
      <c r="CM203" s="72">
        <f t="shared" si="5"/>
        <v>30153.990932680554</v>
      </c>
      <c r="CN203" s="72">
        <f t="shared" si="5"/>
        <v>17637.797698701059</v>
      </c>
      <c r="CO203" s="72">
        <f t="shared" si="5"/>
        <v>15061.992509205698</v>
      </c>
      <c r="CP203" s="72">
        <f t="shared" si="5"/>
        <v>7497.3400427172219</v>
      </c>
      <c r="CQ203" s="72">
        <f t="shared" si="5"/>
        <v>134571.26834357428</v>
      </c>
      <c r="CR203" s="72">
        <f t="shared" si="5"/>
        <v>16750.836087077965</v>
      </c>
      <c r="CS203" s="72">
        <f t="shared" si="5"/>
        <v>43307.76797339601</v>
      </c>
      <c r="CT203" s="72">
        <f t="shared" si="5"/>
        <v>46498.183101640963</v>
      </c>
      <c r="CU203" s="72">
        <f t="shared" si="5"/>
        <v>129113.57515909255</v>
      </c>
      <c r="CV203" s="72">
        <f t="shared" si="5"/>
        <v>46724.801058894765</v>
      </c>
      <c r="CW203" s="72">
        <f t="shared" si="5"/>
        <v>64436.050385121584</v>
      </c>
      <c r="CX203" s="72">
        <f t="shared" si="5"/>
        <v>545677.92785544298</v>
      </c>
      <c r="CY203" s="72">
        <f t="shared" si="5"/>
        <v>205120.23872323317</v>
      </c>
      <c r="CZ203" s="72">
        <f t="shared" si="5"/>
        <v>33570.152935706385</v>
      </c>
      <c r="DA203" s="72">
        <f t="shared" si="5"/>
        <v>123499.22182950735</v>
      </c>
      <c r="DB203" s="72">
        <f t="shared" si="5"/>
        <v>75857.863518126149</v>
      </c>
      <c r="DC203" s="72">
        <f t="shared" si="5"/>
        <v>71515.892619569582</v>
      </c>
      <c r="DD203" s="72">
        <f t="shared" si="5"/>
        <v>59005.607640639071</v>
      </c>
      <c r="DE203" s="72">
        <f t="shared" si="5"/>
        <v>76971.765380052137</v>
      </c>
      <c r="DF203" s="72">
        <f t="shared" si="5"/>
        <v>19704.766495152471</v>
      </c>
      <c r="DG203" s="72">
        <f t="shared" si="5"/>
        <v>13144.543504770787</v>
      </c>
      <c r="DH203" s="72">
        <f t="shared" si="5"/>
        <v>22118.696052544845</v>
      </c>
      <c r="DI203" s="72">
        <f t="shared" si="5"/>
        <v>28470.33460358196</v>
      </c>
      <c r="DJ203" s="72">
        <f t="shared" si="5"/>
        <v>24914.304346660563</v>
      </c>
      <c r="DK203" s="72">
        <f t="shared" si="5"/>
        <v>16380.911858695063</v>
      </c>
      <c r="DL203" s="72">
        <f t="shared" si="5"/>
        <v>62847.96805053491</v>
      </c>
      <c r="DM203" s="72">
        <f t="shared" si="5"/>
        <v>33627.838742105567</v>
      </c>
      <c r="DN203" s="72">
        <f t="shared" si="5"/>
        <v>60764.491620106324</v>
      </c>
      <c r="DO203" s="72">
        <f t="shared" si="5"/>
        <v>44816.437779798158</v>
      </c>
      <c r="DP203" s="72">
        <f t="shared" si="5"/>
        <v>126979.49935566314</v>
      </c>
      <c r="DQ203" s="72">
        <f t="shared" si="5"/>
        <v>91556.539034077738</v>
      </c>
      <c r="DR203" s="72">
        <f t="shared" si="5"/>
        <v>300524.06669548509</v>
      </c>
      <c r="DS203" s="72">
        <f t="shared" si="5"/>
        <v>66609.941846004906</v>
      </c>
      <c r="DT203" s="72">
        <f t="shared" si="5"/>
        <v>95813.202545757507</v>
      </c>
      <c r="DU203" s="72">
        <f t="shared" si="5"/>
        <v>89716.354761023365</v>
      </c>
      <c r="DV203" s="72">
        <f t="shared" si="5"/>
        <v>20984.843614577476</v>
      </c>
      <c r="DW203" s="72">
        <f t="shared" si="5"/>
        <v>82204.098360910066</v>
      </c>
      <c r="DX203" s="72">
        <f t="shared" si="5"/>
        <v>123132.8583627066</v>
      </c>
      <c r="DY203" s="72">
        <f t="shared" si="5"/>
        <v>33166.268878468589</v>
      </c>
      <c r="DZ203" s="72">
        <f t="shared" ref="DZ203:GK203" si="6">SUM(DZ$5:DZ$202)</f>
        <v>92464.875672154885</v>
      </c>
      <c r="EA203" s="72">
        <f t="shared" si="6"/>
        <v>115589.78002071165</v>
      </c>
      <c r="EB203" s="72">
        <f t="shared" si="6"/>
        <v>251033.37165958493</v>
      </c>
      <c r="EC203" s="72">
        <f t="shared" si="6"/>
        <v>67436.680314587182</v>
      </c>
      <c r="ED203" s="72">
        <f t="shared" si="6"/>
        <v>526564.3330946425</v>
      </c>
      <c r="EE203" s="72">
        <f t="shared" si="6"/>
        <v>44006.04357145125</v>
      </c>
      <c r="EF203" s="72">
        <f t="shared" si="6"/>
        <v>5154.347993923755</v>
      </c>
      <c r="EG203" s="72">
        <f t="shared" si="6"/>
        <v>11069.686627487506</v>
      </c>
      <c r="EH203" s="72">
        <f t="shared" si="6"/>
        <v>20480.130824187854</v>
      </c>
      <c r="EI203" s="72">
        <f t="shared" si="6"/>
        <v>14766.696612187421</v>
      </c>
      <c r="EJ203" s="72">
        <f t="shared" si="6"/>
        <v>498391.22087760642</v>
      </c>
      <c r="EK203" s="72">
        <f t="shared" si="6"/>
        <v>395158.36594525463</v>
      </c>
      <c r="EL203" s="72">
        <f t="shared" si="6"/>
        <v>396433.96784483822</v>
      </c>
      <c r="EM203" s="72">
        <f t="shared" si="6"/>
        <v>93444.331179330475</v>
      </c>
      <c r="EN203" s="72">
        <f t="shared" si="6"/>
        <v>185048.48423613186</v>
      </c>
      <c r="EO203" s="72">
        <f t="shared" si="6"/>
        <v>270327.71412751143</v>
      </c>
      <c r="EP203" s="72">
        <f t="shared" si="6"/>
        <v>246106.3162606312</v>
      </c>
      <c r="EQ203" s="72">
        <f t="shared" si="6"/>
        <v>206472.89892952814</v>
      </c>
      <c r="ER203" s="72">
        <f t="shared" si="6"/>
        <v>24560.250811977763</v>
      </c>
      <c r="ES203" s="72">
        <f t="shared" si="6"/>
        <v>28332.010975322366</v>
      </c>
      <c r="ET203" s="72">
        <f t="shared" si="6"/>
        <v>3207.9258476772634</v>
      </c>
      <c r="EU203" s="72">
        <f t="shared" si="6"/>
        <v>174210.53030630478</v>
      </c>
      <c r="EV203" s="72">
        <f t="shared" si="6"/>
        <v>141352.34691867363</v>
      </c>
      <c r="EW203" s="72">
        <f t="shared" si="6"/>
        <v>229271.60032553357</v>
      </c>
      <c r="EX203" s="72">
        <f t="shared" si="6"/>
        <v>182559.01537048473</v>
      </c>
      <c r="EY203" s="72">
        <f t="shared" si="6"/>
        <v>288509.67988046427</v>
      </c>
      <c r="EZ203" s="72">
        <f t="shared" si="6"/>
        <v>272544.02540155267</v>
      </c>
      <c r="FA203" s="72">
        <f t="shared" si="6"/>
        <v>90819.329479098466</v>
      </c>
      <c r="FB203" s="72">
        <f t="shared" si="6"/>
        <v>46741.797596530887</v>
      </c>
      <c r="FC203" s="72">
        <f t="shared" si="6"/>
        <v>154800.76266430577</v>
      </c>
      <c r="FD203" s="72">
        <f t="shared" si="6"/>
        <v>611012.38101985713</v>
      </c>
      <c r="FE203" s="72">
        <f t="shared" si="6"/>
        <v>274685.58708526514</v>
      </c>
      <c r="FF203" s="72">
        <f t="shared" si="6"/>
        <v>459501.25272800005</v>
      </c>
      <c r="FG203" s="72">
        <f t="shared" si="6"/>
        <v>29772.769190859821</v>
      </c>
      <c r="FH203" s="72">
        <f t="shared" si="6"/>
        <v>754933.55566256039</v>
      </c>
      <c r="FI203" s="72">
        <f t="shared" si="6"/>
        <v>471035.94606869086</v>
      </c>
      <c r="FJ203" s="72">
        <f t="shared" si="6"/>
        <v>380566.27011409221</v>
      </c>
      <c r="FK203" s="72">
        <f t="shared" si="6"/>
        <v>28348.467125595605</v>
      </c>
      <c r="FL203" s="72">
        <f t="shared" si="6"/>
        <v>166232.35220484386</v>
      </c>
      <c r="FM203" s="72">
        <f t="shared" si="6"/>
        <v>96931.714096127907</v>
      </c>
      <c r="FN203" s="72">
        <f t="shared" si="6"/>
        <v>62421.93654970808</v>
      </c>
      <c r="FO203" s="72">
        <f t="shared" si="6"/>
        <v>871302.31351352064</v>
      </c>
      <c r="FP203" s="72">
        <f t="shared" si="6"/>
        <v>229569.96471547851</v>
      </c>
      <c r="FQ203" s="72">
        <f t="shared" si="6"/>
        <v>520455.41013340669</v>
      </c>
      <c r="FR203" s="72">
        <f t="shared" si="6"/>
        <v>751126.43258572696</v>
      </c>
      <c r="FS203" s="72">
        <f t="shared" si="6"/>
        <v>1243998.1925653876</v>
      </c>
      <c r="FT203" s="72">
        <f t="shared" si="6"/>
        <v>2316678.8267442444</v>
      </c>
      <c r="FU203" s="72">
        <f t="shared" si="6"/>
        <v>3422155</v>
      </c>
      <c r="FV203" s="72">
        <f t="shared" si="6"/>
        <v>79599.021644944267</v>
      </c>
      <c r="FW203" s="72">
        <f t="shared" si="6"/>
        <v>115602.40072840135</v>
      </c>
      <c r="FX203" s="72">
        <f t="shared" si="6"/>
        <v>142361.58189683312</v>
      </c>
      <c r="FY203" s="72">
        <f t="shared" si="6"/>
        <v>165836.14066385679</v>
      </c>
      <c r="FZ203" s="72">
        <f t="shared" si="6"/>
        <v>194950.79276041451</v>
      </c>
      <c r="GA203" s="72">
        <f t="shared" si="6"/>
        <v>259412.59053672021</v>
      </c>
      <c r="GB203" s="72">
        <f t="shared" si="6"/>
        <v>320504.25222436996</v>
      </c>
      <c r="GC203" s="72">
        <f t="shared" si="6"/>
        <v>513605.90607517329</v>
      </c>
      <c r="GD203" s="72">
        <f t="shared" si="6"/>
        <v>981609.9241340654</v>
      </c>
      <c r="GE203" s="72">
        <f t="shared" si="6"/>
        <v>274431.09612400742</v>
      </c>
      <c r="GF203" s="72">
        <f t="shared" si="6"/>
        <v>317821.65170358546</v>
      </c>
      <c r="GG203" s="72">
        <f t="shared" si="6"/>
        <v>397027.13945904962</v>
      </c>
      <c r="GH203" s="72">
        <f t="shared" si="6"/>
        <v>512220.83048920601</v>
      </c>
      <c r="GI203" s="72">
        <f t="shared" si="6"/>
        <v>892167.18134239479</v>
      </c>
      <c r="GJ203" s="72">
        <f t="shared" si="6"/>
        <v>2722930.5357754175</v>
      </c>
      <c r="GK203" s="72">
        <f t="shared" si="6"/>
        <v>106419.70903117261</v>
      </c>
      <c r="GL203" s="72">
        <f t="shared" ref="GL203:GQ203" si="7">SUM(GL$5:GL$202)</f>
        <v>519804.99999999994</v>
      </c>
      <c r="GM203" s="72">
        <f t="shared" si="7"/>
        <v>48933.999999999964</v>
      </c>
      <c r="GN203" s="72">
        <f t="shared" si="7"/>
        <v>773858</v>
      </c>
      <c r="GO203" s="72">
        <f t="shared" si="7"/>
        <v>889950.32401825744</v>
      </c>
      <c r="GP203" s="72">
        <f t="shared" si="7"/>
        <v>24451.050778095017</v>
      </c>
      <c r="GQ203" s="72">
        <f t="shared" si="7"/>
        <v>1860600.9331292275</v>
      </c>
      <c r="GR203" s="72"/>
    </row>
  </sheetData>
  <hyperlinks>
    <hyperlink ref="A1" location="'Contents'!A1" display="Contents" xr:uid="{B9A5A81C-F46C-4F1A-8146-C9890D2FBFE9}"/>
  </hyperlinks>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3902-C824-4F71-9FE3-E42517F27C0A}">
  <sheetPr codeName="Sheet5">
    <tabColor rgb="FFFFCCFF"/>
  </sheetPr>
  <dimension ref="A1:H68"/>
  <sheetViews>
    <sheetView zoomScale="130" zoomScaleNormal="130" workbookViewId="0">
      <pane xSplit="4" ySplit="4" topLeftCell="E5" activePane="bottomRight" state="frozen"/>
      <selection pane="topRight"/>
      <selection pane="bottomLeft"/>
      <selection pane="bottomRight"/>
    </sheetView>
  </sheetViews>
  <sheetFormatPr defaultRowHeight="15" outlineLevelRow="1" x14ac:dyDescent="0.25"/>
  <cols>
    <col min="1" max="1" width="6.5703125" customWidth="1"/>
    <col min="2" max="2" width="4.7109375" customWidth="1"/>
    <col min="3" max="3" width="15.7109375" customWidth="1"/>
    <col min="4" max="8" width="10.7109375" customWidth="1"/>
  </cols>
  <sheetData>
    <row r="1" spans="1:8" x14ac:dyDescent="0.25">
      <c r="A1" s="90" t="s">
        <v>1618</v>
      </c>
      <c r="B1" s="79"/>
      <c r="C1" s="79"/>
      <c r="D1" s="79"/>
      <c r="E1" s="79"/>
      <c r="F1" s="79"/>
      <c r="G1" s="79"/>
      <c r="H1" s="79"/>
    </row>
    <row r="2" spans="1:8" ht="30" x14ac:dyDescent="0.25">
      <c r="A2" s="79"/>
      <c r="B2" s="79"/>
      <c r="C2" s="80" t="s">
        <v>1615</v>
      </c>
      <c r="D2" s="81" t="s">
        <v>1602</v>
      </c>
      <c r="E2" s="81" t="s">
        <v>1602</v>
      </c>
      <c r="F2" s="81" t="s">
        <v>1602</v>
      </c>
      <c r="G2" s="81" t="s">
        <v>1602</v>
      </c>
      <c r="H2" s="81" t="s">
        <v>1602</v>
      </c>
    </row>
    <row r="3" spans="1:8" x14ac:dyDescent="0.25">
      <c r="A3" s="79"/>
      <c r="B3" s="79"/>
      <c r="C3" s="79"/>
      <c r="D3" s="82" t="s">
        <v>1605</v>
      </c>
      <c r="E3" s="82" t="s">
        <v>1606</v>
      </c>
      <c r="F3" s="82" t="s">
        <v>1607</v>
      </c>
      <c r="G3" s="82" t="s">
        <v>1608</v>
      </c>
      <c r="H3" s="82" t="s">
        <v>1603</v>
      </c>
    </row>
    <row r="4" spans="1:8" ht="25.5" x14ac:dyDescent="0.25">
      <c r="A4" s="79"/>
      <c r="B4" s="79"/>
      <c r="C4" s="83"/>
      <c r="D4" s="82" t="s">
        <v>1624</v>
      </c>
      <c r="E4" s="82" t="s">
        <v>1625</v>
      </c>
      <c r="F4" s="82" t="s">
        <v>1626</v>
      </c>
      <c r="G4" s="82" t="s">
        <v>1627</v>
      </c>
      <c r="H4" s="82" t="s">
        <v>1604</v>
      </c>
    </row>
    <row r="5" spans="1:8" x14ac:dyDescent="0.25">
      <c r="A5" s="79"/>
      <c r="B5" s="79"/>
      <c r="C5" s="79" t="s">
        <v>141</v>
      </c>
      <c r="D5" s="84">
        <v>310350.83756442717</v>
      </c>
      <c r="E5" s="84">
        <v>356706.90910429461</v>
      </c>
      <c r="F5" s="84">
        <v>89094.480089140314</v>
      </c>
      <c r="G5" s="84">
        <v>36244.77324213797</v>
      </c>
      <c r="H5" s="84">
        <f>SUM(D5:G5)</f>
        <v>792397.00000000012</v>
      </c>
    </row>
    <row r="6" spans="1:8" x14ac:dyDescent="0.25">
      <c r="A6" s="79"/>
      <c r="B6" s="79"/>
      <c r="C6" s="79" t="s">
        <v>146</v>
      </c>
      <c r="D6" s="84">
        <v>20886.41136763481</v>
      </c>
      <c r="E6" s="84">
        <v>32028.466406370571</v>
      </c>
      <c r="F6" s="84">
        <v>5830.6134572054698</v>
      </c>
      <c r="G6" s="84">
        <v>1673.5087687891605</v>
      </c>
      <c r="H6" s="84">
        <f t="shared" ref="H6:H65" si="0">SUM(D6:G6)</f>
        <v>60419.000000000007</v>
      </c>
    </row>
    <row r="7" spans="1:8" hidden="1" outlineLevel="1" x14ac:dyDescent="0.25">
      <c r="A7" s="79"/>
      <c r="B7" s="79"/>
      <c r="C7" s="79" t="s">
        <v>151</v>
      </c>
      <c r="D7" s="84">
        <v>3190.4061187696548</v>
      </c>
      <c r="E7" s="84">
        <v>3769.920108415195</v>
      </c>
      <c r="F7" s="84">
        <v>925.81707541666503</v>
      </c>
      <c r="G7" s="84">
        <v>368.85669739848396</v>
      </c>
      <c r="H7" s="84">
        <f t="shared" si="0"/>
        <v>8254.9999999999982</v>
      </c>
    </row>
    <row r="8" spans="1:8" hidden="1" outlineLevel="1" x14ac:dyDescent="0.25">
      <c r="A8" s="79"/>
      <c r="B8" s="79"/>
      <c r="C8" s="79" t="s">
        <v>154</v>
      </c>
      <c r="D8" s="84">
        <v>4904.6376459201374</v>
      </c>
      <c r="E8" s="84">
        <v>19909.63168517841</v>
      </c>
      <c r="F8" s="84">
        <v>31061.126804452262</v>
      </c>
      <c r="G8" s="84">
        <v>20532.603864449193</v>
      </c>
      <c r="H8" s="84">
        <f t="shared" si="0"/>
        <v>76408</v>
      </c>
    </row>
    <row r="9" spans="1:8" hidden="1" outlineLevel="1" x14ac:dyDescent="0.25">
      <c r="A9" s="79"/>
      <c r="B9" s="79"/>
      <c r="C9" s="79" t="s">
        <v>166</v>
      </c>
      <c r="D9" s="84">
        <v>35185.785688783377</v>
      </c>
      <c r="E9" s="84">
        <v>42335.360563509515</v>
      </c>
      <c r="F9" s="84">
        <v>83206.2995834381</v>
      </c>
      <c r="G9" s="84">
        <v>70871.554164269008</v>
      </c>
      <c r="H9" s="84">
        <f t="shared" si="0"/>
        <v>231599</v>
      </c>
    </row>
    <row r="10" spans="1:8" hidden="1" outlineLevel="1" x14ac:dyDescent="0.25">
      <c r="A10" s="79"/>
      <c r="B10" s="79"/>
      <c r="C10" s="79" t="s">
        <v>158</v>
      </c>
      <c r="D10" s="84">
        <v>5739.59169547698</v>
      </c>
      <c r="E10" s="84">
        <v>16090.940409146182</v>
      </c>
      <c r="F10" s="84">
        <v>14600.997114994874</v>
      </c>
      <c r="G10" s="84">
        <v>4339.4707803819647</v>
      </c>
      <c r="H10" s="84">
        <f t="shared" si="0"/>
        <v>40771</v>
      </c>
    </row>
    <row r="11" spans="1:8" hidden="1" outlineLevel="1" x14ac:dyDescent="0.25">
      <c r="A11" s="79"/>
      <c r="B11" s="79"/>
      <c r="C11" s="79" t="s">
        <v>161</v>
      </c>
      <c r="D11" s="84">
        <v>9037.0718303696976</v>
      </c>
      <c r="E11" s="84">
        <v>21987.671306568609</v>
      </c>
      <c r="F11" s="84">
        <v>22780.535026268182</v>
      </c>
      <c r="G11" s="84">
        <v>9175.7218367935093</v>
      </c>
      <c r="H11" s="84">
        <f t="shared" si="0"/>
        <v>62981</v>
      </c>
    </row>
    <row r="12" spans="1:8" hidden="1" outlineLevel="1" x14ac:dyDescent="0.25">
      <c r="A12" s="79"/>
      <c r="B12" s="79"/>
      <c r="C12" s="79" t="s">
        <v>171</v>
      </c>
      <c r="D12" s="84">
        <v>32436.207272570271</v>
      </c>
      <c r="E12" s="84">
        <v>130360.21845694391</v>
      </c>
      <c r="F12" s="84">
        <v>110271.25402992281</v>
      </c>
      <c r="G12" s="84">
        <v>35064.320240563007</v>
      </c>
      <c r="H12" s="84">
        <f t="shared" si="0"/>
        <v>308132</v>
      </c>
    </row>
    <row r="13" spans="1:8" hidden="1" outlineLevel="1" x14ac:dyDescent="0.25">
      <c r="A13" s="79"/>
      <c r="B13" s="79"/>
      <c r="C13" s="79" t="s">
        <v>175</v>
      </c>
      <c r="D13" s="84">
        <v>12173.656165033728</v>
      </c>
      <c r="E13" s="84">
        <v>21319.568974780934</v>
      </c>
      <c r="F13" s="84">
        <v>20547.616683847937</v>
      </c>
      <c r="G13" s="84">
        <v>16536.158176337405</v>
      </c>
      <c r="H13" s="84">
        <f t="shared" si="0"/>
        <v>70577</v>
      </c>
    </row>
    <row r="14" spans="1:8" hidden="1" outlineLevel="1" x14ac:dyDescent="0.25">
      <c r="A14" s="79"/>
      <c r="B14" s="79"/>
      <c r="C14" s="79" t="s">
        <v>180</v>
      </c>
      <c r="D14" s="84">
        <v>6536.1574774567971</v>
      </c>
      <c r="E14" s="84">
        <v>22896.504259417376</v>
      </c>
      <c r="F14" s="84">
        <v>18854.748291291078</v>
      </c>
      <c r="G14" s="84">
        <v>3359.5899718347564</v>
      </c>
      <c r="H14" s="84">
        <f t="shared" si="0"/>
        <v>51647.000000000007</v>
      </c>
    </row>
    <row r="15" spans="1:8" hidden="1" outlineLevel="1" x14ac:dyDescent="0.25">
      <c r="A15" s="79"/>
      <c r="B15" s="79"/>
      <c r="C15" s="79" t="s">
        <v>185</v>
      </c>
      <c r="D15" s="84">
        <v>23351.455712678453</v>
      </c>
      <c r="E15" s="84">
        <v>82865.556440239801</v>
      </c>
      <c r="F15" s="84">
        <v>48383.599280211842</v>
      </c>
      <c r="G15" s="84">
        <v>13872.388566869908</v>
      </c>
      <c r="H15" s="84">
        <f t="shared" si="0"/>
        <v>168473</v>
      </c>
    </row>
    <row r="16" spans="1:8" hidden="1" outlineLevel="1" x14ac:dyDescent="0.25">
      <c r="A16" s="79"/>
      <c r="B16" s="79"/>
      <c r="C16" s="79" t="s">
        <v>190</v>
      </c>
      <c r="D16" s="84">
        <v>536.76138534018071</v>
      </c>
      <c r="E16" s="84">
        <v>3430.3830482577132</v>
      </c>
      <c r="F16" s="84">
        <v>3369.50002122151</v>
      </c>
      <c r="G16" s="84">
        <v>193.35554518059502</v>
      </c>
      <c r="H16" s="84">
        <f t="shared" si="0"/>
        <v>7529.9999999999991</v>
      </c>
    </row>
    <row r="17" spans="1:8" hidden="1" outlineLevel="1" x14ac:dyDescent="0.25">
      <c r="A17" s="79"/>
      <c r="B17" s="79"/>
      <c r="C17" s="79" t="s">
        <v>196</v>
      </c>
      <c r="D17" s="84">
        <v>1721.8569116967174</v>
      </c>
      <c r="E17" s="84">
        <v>9261.9678494375094</v>
      </c>
      <c r="F17" s="84">
        <v>5347.7426510248124</v>
      </c>
      <c r="G17" s="84">
        <v>1361.4325878409618</v>
      </c>
      <c r="H17" s="84">
        <f t="shared" si="0"/>
        <v>17693</v>
      </c>
    </row>
    <row r="18" spans="1:8" hidden="1" outlineLevel="1" x14ac:dyDescent="0.25">
      <c r="A18" s="79"/>
      <c r="B18" s="79"/>
      <c r="C18" s="79" t="s">
        <v>202</v>
      </c>
      <c r="D18" s="84">
        <v>10431.116917799896</v>
      </c>
      <c r="E18" s="84">
        <v>27060.051729800638</v>
      </c>
      <c r="F18" s="84">
        <v>16085.254873613951</v>
      </c>
      <c r="G18" s="84">
        <v>4040.5764787855178</v>
      </c>
      <c r="H18" s="84">
        <f t="shared" si="0"/>
        <v>57617</v>
      </c>
    </row>
    <row r="19" spans="1:8" hidden="1" outlineLevel="1" x14ac:dyDescent="0.25">
      <c r="A19" s="79"/>
      <c r="B19" s="79"/>
      <c r="C19" s="79" t="s">
        <v>206</v>
      </c>
      <c r="D19" s="84">
        <v>3207.1952391898449</v>
      </c>
      <c r="E19" s="84">
        <v>13193.034270681685</v>
      </c>
      <c r="F19" s="84">
        <v>16312.587954945981</v>
      </c>
      <c r="G19" s="84">
        <v>10504.18253518249</v>
      </c>
      <c r="H19" s="84">
        <f t="shared" si="0"/>
        <v>43217</v>
      </c>
    </row>
    <row r="20" spans="1:8" hidden="1" outlineLevel="1" x14ac:dyDescent="0.25">
      <c r="A20" s="79"/>
      <c r="B20" s="79"/>
      <c r="C20" s="79" t="s">
        <v>212</v>
      </c>
      <c r="D20" s="84">
        <v>3476.5543294376707</v>
      </c>
      <c r="E20" s="84">
        <v>21420.475913441322</v>
      </c>
      <c r="F20" s="84">
        <v>28401.038903856355</v>
      </c>
      <c r="G20" s="84">
        <v>14977.930853264652</v>
      </c>
      <c r="H20" s="84">
        <f t="shared" si="0"/>
        <v>68276</v>
      </c>
    </row>
    <row r="21" spans="1:8" hidden="1" outlineLevel="1" x14ac:dyDescent="0.25">
      <c r="A21" s="79"/>
      <c r="B21" s="79"/>
      <c r="C21" s="79" t="s">
        <v>218</v>
      </c>
      <c r="D21" s="84">
        <v>1183.8897031380527</v>
      </c>
      <c r="E21" s="84">
        <v>6997.5152484684932</v>
      </c>
      <c r="F21" s="84">
        <v>12326.311987929914</v>
      </c>
      <c r="G21" s="84">
        <v>18405.283060463542</v>
      </c>
      <c r="H21" s="84">
        <f t="shared" si="0"/>
        <v>38913</v>
      </c>
    </row>
    <row r="22" spans="1:8" hidden="1" outlineLevel="1" x14ac:dyDescent="0.25">
      <c r="A22" s="79"/>
      <c r="B22" s="79"/>
      <c r="C22" s="79" t="s">
        <v>223</v>
      </c>
      <c r="D22" s="84">
        <v>772.49899773248717</v>
      </c>
      <c r="E22" s="84">
        <v>3524.5763167898817</v>
      </c>
      <c r="F22" s="84">
        <v>4802.6668867093331</v>
      </c>
      <c r="G22" s="84">
        <v>3406.257798768298</v>
      </c>
      <c r="H22" s="84">
        <f t="shared" si="0"/>
        <v>12506</v>
      </c>
    </row>
    <row r="23" spans="1:8" hidden="1" outlineLevel="1" x14ac:dyDescent="0.25">
      <c r="A23" s="79"/>
      <c r="B23" s="79"/>
      <c r="C23" s="79" t="s">
        <v>229</v>
      </c>
      <c r="D23" s="84">
        <v>4823.5261242655006</v>
      </c>
      <c r="E23" s="84">
        <v>25620.999233565126</v>
      </c>
      <c r="F23" s="84">
        <v>36725.435650600164</v>
      </c>
      <c r="G23" s="84">
        <v>26774.038991569214</v>
      </c>
      <c r="H23" s="84">
        <f t="shared" si="0"/>
        <v>93944</v>
      </c>
    </row>
    <row r="24" spans="1:8" hidden="1" outlineLevel="1" x14ac:dyDescent="0.25">
      <c r="A24" s="79"/>
      <c r="B24" s="79"/>
      <c r="C24" s="79" t="s">
        <v>235</v>
      </c>
      <c r="D24" s="84">
        <v>1479.7758533922045</v>
      </c>
      <c r="E24" s="84">
        <v>5788.6806912595548</v>
      </c>
      <c r="F24" s="84">
        <v>8297.5042111759958</v>
      </c>
      <c r="G24" s="84">
        <v>3071.0392441722452</v>
      </c>
      <c r="H24" s="84">
        <f t="shared" si="0"/>
        <v>18637</v>
      </c>
    </row>
    <row r="25" spans="1:8" hidden="1" outlineLevel="1" x14ac:dyDescent="0.25">
      <c r="A25" s="79"/>
      <c r="B25" s="79"/>
      <c r="C25" s="79" t="s">
        <v>238</v>
      </c>
      <c r="D25" s="84">
        <v>4410.7440869343009</v>
      </c>
      <c r="E25" s="84">
        <v>19882.36760839718</v>
      </c>
      <c r="F25" s="84">
        <v>22781.573453680805</v>
      </c>
      <c r="G25" s="84">
        <v>5115.3148509877128</v>
      </c>
      <c r="H25" s="84">
        <f t="shared" si="0"/>
        <v>52190</v>
      </c>
    </row>
    <row r="26" spans="1:8" hidden="1" outlineLevel="1" x14ac:dyDescent="0.25">
      <c r="A26" s="79"/>
      <c r="B26" s="79"/>
      <c r="C26" s="79" t="s">
        <v>243</v>
      </c>
      <c r="D26" s="84">
        <v>1185.6411044053341</v>
      </c>
      <c r="E26" s="84">
        <v>5030.2799922903641</v>
      </c>
      <c r="F26" s="84">
        <v>6364.5214484478329</v>
      </c>
      <c r="G26" s="84">
        <v>2858.5574548564682</v>
      </c>
      <c r="H26" s="84">
        <f t="shared" si="0"/>
        <v>15439</v>
      </c>
    </row>
    <row r="27" spans="1:8" hidden="1" outlineLevel="1" x14ac:dyDescent="0.25">
      <c r="A27" s="79"/>
      <c r="B27" s="79"/>
      <c r="C27" s="79" t="s">
        <v>249</v>
      </c>
      <c r="D27" s="84">
        <v>26987.881758543113</v>
      </c>
      <c r="E27" s="84">
        <v>50154.224721495651</v>
      </c>
      <c r="F27" s="84">
        <v>24553.098842153726</v>
      </c>
      <c r="G27" s="84">
        <v>10624.794677807509</v>
      </c>
      <c r="H27" s="84">
        <f t="shared" si="0"/>
        <v>112320</v>
      </c>
    </row>
    <row r="28" spans="1:8" hidden="1" outlineLevel="1" x14ac:dyDescent="0.25">
      <c r="A28" s="79"/>
      <c r="B28" s="79"/>
      <c r="C28" s="79" t="s">
        <v>1459</v>
      </c>
      <c r="D28" s="86">
        <v>9918.0607092176688</v>
      </c>
      <c r="E28" s="86">
        <v>36031.548491418376</v>
      </c>
      <c r="F28" s="86">
        <v>47715.204448756886</v>
      </c>
      <c r="G28" s="86">
        <v>18828.186350607069</v>
      </c>
      <c r="H28" s="86">
        <f t="shared" si="0"/>
        <v>112492.99999999999</v>
      </c>
    </row>
    <row r="29" spans="1:8" hidden="1" outlineLevel="1" x14ac:dyDescent="0.25">
      <c r="A29" s="79"/>
      <c r="B29" s="79"/>
      <c r="C29" s="79" t="s">
        <v>264</v>
      </c>
      <c r="D29" s="84">
        <v>19077.5354130839</v>
      </c>
      <c r="E29" s="84">
        <v>67772.685218523431</v>
      </c>
      <c r="F29" s="84">
        <v>55122.790073356744</v>
      </c>
      <c r="G29" s="84">
        <v>21057.989295035932</v>
      </c>
      <c r="H29" s="84">
        <f t="shared" si="0"/>
        <v>163031</v>
      </c>
    </row>
    <row r="30" spans="1:8" hidden="1" outlineLevel="1" x14ac:dyDescent="0.25">
      <c r="A30" s="79"/>
      <c r="B30" s="79"/>
      <c r="C30" s="79" t="s">
        <v>269</v>
      </c>
      <c r="D30" s="84">
        <v>4977.5885617240801</v>
      </c>
      <c r="E30" s="84">
        <v>20029.049738940696</v>
      </c>
      <c r="F30" s="84">
        <v>26946.640044066236</v>
      </c>
      <c r="G30" s="84">
        <v>22617.721655268982</v>
      </c>
      <c r="H30" s="84">
        <f t="shared" si="0"/>
        <v>74570.999999999985</v>
      </c>
    </row>
    <row r="31" spans="1:8" hidden="1" outlineLevel="1" x14ac:dyDescent="0.25">
      <c r="A31" s="79"/>
      <c r="B31" s="79"/>
      <c r="C31" s="79" t="s">
        <v>275</v>
      </c>
      <c r="D31" s="84">
        <v>3521.3568196731735</v>
      </c>
      <c r="E31" s="84">
        <v>13986.092047302203</v>
      </c>
      <c r="F31" s="84">
        <v>17632.12484990988</v>
      </c>
      <c r="G31" s="84">
        <v>9685.4262831147444</v>
      </c>
      <c r="H31" s="84">
        <f t="shared" si="0"/>
        <v>44825</v>
      </c>
    </row>
    <row r="32" spans="1:8" hidden="1" outlineLevel="1" x14ac:dyDescent="0.25">
      <c r="A32" s="79"/>
      <c r="B32" s="79"/>
      <c r="C32" s="79" t="s">
        <v>281</v>
      </c>
      <c r="D32" s="84">
        <v>469.186389744819</v>
      </c>
      <c r="E32" s="84">
        <v>2472.998474562195</v>
      </c>
      <c r="F32" s="84">
        <v>6934.9719110656515</v>
      </c>
      <c r="G32" s="84">
        <v>4876.843224627336</v>
      </c>
      <c r="H32" s="84">
        <f t="shared" si="0"/>
        <v>14754</v>
      </c>
    </row>
    <row r="33" spans="1:8" hidden="1" outlineLevel="1" x14ac:dyDescent="0.25">
      <c r="A33" s="79"/>
      <c r="B33" s="79"/>
      <c r="C33" s="79" t="s">
        <v>286</v>
      </c>
      <c r="D33" s="84">
        <v>457.87417059264607</v>
      </c>
      <c r="E33" s="84">
        <v>2015.4366679399573</v>
      </c>
      <c r="F33" s="84">
        <v>3933.9957274026283</v>
      </c>
      <c r="G33" s="84">
        <v>2602.6934340647676</v>
      </c>
      <c r="H33" s="84">
        <f t="shared" si="0"/>
        <v>9010</v>
      </c>
    </row>
    <row r="34" spans="1:8" hidden="1" outlineLevel="1" x14ac:dyDescent="0.25">
      <c r="A34" s="79"/>
      <c r="B34" s="79"/>
      <c r="C34" s="79" t="s">
        <v>291</v>
      </c>
      <c r="D34" s="84">
        <v>3356.9226201003494</v>
      </c>
      <c r="E34" s="84">
        <v>20274.860869402895</v>
      </c>
      <c r="F34" s="84">
        <v>46381.291812001604</v>
      </c>
      <c r="G34" s="84">
        <v>23373.924698495142</v>
      </c>
      <c r="H34" s="84">
        <f t="shared" si="0"/>
        <v>93386.999999999985</v>
      </c>
    </row>
    <row r="35" spans="1:8" hidden="1" outlineLevel="1" x14ac:dyDescent="0.25">
      <c r="A35" s="79"/>
      <c r="B35" s="79"/>
      <c r="C35" s="79" t="s">
        <v>295</v>
      </c>
      <c r="D35" s="84">
        <v>331.51243944871692</v>
      </c>
      <c r="E35" s="84">
        <v>2441.692564921485</v>
      </c>
      <c r="F35" s="84">
        <v>3185.5787458710411</v>
      </c>
      <c r="G35" s="84">
        <v>1310.2162497587569</v>
      </c>
      <c r="H35" s="84">
        <f t="shared" si="0"/>
        <v>7269</v>
      </c>
    </row>
    <row r="36" spans="1:8" hidden="1" outlineLevel="1" x14ac:dyDescent="0.25">
      <c r="A36" s="79"/>
      <c r="B36" s="79"/>
      <c r="C36" s="79" t="s">
        <v>300</v>
      </c>
      <c r="D36" s="84">
        <v>7839.5011485244841</v>
      </c>
      <c r="E36" s="84">
        <v>29071.335017835911</v>
      </c>
      <c r="F36" s="84">
        <v>19754.238730948007</v>
      </c>
      <c r="G36" s="84">
        <v>4165.9251026916008</v>
      </c>
      <c r="H36" s="84">
        <f t="shared" si="0"/>
        <v>60831</v>
      </c>
    </row>
    <row r="37" spans="1:8" hidden="1" outlineLevel="1" x14ac:dyDescent="0.25">
      <c r="A37" s="79"/>
      <c r="B37" s="79"/>
      <c r="C37" s="79" t="s">
        <v>305</v>
      </c>
      <c r="D37" s="84">
        <v>6609.0446186535919</v>
      </c>
      <c r="E37" s="84">
        <v>18264.993822189226</v>
      </c>
      <c r="F37" s="84">
        <v>14297.940577512085</v>
      </c>
      <c r="G37" s="84">
        <v>6016.0209816450979</v>
      </c>
      <c r="H37" s="84">
        <f t="shared" si="0"/>
        <v>45188</v>
      </c>
    </row>
    <row r="38" spans="1:8" hidden="1" outlineLevel="1" x14ac:dyDescent="0.25">
      <c r="A38" s="79"/>
      <c r="B38" s="79"/>
      <c r="C38" s="79" t="s">
        <v>309</v>
      </c>
      <c r="D38" s="84">
        <v>7903.2948079628841</v>
      </c>
      <c r="E38" s="84">
        <v>17790.480909838509</v>
      </c>
      <c r="F38" s="84">
        <v>29111.915489251256</v>
      </c>
      <c r="G38" s="84">
        <v>45090.308792947355</v>
      </c>
      <c r="H38" s="84">
        <f t="shared" si="0"/>
        <v>99896</v>
      </c>
    </row>
    <row r="39" spans="1:8" hidden="1" outlineLevel="1" x14ac:dyDescent="0.25">
      <c r="A39" s="79"/>
      <c r="B39" s="79"/>
      <c r="C39" s="79" t="s">
        <v>313</v>
      </c>
      <c r="D39" s="84">
        <v>5536.6591846848023</v>
      </c>
      <c r="E39" s="84">
        <v>9862.8232283977977</v>
      </c>
      <c r="F39" s="84">
        <v>11698.428303904437</v>
      </c>
      <c r="G39" s="84">
        <v>11559.089283012963</v>
      </c>
      <c r="H39" s="84">
        <f t="shared" si="0"/>
        <v>38657</v>
      </c>
    </row>
    <row r="40" spans="1:8" hidden="1" outlineLevel="1" x14ac:dyDescent="0.25">
      <c r="A40" s="79"/>
      <c r="B40" s="79"/>
      <c r="C40" s="79" t="s">
        <v>318</v>
      </c>
      <c r="D40" s="84">
        <v>272066.78650495241</v>
      </c>
      <c r="E40" s="84">
        <v>613503.25470774691</v>
      </c>
      <c r="F40" s="84">
        <v>318531.04474394227</v>
      </c>
      <c r="G40" s="84">
        <v>143584.91404335838</v>
      </c>
      <c r="H40" s="84">
        <f t="shared" si="0"/>
        <v>1347686</v>
      </c>
    </row>
    <row r="41" spans="1:8" hidden="1" outlineLevel="1" x14ac:dyDescent="0.25">
      <c r="A41" s="79"/>
      <c r="B41" s="79"/>
      <c r="C41" s="79" t="s">
        <v>324</v>
      </c>
      <c r="D41" s="84">
        <v>15262.348306511651</v>
      </c>
      <c r="E41" s="84">
        <v>50253.268761166546</v>
      </c>
      <c r="F41" s="84">
        <v>70156.597205745813</v>
      </c>
      <c r="G41" s="84">
        <v>28318.78572657601</v>
      </c>
      <c r="H41" s="84">
        <f t="shared" si="0"/>
        <v>163991</v>
      </c>
    </row>
    <row r="42" spans="1:8" hidden="1" outlineLevel="1" x14ac:dyDescent="0.25">
      <c r="A42" s="79"/>
      <c r="B42" s="79"/>
      <c r="C42" s="79" t="s">
        <v>329</v>
      </c>
      <c r="D42" s="84">
        <v>274405.44297444477</v>
      </c>
      <c r="E42" s="84">
        <v>772446.37503930309</v>
      </c>
      <c r="F42" s="84">
        <v>807628.21645823028</v>
      </c>
      <c r="G42" s="84">
        <v>204113.96552802206</v>
      </c>
      <c r="H42" s="84">
        <f t="shared" si="0"/>
        <v>2058594.0000000002</v>
      </c>
    </row>
    <row r="43" spans="1:8" hidden="1" outlineLevel="1" x14ac:dyDescent="0.25">
      <c r="A43" s="79"/>
      <c r="B43" s="79"/>
      <c r="C43" s="79" t="s">
        <v>334</v>
      </c>
      <c r="D43" s="84">
        <v>51934.643863281075</v>
      </c>
      <c r="E43" s="84">
        <v>218930.28772389633</v>
      </c>
      <c r="F43" s="84">
        <v>220220.02815359255</v>
      </c>
      <c r="G43" s="84">
        <v>67389.040259230111</v>
      </c>
      <c r="H43" s="84">
        <f t="shared" si="0"/>
        <v>558474</v>
      </c>
    </row>
    <row r="44" spans="1:8" hidden="1" outlineLevel="1" x14ac:dyDescent="0.25">
      <c r="A44" s="79"/>
      <c r="B44" s="79"/>
      <c r="C44" s="79" t="s">
        <v>339</v>
      </c>
      <c r="D44" s="84">
        <v>47913.334995453071</v>
      </c>
      <c r="E44" s="84">
        <v>223753.94401663073</v>
      </c>
      <c r="F44" s="84">
        <v>231754.14430245492</v>
      </c>
      <c r="G44" s="84">
        <v>73178.576685461288</v>
      </c>
      <c r="H44" s="84">
        <f t="shared" si="0"/>
        <v>576600</v>
      </c>
    </row>
    <row r="45" spans="1:8" hidden="1" outlineLevel="1" x14ac:dyDescent="0.25">
      <c r="A45" s="79"/>
      <c r="B45" s="79"/>
      <c r="C45" s="79" t="s">
        <v>344</v>
      </c>
      <c r="D45" s="84">
        <v>81640.47964890291</v>
      </c>
      <c r="E45" s="84">
        <v>290276.93756383512</v>
      </c>
      <c r="F45" s="84">
        <v>263157.69654268253</v>
      </c>
      <c r="G45" s="84">
        <v>89532.886244579408</v>
      </c>
      <c r="H45" s="84">
        <f t="shared" si="0"/>
        <v>724608</v>
      </c>
    </row>
    <row r="46" spans="1:8" hidden="1" outlineLevel="1" x14ac:dyDescent="0.25">
      <c r="A46" s="79"/>
      <c r="B46" s="79"/>
      <c r="C46" s="79" t="s">
        <v>349</v>
      </c>
      <c r="D46" s="84">
        <v>48.641958937424242</v>
      </c>
      <c r="E46" s="84">
        <v>187.99154082933279</v>
      </c>
      <c r="F46" s="84">
        <v>207.93014013981082</v>
      </c>
      <c r="G46" s="84">
        <v>99.436360093432171</v>
      </c>
      <c r="H46" s="84">
        <f t="shared" si="0"/>
        <v>544</v>
      </c>
    </row>
    <row r="47" spans="1:8" hidden="1" outlineLevel="1" x14ac:dyDescent="0.25">
      <c r="A47" s="79"/>
      <c r="B47" s="79"/>
      <c r="C47" s="79" t="s">
        <v>355</v>
      </c>
      <c r="D47" s="84">
        <v>784.23662470364309</v>
      </c>
      <c r="E47" s="84">
        <v>3689.9414966440709</v>
      </c>
      <c r="F47" s="84">
        <v>12820.909152836679</v>
      </c>
      <c r="G47" s="84">
        <v>12425.912725815608</v>
      </c>
      <c r="H47" s="84">
        <f t="shared" si="0"/>
        <v>29721</v>
      </c>
    </row>
    <row r="48" spans="1:8" hidden="1" outlineLevel="1" x14ac:dyDescent="0.25">
      <c r="A48" s="79"/>
      <c r="B48" s="79"/>
      <c r="C48" s="79" t="s">
        <v>360</v>
      </c>
      <c r="D48" s="84">
        <v>5028.7777801148422</v>
      </c>
      <c r="E48" s="84">
        <v>28335.419935637212</v>
      </c>
      <c r="F48" s="84">
        <v>47523.759543991757</v>
      </c>
      <c r="G48" s="84">
        <v>29794.042740256187</v>
      </c>
      <c r="H48" s="84">
        <f t="shared" si="0"/>
        <v>110682</v>
      </c>
    </row>
    <row r="49" spans="1:8" hidden="1" outlineLevel="1" x14ac:dyDescent="0.25">
      <c r="A49" s="79"/>
      <c r="B49" s="79"/>
      <c r="C49" s="79" t="s">
        <v>366</v>
      </c>
      <c r="D49" s="84">
        <v>3923.6827348102665</v>
      </c>
      <c r="E49" s="84">
        <v>28549.050177079655</v>
      </c>
      <c r="F49" s="84">
        <v>56649.183173328929</v>
      </c>
      <c r="G49" s="84">
        <v>43631.083914781142</v>
      </c>
      <c r="H49" s="84">
        <f t="shared" si="0"/>
        <v>132753</v>
      </c>
    </row>
    <row r="50" spans="1:8" hidden="1" outlineLevel="1" x14ac:dyDescent="0.25">
      <c r="A50" s="79"/>
      <c r="B50" s="79"/>
      <c r="C50" s="79" t="s">
        <v>370</v>
      </c>
      <c r="D50" s="84">
        <v>14260.851002475063</v>
      </c>
      <c r="E50" s="84">
        <v>55394.527341607165</v>
      </c>
      <c r="F50" s="84">
        <v>91966.97158322492</v>
      </c>
      <c r="G50" s="84">
        <v>113486.65007269285</v>
      </c>
      <c r="H50" s="84">
        <f t="shared" si="0"/>
        <v>275109</v>
      </c>
    </row>
    <row r="51" spans="1:8" hidden="1" outlineLevel="1" x14ac:dyDescent="0.25">
      <c r="A51" s="79"/>
      <c r="B51" s="79"/>
      <c r="C51" s="79" t="s">
        <v>377</v>
      </c>
      <c r="D51" s="84">
        <v>475.67703259123061</v>
      </c>
      <c r="E51" s="84">
        <v>1997.2775614641344</v>
      </c>
      <c r="F51" s="84">
        <v>8246.5498622314863</v>
      </c>
      <c r="G51" s="84">
        <v>7546.4955437131493</v>
      </c>
      <c r="H51" s="84">
        <f t="shared" si="0"/>
        <v>18266</v>
      </c>
    </row>
    <row r="52" spans="1:8" hidden="1" outlineLevel="1" x14ac:dyDescent="0.25">
      <c r="A52" s="79"/>
      <c r="B52" s="79"/>
      <c r="C52" s="79" t="s">
        <v>382</v>
      </c>
      <c r="D52" s="84">
        <v>8825.7553076113909</v>
      </c>
      <c r="E52" s="84">
        <v>38351.132368584476</v>
      </c>
      <c r="F52" s="84">
        <v>47719.681684501353</v>
      </c>
      <c r="G52" s="84">
        <v>42154.43063930278</v>
      </c>
      <c r="H52" s="84">
        <f t="shared" si="0"/>
        <v>137051</v>
      </c>
    </row>
    <row r="53" spans="1:8" hidden="1" outlineLevel="1" x14ac:dyDescent="0.25">
      <c r="A53" s="79"/>
      <c r="B53" s="79"/>
      <c r="C53" s="79" t="s">
        <v>387</v>
      </c>
      <c r="D53" s="84">
        <v>17183.416671708284</v>
      </c>
      <c r="E53" s="84">
        <v>43658.972631801633</v>
      </c>
      <c r="F53" s="84">
        <v>37892.271971403876</v>
      </c>
      <c r="G53" s="84">
        <v>28467.338725086211</v>
      </c>
      <c r="H53" s="84">
        <f t="shared" si="0"/>
        <v>127202</v>
      </c>
    </row>
    <row r="54" spans="1:8" hidden="1" outlineLevel="1" x14ac:dyDescent="0.25">
      <c r="A54" s="79"/>
      <c r="B54" s="79"/>
      <c r="C54" s="79" t="s">
        <v>392</v>
      </c>
      <c r="D54" s="84">
        <v>4138.248460445302</v>
      </c>
      <c r="E54" s="84">
        <v>17532.127886454706</v>
      </c>
      <c r="F54" s="84">
        <v>18491.697534903957</v>
      </c>
      <c r="G54" s="84">
        <v>9629.9261181960355</v>
      </c>
      <c r="H54" s="84">
        <f t="shared" si="0"/>
        <v>49792</v>
      </c>
    </row>
    <row r="55" spans="1:8" hidden="1" outlineLevel="1" x14ac:dyDescent="0.25">
      <c r="A55" s="79"/>
      <c r="B55" s="79"/>
      <c r="C55" s="79" t="s">
        <v>398</v>
      </c>
      <c r="D55" s="84">
        <v>5657.9188101227965</v>
      </c>
      <c r="E55" s="84">
        <v>14535.504165584594</v>
      </c>
      <c r="F55" s="84">
        <v>36290.196375734908</v>
      </c>
      <c r="G55" s="84">
        <v>84861.380648557722</v>
      </c>
      <c r="H55" s="84">
        <f t="shared" si="0"/>
        <v>141345.00000000003</v>
      </c>
    </row>
    <row r="56" spans="1:8" hidden="1" outlineLevel="1" x14ac:dyDescent="0.25">
      <c r="A56" s="79"/>
      <c r="B56" s="79"/>
      <c r="C56" s="79" t="s">
        <v>402</v>
      </c>
      <c r="D56" s="84">
        <v>2504.1071738157157</v>
      </c>
      <c r="E56" s="84">
        <v>1223.9638880156983</v>
      </c>
      <c r="F56" s="84">
        <v>3373.0981910667851</v>
      </c>
      <c r="G56" s="84">
        <v>9235.8307471018015</v>
      </c>
      <c r="H56" s="84">
        <f t="shared" si="0"/>
        <v>16337</v>
      </c>
    </row>
    <row r="57" spans="1:8" hidden="1" outlineLevel="1" x14ac:dyDescent="0.25">
      <c r="A57" s="79"/>
      <c r="B57" s="79"/>
      <c r="C57" s="79" t="s">
        <v>407</v>
      </c>
      <c r="D57" s="84">
        <v>122697.40791279871</v>
      </c>
      <c r="E57" s="84">
        <v>606389.41858646437</v>
      </c>
      <c r="F57" s="84">
        <v>612231.76357735763</v>
      </c>
      <c r="G57" s="84">
        <v>411070.40992337925</v>
      </c>
      <c r="H57" s="84">
        <f t="shared" si="0"/>
        <v>1752389</v>
      </c>
    </row>
    <row r="58" spans="1:8" hidden="1" outlineLevel="1" x14ac:dyDescent="0.25">
      <c r="A58" s="79"/>
      <c r="B58" s="79"/>
      <c r="C58" s="79" t="s">
        <v>412</v>
      </c>
      <c r="D58" s="84">
        <v>36301.199266772426</v>
      </c>
      <c r="E58" s="84">
        <v>102972.30885039159</v>
      </c>
      <c r="F58" s="84">
        <v>320997.88159434864</v>
      </c>
      <c r="G58" s="84">
        <v>338345.61028848734</v>
      </c>
      <c r="H58" s="84">
        <f t="shared" si="0"/>
        <v>798617</v>
      </c>
    </row>
    <row r="59" spans="1:8" hidden="1" outlineLevel="1" x14ac:dyDescent="0.25">
      <c r="A59" s="79"/>
      <c r="B59" s="79"/>
      <c r="C59" s="79" t="s">
        <v>415</v>
      </c>
      <c r="D59" s="84">
        <v>75523.374113332073</v>
      </c>
      <c r="E59" s="84">
        <v>122328.16500503851</v>
      </c>
      <c r="F59" s="84">
        <v>151666.76291875861</v>
      </c>
      <c r="G59" s="84">
        <v>632858.69796287082</v>
      </c>
      <c r="H59" s="84">
        <f t="shared" si="0"/>
        <v>982377</v>
      </c>
    </row>
    <row r="60" spans="1:8" hidden="1" outlineLevel="1" x14ac:dyDescent="0.25">
      <c r="A60" s="79"/>
      <c r="B60" s="79"/>
      <c r="C60" s="79" t="s">
        <v>420</v>
      </c>
      <c r="D60" s="84">
        <v>80758.983512021048</v>
      </c>
      <c r="E60" s="84">
        <v>238829.53186015651</v>
      </c>
      <c r="F60" s="84">
        <v>307824.58825618547</v>
      </c>
      <c r="G60" s="84">
        <v>387338.89637163706</v>
      </c>
      <c r="H60" s="84">
        <f t="shared" si="0"/>
        <v>1014752</v>
      </c>
    </row>
    <row r="61" spans="1:8" hidden="1" outlineLevel="1" x14ac:dyDescent="0.25">
      <c r="A61" s="79"/>
      <c r="B61" s="79"/>
      <c r="C61" s="79" t="s">
        <v>426</v>
      </c>
      <c r="D61" s="84">
        <v>89149.75404168549</v>
      </c>
      <c r="E61" s="84">
        <v>169733.85194575533</v>
      </c>
      <c r="F61" s="84">
        <v>62848.629482136617</v>
      </c>
      <c r="G61" s="84">
        <v>9351.7645304225389</v>
      </c>
      <c r="H61" s="84">
        <f t="shared" si="0"/>
        <v>331083.99999999994</v>
      </c>
    </row>
    <row r="62" spans="1:8" hidden="1" outlineLevel="1" x14ac:dyDescent="0.25">
      <c r="A62" s="79"/>
      <c r="B62" s="79"/>
      <c r="C62" s="79" t="s">
        <v>431</v>
      </c>
      <c r="D62" s="84">
        <v>7440.2693605255799</v>
      </c>
      <c r="E62" s="84">
        <v>15619.975740508582</v>
      </c>
      <c r="F62" s="84">
        <v>22023.114430064459</v>
      </c>
      <c r="G62" s="84">
        <v>31457.640468901383</v>
      </c>
      <c r="H62" s="84">
        <f t="shared" si="0"/>
        <v>76541</v>
      </c>
    </row>
    <row r="63" spans="1:8" hidden="1" outlineLevel="1" x14ac:dyDescent="0.25">
      <c r="A63" s="79"/>
      <c r="B63" s="79"/>
      <c r="C63" s="79" t="s">
        <v>436</v>
      </c>
      <c r="D63" s="84">
        <v>10206.921393680093</v>
      </c>
      <c r="E63" s="84">
        <v>39279.621547233721</v>
      </c>
      <c r="F63" s="84">
        <v>64670.538544092342</v>
      </c>
      <c r="G63" s="84">
        <v>60378.918514993849</v>
      </c>
      <c r="H63" s="84">
        <f t="shared" si="0"/>
        <v>174536</v>
      </c>
    </row>
    <row r="64" spans="1:8" collapsed="1" x14ac:dyDescent="0.25">
      <c r="A64" s="79"/>
      <c r="B64" s="79"/>
      <c r="C64" s="79" t="s">
        <v>440</v>
      </c>
      <c r="D64" s="84">
        <v>29722.19653760119</v>
      </c>
      <c r="E64" s="84">
        <v>135357.47283720065</v>
      </c>
      <c r="F64" s="84">
        <v>85079.382800432839</v>
      </c>
      <c r="G64" s="84">
        <v>38999.947824765324</v>
      </c>
      <c r="H64" s="84">
        <f t="shared" si="0"/>
        <v>289159</v>
      </c>
    </row>
    <row r="65" spans="1:8" x14ac:dyDescent="0.25">
      <c r="A65" s="79"/>
      <c r="B65" s="79"/>
      <c r="C65" s="79" t="s">
        <v>445</v>
      </c>
      <c r="D65" s="84">
        <v>434744.70980095846</v>
      </c>
      <c r="E65" s="84">
        <v>658101.81138524273</v>
      </c>
      <c r="F65" s="84">
        <v>180898.78134238036</v>
      </c>
      <c r="G65" s="84">
        <v>13785.697471418507</v>
      </c>
      <c r="H65" s="84">
        <f t="shared" si="0"/>
        <v>1287531</v>
      </c>
    </row>
    <row r="66" spans="1:8" x14ac:dyDescent="0.25">
      <c r="A66" s="79"/>
      <c r="B66" s="79"/>
      <c r="C66" s="79" t="s">
        <v>128</v>
      </c>
      <c r="D66" s="85">
        <f>SUM(D5:D65)</f>
        <v>2286607.363624665</v>
      </c>
      <c r="E66" s="85">
        <f t="shared" ref="E66:G66" si="1">SUM(E5:E65)</f>
        <v>5672881.435954297</v>
      </c>
      <c r="F66" s="85">
        <f t="shared" si="1"/>
        <v>4994510.8646013672</v>
      </c>
      <c r="G66" s="85">
        <f t="shared" si="1"/>
        <v>3395594.3358196742</v>
      </c>
      <c r="H66" s="85">
        <f>SUM(H5:H65)</f>
        <v>16349594</v>
      </c>
    </row>
    <row r="68" spans="1:8" x14ac:dyDescent="0.25">
      <c r="D68" s="84"/>
    </row>
  </sheetData>
  <hyperlinks>
    <hyperlink ref="A1" location="'Contents'!A1" display="Contents" xr:uid="{F2DAE03D-11B7-461A-A901-CA1E10524C10}"/>
  </hyperlinks>
  <pageMargins left="0.7" right="0.7" top="0.75" bottom="0.75" header="0.3" footer="0.3"/>
  <pageSetup orientation="portrait" horizontalDpi="300" verticalDpi="3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A6C62-A766-4ED4-AB7A-F78139F575EF}">
  <sheetPr codeName="Sheet2"/>
  <dimension ref="A1:L126"/>
  <sheetViews>
    <sheetView zoomScale="130" zoomScaleNormal="130" workbookViewId="0">
      <pane ySplit="3" topLeftCell="A118" activePane="bottomLeft" state="frozen"/>
      <selection pane="bottomLeft"/>
    </sheetView>
  </sheetViews>
  <sheetFormatPr defaultRowHeight="12.75" outlineLevelCol="1" x14ac:dyDescent="0.2"/>
  <cols>
    <col min="1" max="1" width="9.140625" style="24" customWidth="1" outlineLevel="1"/>
    <col min="2" max="2" width="21.140625" style="24" bestFit="1" customWidth="1" outlineLevel="1"/>
    <col min="3" max="3" width="9.85546875" style="24" customWidth="1" outlineLevel="1"/>
    <col min="4" max="4" width="50.85546875" style="24" customWidth="1" outlineLevel="1"/>
    <col min="5" max="5" width="51.5703125" style="24" customWidth="1" outlineLevel="1"/>
    <col min="6" max="6" width="13.42578125" style="24" customWidth="1" outlineLevel="1"/>
    <col min="7" max="7" width="9.140625" style="24"/>
    <col min="8" max="8" width="51.85546875" style="24" bestFit="1" customWidth="1"/>
    <col min="9" max="9" width="13.42578125" style="24" customWidth="1"/>
    <col min="10" max="10" width="8.42578125" style="24" customWidth="1"/>
    <col min="11" max="11" width="5.5703125" style="24" bestFit="1" customWidth="1"/>
    <col min="12" max="12" width="41" style="24" bestFit="1" customWidth="1"/>
    <col min="13" max="16384" width="9.140625" style="24"/>
  </cols>
  <sheetData>
    <row r="1" spans="1:12" ht="15.75" thickBot="1" x14ac:dyDescent="0.3">
      <c r="A1" s="90" t="s">
        <v>1618</v>
      </c>
      <c r="G1" s="88" t="s">
        <v>1563</v>
      </c>
      <c r="H1" s="89"/>
    </row>
    <row r="2" spans="1:12" ht="90" customHeight="1" thickBot="1" x14ac:dyDescent="0.25">
      <c r="A2" s="25" t="s">
        <v>1350</v>
      </c>
      <c r="B2" s="25" t="s">
        <v>1330</v>
      </c>
      <c r="C2" s="21" t="s">
        <v>132</v>
      </c>
      <c r="D2" s="7" t="s">
        <v>133</v>
      </c>
      <c r="E2" s="22" t="s">
        <v>134</v>
      </c>
      <c r="F2" s="22" t="s">
        <v>135</v>
      </c>
      <c r="G2" s="26" t="s">
        <v>1564</v>
      </c>
      <c r="H2" s="27" t="s">
        <v>1565</v>
      </c>
      <c r="I2" s="1"/>
      <c r="J2" s="28" t="s">
        <v>1566</v>
      </c>
      <c r="K2" s="28" t="s">
        <v>1564</v>
      </c>
      <c r="L2" s="27" t="s">
        <v>1565</v>
      </c>
    </row>
    <row r="3" spans="1:12" ht="15" customHeight="1" thickBot="1" x14ac:dyDescent="0.25">
      <c r="A3" s="29" t="s">
        <v>0</v>
      </c>
      <c r="B3" s="29" t="s">
        <v>137</v>
      </c>
      <c r="C3" s="30" t="s">
        <v>138</v>
      </c>
      <c r="D3" s="2" t="s">
        <v>139</v>
      </c>
      <c r="E3" s="31" t="s">
        <v>140</v>
      </c>
      <c r="F3" s="3">
        <v>11</v>
      </c>
      <c r="G3" s="59" t="str">
        <f t="shared" ref="G3:H5" si="0">K3</f>
        <v>aagri</v>
      </c>
      <c r="H3" s="59" t="str">
        <f t="shared" si="0"/>
        <v>Agriculture</v>
      </c>
      <c r="I3" s="5"/>
      <c r="J3" s="6" t="s">
        <v>1435</v>
      </c>
      <c r="K3" s="6" t="s">
        <v>141</v>
      </c>
      <c r="L3" s="6" t="s">
        <v>137</v>
      </c>
    </row>
    <row r="4" spans="1:12" ht="15" customHeight="1" thickBot="1" x14ac:dyDescent="0.25">
      <c r="A4" s="29" t="s">
        <v>1</v>
      </c>
      <c r="B4" s="29" t="s">
        <v>142</v>
      </c>
      <c r="C4" s="30" t="s">
        <v>143</v>
      </c>
      <c r="D4" s="2" t="s">
        <v>144</v>
      </c>
      <c r="E4" s="31" t="s">
        <v>145</v>
      </c>
      <c r="F4" s="3">
        <v>12</v>
      </c>
      <c r="G4" s="59" t="str">
        <f t="shared" si="0"/>
        <v>afore</v>
      </c>
      <c r="H4" s="59" t="str">
        <f t="shared" si="0"/>
        <v>Forestry</v>
      </c>
      <c r="I4" s="5"/>
      <c r="J4" s="6" t="s">
        <v>1436</v>
      </c>
      <c r="K4" s="6" t="s">
        <v>146</v>
      </c>
      <c r="L4" s="6" t="s">
        <v>142</v>
      </c>
    </row>
    <row r="5" spans="1:12" ht="15" customHeight="1" thickBot="1" x14ac:dyDescent="0.25">
      <c r="A5" s="29" t="s">
        <v>2</v>
      </c>
      <c r="B5" s="29" t="s">
        <v>147</v>
      </c>
      <c r="C5" s="30" t="s">
        <v>148</v>
      </c>
      <c r="D5" s="2" t="s">
        <v>149</v>
      </c>
      <c r="E5" s="31" t="s">
        <v>150</v>
      </c>
      <c r="F5" s="3">
        <v>13</v>
      </c>
      <c r="G5" s="59" t="str">
        <f t="shared" si="0"/>
        <v>afish</v>
      </c>
      <c r="H5" s="59" t="str">
        <f t="shared" si="0"/>
        <v>Fishing</v>
      </c>
      <c r="I5" s="5"/>
      <c r="J5" s="6" t="s">
        <v>1437</v>
      </c>
      <c r="K5" s="6" t="s">
        <v>151</v>
      </c>
      <c r="L5" s="6" t="s">
        <v>147</v>
      </c>
    </row>
    <row r="6" spans="1:12" ht="15" customHeight="1" thickBot="1" x14ac:dyDescent="0.25">
      <c r="A6" s="29" t="s">
        <v>3</v>
      </c>
      <c r="B6" s="29" t="s">
        <v>1290</v>
      </c>
      <c r="C6" s="30" t="s">
        <v>152</v>
      </c>
      <c r="D6" s="2" t="s">
        <v>153</v>
      </c>
      <c r="E6" s="31">
        <v>2100</v>
      </c>
      <c r="F6" s="3">
        <v>21</v>
      </c>
      <c r="G6" s="59" t="str">
        <f>K$6</f>
        <v>acoal</v>
      </c>
      <c r="H6" s="59" t="str">
        <f>L$6</f>
        <v>Mining of coal and lignite</v>
      </c>
      <c r="I6" s="5"/>
      <c r="J6" s="6" t="s">
        <v>1438</v>
      </c>
      <c r="K6" s="6" t="s">
        <v>154</v>
      </c>
      <c r="L6" s="6" t="s">
        <v>153</v>
      </c>
    </row>
    <row r="7" spans="1:12" ht="15" customHeight="1" thickBot="1" x14ac:dyDescent="0.25">
      <c r="A7" s="29" t="s">
        <v>4</v>
      </c>
      <c r="B7" s="29" t="s">
        <v>1291</v>
      </c>
      <c r="C7" s="30" t="s">
        <v>155</v>
      </c>
      <c r="D7" s="2" t="s">
        <v>156</v>
      </c>
      <c r="E7" s="31" t="s">
        <v>157</v>
      </c>
      <c r="F7" s="3">
        <v>22</v>
      </c>
      <c r="G7" s="59" t="str">
        <f>K$9</f>
        <v>aomin</v>
      </c>
      <c r="H7" s="59" t="str">
        <f>L$9</f>
        <v>Other mining and quarrying</v>
      </c>
      <c r="I7" s="5"/>
      <c r="J7" s="6" t="s">
        <v>1439</v>
      </c>
      <c r="K7" s="6" t="s">
        <v>158</v>
      </c>
      <c r="L7" s="6" t="s">
        <v>159</v>
      </c>
    </row>
    <row r="8" spans="1:12" ht="15" customHeight="1" thickBot="1" x14ac:dyDescent="0.25">
      <c r="A8" s="29" t="s">
        <v>5</v>
      </c>
      <c r="B8" s="29" t="s">
        <v>1292</v>
      </c>
      <c r="C8" s="30" t="s">
        <v>160</v>
      </c>
      <c r="D8" s="2" t="s">
        <v>159</v>
      </c>
      <c r="E8" s="31">
        <v>2300</v>
      </c>
      <c r="F8" s="3">
        <v>23</v>
      </c>
      <c r="G8" s="59" t="str">
        <f>K7</f>
        <v>agold</v>
      </c>
      <c r="H8" s="59" t="str">
        <f>L7</f>
        <v>Mining of gold and uranium ore</v>
      </c>
      <c r="I8" s="5"/>
      <c r="J8" s="6" t="s">
        <v>1440</v>
      </c>
      <c r="K8" s="6" t="s">
        <v>161</v>
      </c>
      <c r="L8" s="6" t="s">
        <v>162</v>
      </c>
    </row>
    <row r="9" spans="1:12" ht="15" customHeight="1" thickBot="1" x14ac:dyDescent="0.25">
      <c r="A9" s="29" t="s">
        <v>6</v>
      </c>
      <c r="B9" s="29" t="s">
        <v>1293</v>
      </c>
      <c r="C9" s="30" t="s">
        <v>163</v>
      </c>
      <c r="D9" s="2" t="s">
        <v>164</v>
      </c>
      <c r="E9" s="31" t="s">
        <v>165</v>
      </c>
      <c r="F9" s="3">
        <v>24</v>
      </c>
      <c r="G9" s="59" t="str">
        <f>K8</f>
        <v>amore</v>
      </c>
      <c r="H9" s="59" t="str">
        <f>L8</f>
        <v>Mining of metal ores</v>
      </c>
      <c r="I9" s="5"/>
      <c r="J9" s="6" t="s">
        <v>1441</v>
      </c>
      <c r="K9" s="6" t="s">
        <v>166</v>
      </c>
      <c r="L9" s="6" t="s">
        <v>167</v>
      </c>
    </row>
    <row r="10" spans="1:12" ht="15" customHeight="1" thickBot="1" x14ac:dyDescent="0.25">
      <c r="A10" s="29" t="s">
        <v>7</v>
      </c>
      <c r="B10" s="29" t="s">
        <v>1294</v>
      </c>
      <c r="C10" s="30" t="s">
        <v>168</v>
      </c>
      <c r="D10" s="2" t="s">
        <v>169</v>
      </c>
      <c r="E10" s="31" t="s">
        <v>170</v>
      </c>
      <c r="F10" s="3">
        <v>25</v>
      </c>
      <c r="G10" s="59" t="str">
        <f>K$9</f>
        <v>aomin</v>
      </c>
      <c r="H10" s="59" t="str">
        <f>L$9</f>
        <v>Other mining and quarrying</v>
      </c>
      <c r="I10" s="5"/>
      <c r="J10" s="6" t="s">
        <v>1442</v>
      </c>
      <c r="K10" s="6" t="s">
        <v>171</v>
      </c>
      <c r="L10" s="6" t="s">
        <v>172</v>
      </c>
    </row>
    <row r="11" spans="1:12" ht="15" customHeight="1" thickBot="1" x14ac:dyDescent="0.25">
      <c r="A11" s="29" t="s">
        <v>8</v>
      </c>
      <c r="B11" s="29" t="s">
        <v>1295</v>
      </c>
      <c r="C11" s="30" t="s">
        <v>173</v>
      </c>
      <c r="D11" s="2" t="s">
        <v>174</v>
      </c>
      <c r="E11" s="31">
        <v>2900</v>
      </c>
      <c r="F11" s="3">
        <v>29</v>
      </c>
      <c r="G11" s="59" t="str">
        <f>K$9</f>
        <v>aomin</v>
      </c>
      <c r="H11" s="59" t="str">
        <f>L$9</f>
        <v>Other mining and quarrying</v>
      </c>
      <c r="I11" s="5"/>
      <c r="J11" s="6" t="s">
        <v>1443</v>
      </c>
      <c r="K11" s="6" t="s">
        <v>175</v>
      </c>
      <c r="L11" s="6" t="s">
        <v>176</v>
      </c>
    </row>
    <row r="12" spans="1:12" ht="15" customHeight="1" thickBot="1" x14ac:dyDescent="0.25">
      <c r="A12" s="29" t="s">
        <v>9</v>
      </c>
      <c r="B12" s="29" t="s">
        <v>1425</v>
      </c>
      <c r="C12" s="30" t="s">
        <v>177</v>
      </c>
      <c r="D12" s="2" t="s">
        <v>178</v>
      </c>
      <c r="E12" s="31" t="s">
        <v>179</v>
      </c>
      <c r="F12" s="3">
        <v>301</v>
      </c>
      <c r="G12" s="59" t="str">
        <f t="shared" ref="G12:H15" si="1">K$10</f>
        <v>afood</v>
      </c>
      <c r="H12" s="59" t="str">
        <f t="shared" si="1"/>
        <v>Food</v>
      </c>
      <c r="I12" s="5"/>
      <c r="J12" s="6" t="s">
        <v>1444</v>
      </c>
      <c r="K12" s="6" t="s">
        <v>180</v>
      </c>
      <c r="L12" s="6" t="s">
        <v>181</v>
      </c>
    </row>
    <row r="13" spans="1:12" ht="15" customHeight="1" thickBot="1" x14ac:dyDescent="0.25">
      <c r="A13" s="29" t="s">
        <v>10</v>
      </c>
      <c r="B13" s="29" t="s">
        <v>182</v>
      </c>
      <c r="C13" s="30" t="s">
        <v>183</v>
      </c>
      <c r="D13" s="2" t="s">
        <v>184</v>
      </c>
      <c r="E13" s="31">
        <v>3020</v>
      </c>
      <c r="F13" s="3">
        <v>302</v>
      </c>
      <c r="G13" s="59" t="str">
        <f t="shared" si="1"/>
        <v>afood</v>
      </c>
      <c r="H13" s="59" t="str">
        <f t="shared" si="1"/>
        <v>Food</v>
      </c>
      <c r="I13" s="5"/>
      <c r="J13" s="6" t="s">
        <v>1445</v>
      </c>
      <c r="K13" s="6" t="s">
        <v>185</v>
      </c>
      <c r="L13" s="6" t="s">
        <v>186</v>
      </c>
    </row>
    <row r="14" spans="1:12" ht="15" customHeight="1" thickBot="1" x14ac:dyDescent="0.25">
      <c r="A14" s="29" t="s">
        <v>11</v>
      </c>
      <c r="B14" s="29" t="s">
        <v>1296</v>
      </c>
      <c r="C14" s="30" t="s">
        <v>187</v>
      </c>
      <c r="D14" s="2" t="s">
        <v>188</v>
      </c>
      <c r="E14" s="31" t="s">
        <v>189</v>
      </c>
      <c r="F14" s="3">
        <v>303</v>
      </c>
      <c r="G14" s="59" t="str">
        <f t="shared" si="1"/>
        <v>afood</v>
      </c>
      <c r="H14" s="59" t="str">
        <f t="shared" si="1"/>
        <v>Food</v>
      </c>
      <c r="I14" s="5"/>
      <c r="J14" s="6" t="s">
        <v>1446</v>
      </c>
      <c r="K14" s="6" t="s">
        <v>190</v>
      </c>
      <c r="L14" s="6" t="s">
        <v>191</v>
      </c>
    </row>
    <row r="15" spans="1:12" ht="15" customHeight="1" thickBot="1" x14ac:dyDescent="0.25">
      <c r="A15" s="29" t="s">
        <v>12</v>
      </c>
      <c r="B15" s="29" t="s">
        <v>192</v>
      </c>
      <c r="C15" s="30" t="s">
        <v>193</v>
      </c>
      <c r="D15" s="2" t="s">
        <v>194</v>
      </c>
      <c r="E15" s="31" t="s">
        <v>195</v>
      </c>
      <c r="F15" s="3">
        <v>304</v>
      </c>
      <c r="G15" s="59" t="str">
        <f t="shared" si="1"/>
        <v>afood</v>
      </c>
      <c r="H15" s="59" t="str">
        <f t="shared" si="1"/>
        <v>Food</v>
      </c>
      <c r="I15" s="5"/>
      <c r="J15" s="6" t="s">
        <v>1447</v>
      </c>
      <c r="K15" s="6" t="s">
        <v>196</v>
      </c>
      <c r="L15" s="6" t="s">
        <v>197</v>
      </c>
    </row>
    <row r="16" spans="1:12" ht="15" customHeight="1" thickBot="1" x14ac:dyDescent="0.25">
      <c r="A16" s="29" t="s">
        <v>13</v>
      </c>
      <c r="B16" s="29" t="s">
        <v>198</v>
      </c>
      <c r="C16" s="30" t="s">
        <v>199</v>
      </c>
      <c r="D16" s="2" t="s">
        <v>200</v>
      </c>
      <c r="E16" s="31" t="s">
        <v>201</v>
      </c>
      <c r="F16" s="3">
        <v>305</v>
      </c>
      <c r="G16" s="59" t="str">
        <f>K$11</f>
        <v>abevt</v>
      </c>
      <c r="H16" s="59" t="str">
        <f>L$11</f>
        <v>Beverages and tobacco</v>
      </c>
      <c r="I16" s="5"/>
      <c r="J16" s="6" t="s">
        <v>1448</v>
      </c>
      <c r="K16" s="6" t="s">
        <v>202</v>
      </c>
      <c r="L16" s="6" t="s">
        <v>203</v>
      </c>
    </row>
    <row r="17" spans="1:12" ht="15" customHeight="1" thickBot="1" x14ac:dyDescent="0.25">
      <c r="A17" s="29" t="s">
        <v>14</v>
      </c>
      <c r="B17" s="29" t="s">
        <v>205</v>
      </c>
      <c r="C17" s="30" t="s">
        <v>204</v>
      </c>
      <c r="D17" s="2" t="s">
        <v>205</v>
      </c>
      <c r="E17" s="31">
        <v>3060</v>
      </c>
      <c r="F17" s="3">
        <v>306</v>
      </c>
      <c r="G17" s="59" t="str">
        <f>K$11</f>
        <v>abevt</v>
      </c>
      <c r="H17" s="59" t="str">
        <f>L$11</f>
        <v>Beverages and tobacco</v>
      </c>
      <c r="I17" s="5"/>
      <c r="J17" s="6" t="s">
        <v>1449</v>
      </c>
      <c r="K17" s="6" t="s">
        <v>206</v>
      </c>
      <c r="L17" s="6" t="s">
        <v>207</v>
      </c>
    </row>
    <row r="18" spans="1:12" ht="15" customHeight="1" thickBot="1" x14ac:dyDescent="0.25">
      <c r="A18" s="29" t="s">
        <v>15</v>
      </c>
      <c r="B18" s="29" t="s">
        <v>208</v>
      </c>
      <c r="C18" s="30" t="s">
        <v>209</v>
      </c>
      <c r="D18" s="2" t="s">
        <v>210</v>
      </c>
      <c r="E18" s="31" t="s">
        <v>211</v>
      </c>
      <c r="F18" s="3">
        <v>311</v>
      </c>
      <c r="G18" s="59" t="str">
        <f>K$12</f>
        <v>aweav</v>
      </c>
      <c r="H18" s="59" t="str">
        <f>L$12</f>
        <v>Spinning, weaving and finishing of textiles</v>
      </c>
      <c r="I18" s="5"/>
      <c r="J18" s="6" t="s">
        <v>1450</v>
      </c>
      <c r="K18" s="6" t="s">
        <v>212</v>
      </c>
      <c r="L18" s="6" t="s">
        <v>213</v>
      </c>
    </row>
    <row r="19" spans="1:12" ht="15" customHeight="1" thickBot="1" x14ac:dyDescent="0.25">
      <c r="A19" s="29" t="s">
        <v>16</v>
      </c>
      <c r="B19" s="29" t="s">
        <v>1426</v>
      </c>
      <c r="C19" s="30" t="s">
        <v>215</v>
      </c>
      <c r="D19" s="2" t="s">
        <v>216</v>
      </c>
      <c r="E19" s="31" t="s">
        <v>217</v>
      </c>
      <c r="F19" s="3">
        <v>312</v>
      </c>
      <c r="G19" s="59" t="str">
        <f>K$12</f>
        <v>aweav</v>
      </c>
      <c r="H19" s="59" t="str">
        <f>L$12</f>
        <v>Spinning, weaving and finishing of textiles</v>
      </c>
      <c r="I19" s="5"/>
      <c r="J19" s="6" t="s">
        <v>1451</v>
      </c>
      <c r="K19" s="6" t="s">
        <v>218</v>
      </c>
      <c r="L19" s="6" t="s">
        <v>219</v>
      </c>
    </row>
    <row r="20" spans="1:12" ht="15" customHeight="1" thickBot="1" x14ac:dyDescent="0.25">
      <c r="A20" s="29" t="s">
        <v>17</v>
      </c>
      <c r="B20" s="29" t="s">
        <v>220</v>
      </c>
      <c r="C20" s="30" t="s">
        <v>221</v>
      </c>
      <c r="D20" s="2" t="s">
        <v>222</v>
      </c>
      <c r="E20" s="31">
        <v>3130</v>
      </c>
      <c r="F20" s="3">
        <v>313</v>
      </c>
      <c r="G20" s="59" t="str">
        <f>K$13</f>
        <v>aknit</v>
      </c>
      <c r="H20" s="59" t="str">
        <f>L$13</f>
        <v>Knitted, crouched fabrics, wearing apparel, fur articles</v>
      </c>
      <c r="I20" s="5"/>
      <c r="J20" s="6" t="s">
        <v>1452</v>
      </c>
      <c r="K20" s="6" t="s">
        <v>223</v>
      </c>
      <c r="L20" s="6" t="s">
        <v>224</v>
      </c>
    </row>
    <row r="21" spans="1:12" ht="15" customHeight="1" thickBot="1" x14ac:dyDescent="0.25">
      <c r="A21" s="29" t="s">
        <v>18</v>
      </c>
      <c r="B21" s="29" t="s">
        <v>226</v>
      </c>
      <c r="C21" s="30" t="s">
        <v>227</v>
      </c>
      <c r="D21" s="2" t="s">
        <v>228</v>
      </c>
      <c r="E21" s="31">
        <v>3140</v>
      </c>
      <c r="F21" s="3">
        <v>314</v>
      </c>
      <c r="G21" s="59" t="str">
        <f>K$13</f>
        <v>aknit</v>
      </c>
      <c r="H21" s="59" t="str">
        <f>L$13</f>
        <v>Knitted, crouched fabrics, wearing apparel, fur articles</v>
      </c>
      <c r="I21" s="5"/>
      <c r="J21" s="6" t="s">
        <v>1453</v>
      </c>
      <c r="K21" s="6" t="s">
        <v>229</v>
      </c>
      <c r="L21" s="6" t="s">
        <v>230</v>
      </c>
    </row>
    <row r="22" spans="1:12" ht="15" customHeight="1" thickBot="1" x14ac:dyDescent="0.25">
      <c r="A22" s="29" t="s">
        <v>19</v>
      </c>
      <c r="B22" s="29" t="s">
        <v>231</v>
      </c>
      <c r="C22" s="30" t="s">
        <v>232</v>
      </c>
      <c r="D22" s="2" t="s">
        <v>233</v>
      </c>
      <c r="E22" s="31" t="s">
        <v>234</v>
      </c>
      <c r="F22" s="3">
        <v>315</v>
      </c>
      <c r="G22" s="59" t="str">
        <f>K14</f>
        <v>aleat</v>
      </c>
      <c r="H22" s="59" t="str">
        <f>L14</f>
        <v>Tanning and dressing of leather</v>
      </c>
      <c r="I22" s="5"/>
      <c r="J22" s="6" t="s">
        <v>1454</v>
      </c>
      <c r="K22" s="6" t="s">
        <v>235</v>
      </c>
      <c r="L22" s="6" t="s">
        <v>236</v>
      </c>
    </row>
    <row r="23" spans="1:12" ht="15" customHeight="1" thickBot="1" x14ac:dyDescent="0.25">
      <c r="A23" s="29" t="s">
        <v>20</v>
      </c>
      <c r="B23" s="29" t="s">
        <v>197</v>
      </c>
      <c r="C23" s="30" t="s">
        <v>237</v>
      </c>
      <c r="D23" s="2" t="s">
        <v>197</v>
      </c>
      <c r="E23" s="31">
        <v>3170</v>
      </c>
      <c r="F23" s="3">
        <v>317</v>
      </c>
      <c r="G23" s="59" t="str">
        <f>K15</f>
        <v>afoot</v>
      </c>
      <c r="H23" s="59" t="str">
        <f>L15</f>
        <v>Footwear</v>
      </c>
      <c r="I23" s="5"/>
      <c r="J23" s="6" t="s">
        <v>1455</v>
      </c>
      <c r="K23" s="6" t="s">
        <v>238</v>
      </c>
      <c r="L23" s="6" t="s">
        <v>239</v>
      </c>
    </row>
    <row r="24" spans="1:12" ht="15" customHeight="1" thickBot="1" x14ac:dyDescent="0.25">
      <c r="A24" s="29" t="s">
        <v>21</v>
      </c>
      <c r="B24" s="29" t="s">
        <v>240</v>
      </c>
      <c r="C24" s="30" t="s">
        <v>241</v>
      </c>
      <c r="D24" s="2" t="s">
        <v>242</v>
      </c>
      <c r="E24" s="31">
        <v>3210</v>
      </c>
      <c r="F24" s="3">
        <v>321</v>
      </c>
      <c r="G24" s="59" t="str">
        <f>K$16</f>
        <v>awood</v>
      </c>
      <c r="H24" s="59" t="str">
        <f>L$16</f>
        <v>Sawmilling, planing of wood, cork, straw</v>
      </c>
      <c r="I24" s="5"/>
      <c r="J24" s="6" t="s">
        <v>1456</v>
      </c>
      <c r="K24" s="6" t="s">
        <v>243</v>
      </c>
      <c r="L24" s="6" t="s">
        <v>244</v>
      </c>
    </row>
    <row r="25" spans="1:12" ht="15" customHeight="1" thickBot="1" x14ac:dyDescent="0.25">
      <c r="A25" s="29" t="s">
        <v>22</v>
      </c>
      <c r="B25" s="29" t="s">
        <v>245</v>
      </c>
      <c r="C25" s="30" t="s">
        <v>246</v>
      </c>
      <c r="D25" s="2" t="s">
        <v>247</v>
      </c>
      <c r="E25" s="32" t="s">
        <v>248</v>
      </c>
      <c r="F25" s="3">
        <v>322</v>
      </c>
      <c r="G25" s="59" t="str">
        <f>K$16</f>
        <v>awood</v>
      </c>
      <c r="H25" s="59" t="str">
        <f>L$16</f>
        <v>Sawmilling, planing of wood, cork, straw</v>
      </c>
      <c r="I25" s="5"/>
      <c r="J25" s="6" t="s">
        <v>1457</v>
      </c>
      <c r="K25" s="6" t="s">
        <v>249</v>
      </c>
      <c r="L25" s="6" t="s">
        <v>250</v>
      </c>
    </row>
    <row r="26" spans="1:12" ht="15" customHeight="1" thickBot="1" x14ac:dyDescent="0.25">
      <c r="A26" s="29" t="s">
        <v>23</v>
      </c>
      <c r="B26" s="29" t="s">
        <v>207</v>
      </c>
      <c r="C26" s="30" t="s">
        <v>251</v>
      </c>
      <c r="D26" s="2" t="s">
        <v>252</v>
      </c>
      <c r="E26" s="31" t="s">
        <v>253</v>
      </c>
      <c r="F26" s="3">
        <v>323</v>
      </c>
      <c r="G26" s="59" t="str">
        <f>K17</f>
        <v>apapr</v>
      </c>
      <c r="H26" s="59" t="str">
        <f>L17</f>
        <v>Paper</v>
      </c>
      <c r="I26" s="5"/>
      <c r="J26" s="23" t="s">
        <v>1458</v>
      </c>
      <c r="K26" s="23" t="s">
        <v>1459</v>
      </c>
      <c r="L26" s="23" t="s">
        <v>1460</v>
      </c>
    </row>
    <row r="27" spans="1:12" ht="15" customHeight="1" thickBot="1" x14ac:dyDescent="0.25">
      <c r="A27" s="29" t="s">
        <v>24</v>
      </c>
      <c r="B27" s="29" t="s">
        <v>254</v>
      </c>
      <c r="C27" s="30" t="s">
        <v>255</v>
      </c>
      <c r="D27" s="2" t="s">
        <v>256</v>
      </c>
      <c r="E27" s="31" t="s">
        <v>257</v>
      </c>
      <c r="F27" s="3">
        <v>324</v>
      </c>
      <c r="G27" s="59" t="str">
        <f>K$18</f>
        <v>aprnt</v>
      </c>
      <c r="H27" s="59" t="str">
        <f>L$18</f>
        <v>Publishing, printing, recorded media</v>
      </c>
      <c r="I27" s="5"/>
      <c r="J27" s="6" t="s">
        <v>1461</v>
      </c>
      <c r="K27" s="6" t="s">
        <v>264</v>
      </c>
      <c r="L27" s="6" t="s">
        <v>265</v>
      </c>
    </row>
    <row r="28" spans="1:12" ht="15" customHeight="1" thickBot="1" x14ac:dyDescent="0.25">
      <c r="A28" s="29" t="s">
        <v>25</v>
      </c>
      <c r="B28" s="29" t="s">
        <v>1297</v>
      </c>
      <c r="C28" s="30" t="s">
        <v>260</v>
      </c>
      <c r="D28" s="2" t="s">
        <v>261</v>
      </c>
      <c r="E28" s="31" t="s">
        <v>262</v>
      </c>
      <c r="F28" s="3" t="s">
        <v>263</v>
      </c>
      <c r="G28" s="59" t="str">
        <f>K$18</f>
        <v>aprnt</v>
      </c>
      <c r="H28" s="59" t="str">
        <f>L$18</f>
        <v>Publishing, printing, recorded media</v>
      </c>
      <c r="I28" s="5"/>
      <c r="J28" s="6" t="s">
        <v>1462</v>
      </c>
      <c r="K28" s="6" t="s">
        <v>269</v>
      </c>
      <c r="L28" s="6" t="s">
        <v>270</v>
      </c>
    </row>
    <row r="29" spans="1:12" ht="15" customHeight="1" thickBot="1" x14ac:dyDescent="0.25">
      <c r="A29" s="29" t="s">
        <v>26</v>
      </c>
      <c r="B29" s="29" t="s">
        <v>266</v>
      </c>
      <c r="C29" s="30" t="s">
        <v>267</v>
      </c>
      <c r="D29" s="2" t="s">
        <v>268</v>
      </c>
      <c r="E29" s="31">
        <v>3310</v>
      </c>
      <c r="F29" s="3">
        <v>331</v>
      </c>
      <c r="G29" s="59" t="str">
        <f>K$19</f>
        <v>apetr</v>
      </c>
      <c r="H29" s="59" t="str">
        <f>L$19</f>
        <v>Coke oven, petroleum refineries</v>
      </c>
      <c r="I29" s="5"/>
      <c r="J29" s="6" t="s">
        <v>1463</v>
      </c>
      <c r="K29" s="6" t="s">
        <v>275</v>
      </c>
      <c r="L29" s="6" t="s">
        <v>276</v>
      </c>
    </row>
    <row r="30" spans="1:12" ht="15" customHeight="1" thickBot="1" x14ac:dyDescent="0.25">
      <c r="A30" s="29" t="s">
        <v>27</v>
      </c>
      <c r="B30" s="29" t="s">
        <v>271</v>
      </c>
      <c r="C30" s="30" t="s">
        <v>272</v>
      </c>
      <c r="D30" s="2" t="s">
        <v>273</v>
      </c>
      <c r="E30" s="31" t="s">
        <v>274</v>
      </c>
      <c r="F30" s="3">
        <v>332</v>
      </c>
      <c r="G30" s="59" t="str">
        <f>K$19</f>
        <v>apetr</v>
      </c>
      <c r="H30" s="59" t="str">
        <f>L$19</f>
        <v>Coke oven, petroleum refineries</v>
      </c>
      <c r="I30" s="5"/>
      <c r="J30" s="6" t="s">
        <v>1464</v>
      </c>
      <c r="K30" s="6" t="s">
        <v>281</v>
      </c>
      <c r="L30" s="6" t="s">
        <v>282</v>
      </c>
    </row>
    <row r="31" spans="1:12" ht="15" customHeight="1" thickBot="1" x14ac:dyDescent="0.25">
      <c r="A31" s="29" t="s">
        <v>28</v>
      </c>
      <c r="B31" s="29" t="s">
        <v>277</v>
      </c>
      <c r="C31" s="30" t="s">
        <v>278</v>
      </c>
      <c r="D31" s="2" t="s">
        <v>279</v>
      </c>
      <c r="E31" s="31" t="s">
        <v>280</v>
      </c>
      <c r="F31" s="3">
        <v>334</v>
      </c>
      <c r="G31" s="59" t="str">
        <f t="shared" ref="G31:H36" si="2">K20</f>
        <v>abchm</v>
      </c>
      <c r="H31" s="59" t="str">
        <f t="shared" si="2"/>
        <v>Nuclear fuel, basic chemicals</v>
      </c>
      <c r="I31" s="5"/>
      <c r="J31" s="6" t="s">
        <v>1465</v>
      </c>
      <c r="K31" s="6" t="s">
        <v>286</v>
      </c>
      <c r="L31" s="6" t="s">
        <v>287</v>
      </c>
    </row>
    <row r="32" spans="1:12" ht="15" customHeight="1" thickBot="1" x14ac:dyDescent="0.25">
      <c r="A32" s="29" t="s">
        <v>29</v>
      </c>
      <c r="B32" s="29" t="s">
        <v>1427</v>
      </c>
      <c r="C32" s="30" t="s">
        <v>283</v>
      </c>
      <c r="D32" s="2" t="s">
        <v>284</v>
      </c>
      <c r="E32" s="31" t="s">
        <v>285</v>
      </c>
      <c r="F32" s="3">
        <v>335</v>
      </c>
      <c r="G32" s="59" t="str">
        <f t="shared" si="2"/>
        <v>aochm</v>
      </c>
      <c r="H32" s="59" t="str">
        <f t="shared" si="2"/>
        <v>Other chemical products, man-made fibres</v>
      </c>
      <c r="I32" s="5"/>
      <c r="J32" s="6" t="s">
        <v>1466</v>
      </c>
      <c r="K32" s="6" t="s">
        <v>291</v>
      </c>
      <c r="L32" s="6" t="s">
        <v>292</v>
      </c>
    </row>
    <row r="33" spans="1:12" ht="15" customHeight="1" thickBot="1" x14ac:dyDescent="0.25">
      <c r="A33" s="29" t="s">
        <v>30</v>
      </c>
      <c r="B33" s="29" t="s">
        <v>236</v>
      </c>
      <c r="C33" s="30" t="s">
        <v>288</v>
      </c>
      <c r="D33" s="2" t="s">
        <v>289</v>
      </c>
      <c r="E33" s="31" t="s">
        <v>290</v>
      </c>
      <c r="F33" s="3">
        <v>337</v>
      </c>
      <c r="G33" s="59" t="str">
        <f t="shared" si="2"/>
        <v>arubb</v>
      </c>
      <c r="H33" s="59" t="str">
        <f t="shared" si="2"/>
        <v>Rubber</v>
      </c>
      <c r="I33" s="5"/>
      <c r="J33" s="6" t="s">
        <v>1467</v>
      </c>
      <c r="K33" s="6" t="s">
        <v>295</v>
      </c>
      <c r="L33" s="6" t="s">
        <v>296</v>
      </c>
    </row>
    <row r="34" spans="1:12" ht="15" customHeight="1" thickBot="1" x14ac:dyDescent="0.25">
      <c r="A34" s="29" t="s">
        <v>31</v>
      </c>
      <c r="B34" s="29" t="s">
        <v>239</v>
      </c>
      <c r="C34" s="30" t="s">
        <v>293</v>
      </c>
      <c r="D34" s="2" t="s">
        <v>294</v>
      </c>
      <c r="E34" s="31">
        <v>3380</v>
      </c>
      <c r="F34" s="3">
        <v>338</v>
      </c>
      <c r="G34" s="59" t="str">
        <f t="shared" si="2"/>
        <v>aplas</v>
      </c>
      <c r="H34" s="59" t="str">
        <f t="shared" si="2"/>
        <v>Plastic</v>
      </c>
      <c r="I34" s="5"/>
      <c r="J34" s="6" t="s">
        <v>1468</v>
      </c>
      <c r="K34" s="6" t="s">
        <v>300</v>
      </c>
      <c r="L34" s="6" t="s">
        <v>301</v>
      </c>
    </row>
    <row r="35" spans="1:12" ht="15" customHeight="1" thickBot="1" x14ac:dyDescent="0.25">
      <c r="A35" s="29" t="s">
        <v>32</v>
      </c>
      <c r="B35" s="29" t="s">
        <v>244</v>
      </c>
      <c r="C35" s="30" t="s">
        <v>298</v>
      </c>
      <c r="D35" s="2" t="s">
        <v>299</v>
      </c>
      <c r="E35" s="31">
        <v>3411</v>
      </c>
      <c r="F35" s="3">
        <v>341</v>
      </c>
      <c r="G35" s="59" t="str">
        <f t="shared" si="2"/>
        <v>aglss</v>
      </c>
      <c r="H35" s="59" t="str">
        <f t="shared" si="2"/>
        <v>Glass</v>
      </c>
      <c r="I35" s="5"/>
      <c r="J35" s="6" t="s">
        <v>1469</v>
      </c>
      <c r="K35" s="6" t="s">
        <v>305</v>
      </c>
      <c r="L35" s="6" t="s">
        <v>306</v>
      </c>
    </row>
    <row r="36" spans="1:12" ht="15" customHeight="1" thickBot="1" x14ac:dyDescent="0.25">
      <c r="A36" s="29" t="s">
        <v>33</v>
      </c>
      <c r="B36" s="29" t="s">
        <v>250</v>
      </c>
      <c r="C36" s="30" t="s">
        <v>302</v>
      </c>
      <c r="D36" s="2" t="s">
        <v>303</v>
      </c>
      <c r="E36" s="31" t="s">
        <v>304</v>
      </c>
      <c r="F36" s="3">
        <v>342</v>
      </c>
      <c r="G36" s="59" t="str">
        <f t="shared" si="2"/>
        <v>anmmi</v>
      </c>
      <c r="H36" s="59" t="str">
        <f t="shared" si="2"/>
        <v>Non-metallic minerals</v>
      </c>
      <c r="I36" s="5"/>
      <c r="J36" s="6" t="s">
        <v>1470</v>
      </c>
      <c r="K36" s="6" t="s">
        <v>309</v>
      </c>
      <c r="L36" s="6" t="s">
        <v>310</v>
      </c>
    </row>
    <row r="37" spans="1:12" ht="15" customHeight="1" thickBot="1" x14ac:dyDescent="0.25">
      <c r="A37" s="29" t="s">
        <v>34</v>
      </c>
      <c r="B37" s="29" t="s">
        <v>1298</v>
      </c>
      <c r="C37" s="30" t="s">
        <v>307</v>
      </c>
      <c r="D37" s="2" t="s">
        <v>308</v>
      </c>
      <c r="E37" s="31">
        <v>3510</v>
      </c>
      <c r="F37" s="3">
        <v>351</v>
      </c>
      <c r="G37" s="60" t="str">
        <f t="shared" ref="G37:H39" si="3">K$26</f>
        <v>amets</v>
      </c>
      <c r="H37" s="60" t="str">
        <f t="shared" si="3"/>
        <v>Metal products (ferr, non-ferr &amp; casting of metals)</v>
      </c>
      <c r="I37" s="5"/>
      <c r="J37" s="6" t="s">
        <v>1471</v>
      </c>
      <c r="K37" s="6" t="s">
        <v>313</v>
      </c>
      <c r="L37" s="6" t="s">
        <v>314</v>
      </c>
    </row>
    <row r="38" spans="1:12" ht="15" customHeight="1" thickBot="1" x14ac:dyDescent="0.25">
      <c r="A38" s="29" t="s">
        <v>35</v>
      </c>
      <c r="B38" s="29" t="s">
        <v>311</v>
      </c>
      <c r="C38" s="30" t="s">
        <v>312</v>
      </c>
      <c r="D38" s="2" t="s">
        <v>258</v>
      </c>
      <c r="E38" s="31">
        <v>3520</v>
      </c>
      <c r="F38" s="3">
        <v>352</v>
      </c>
      <c r="G38" s="60" t="str">
        <f t="shared" si="3"/>
        <v>amets</v>
      </c>
      <c r="H38" s="60" t="str">
        <f t="shared" si="3"/>
        <v>Metal products (ferr, non-ferr &amp; casting of metals)</v>
      </c>
      <c r="I38" s="5"/>
      <c r="J38" s="6" t="s">
        <v>1472</v>
      </c>
      <c r="K38" s="6" t="s">
        <v>318</v>
      </c>
      <c r="L38" s="6" t="s">
        <v>319</v>
      </c>
    </row>
    <row r="39" spans="1:12" ht="15" customHeight="1" thickBot="1" x14ac:dyDescent="0.25">
      <c r="A39" s="29" t="s">
        <v>36</v>
      </c>
      <c r="B39" s="29" t="s">
        <v>315</v>
      </c>
      <c r="C39" s="30" t="s">
        <v>316</v>
      </c>
      <c r="D39" s="2" t="s">
        <v>315</v>
      </c>
      <c r="E39" s="31" t="s">
        <v>317</v>
      </c>
      <c r="F39" s="3">
        <v>353</v>
      </c>
      <c r="G39" s="60" t="str">
        <f t="shared" si="3"/>
        <v>amets</v>
      </c>
      <c r="H39" s="60" t="str">
        <f t="shared" si="3"/>
        <v>Metal products (ferr, non-ferr &amp; casting of metals)</v>
      </c>
      <c r="I39" s="5"/>
      <c r="J39" s="6" t="s">
        <v>1473</v>
      </c>
      <c r="K39" s="6" t="s">
        <v>324</v>
      </c>
      <c r="L39" s="6" t="s">
        <v>325</v>
      </c>
    </row>
    <row r="40" spans="1:12" ht="15" customHeight="1" thickBot="1" x14ac:dyDescent="0.25">
      <c r="A40" s="29" t="s">
        <v>37</v>
      </c>
      <c r="B40" s="29" t="s">
        <v>320</v>
      </c>
      <c r="C40" s="30" t="s">
        <v>321</v>
      </c>
      <c r="D40" s="2" t="s">
        <v>322</v>
      </c>
      <c r="E40" s="31" t="s">
        <v>323</v>
      </c>
      <c r="F40" s="3">
        <v>354</v>
      </c>
      <c r="G40" s="59" t="str">
        <f>K$27</f>
        <v>afabm</v>
      </c>
      <c r="H40" s="59" t="str">
        <f>L$27</f>
        <v>Fabricated metal products</v>
      </c>
      <c r="I40" s="5"/>
      <c r="J40" s="6" t="s">
        <v>1474</v>
      </c>
      <c r="K40" s="6" t="s">
        <v>329</v>
      </c>
      <c r="L40" s="6" t="s">
        <v>330</v>
      </c>
    </row>
    <row r="41" spans="1:12" ht="15" customHeight="1" thickBot="1" x14ac:dyDescent="0.25">
      <c r="A41" s="29" t="s">
        <v>38</v>
      </c>
      <c r="B41" s="29" t="s">
        <v>1333</v>
      </c>
      <c r="C41" s="30" t="s">
        <v>326</v>
      </c>
      <c r="D41" s="2" t="s">
        <v>327</v>
      </c>
      <c r="E41" s="31" t="s">
        <v>328</v>
      </c>
      <c r="F41" s="3">
        <v>355</v>
      </c>
      <c r="G41" s="59" t="str">
        <f>K$27</f>
        <v>afabm</v>
      </c>
      <c r="H41" s="59" t="str">
        <f>L$27</f>
        <v>Fabricated metal products</v>
      </c>
      <c r="I41" s="5"/>
      <c r="J41" s="6" t="s">
        <v>1475</v>
      </c>
      <c r="K41" s="6" t="s">
        <v>334</v>
      </c>
      <c r="L41" s="6" t="s">
        <v>335</v>
      </c>
    </row>
    <row r="42" spans="1:12" ht="15" customHeight="1" thickBot="1" x14ac:dyDescent="0.25">
      <c r="A42" s="29" t="s">
        <v>39</v>
      </c>
      <c r="B42" s="29" t="s">
        <v>1331</v>
      </c>
      <c r="C42" s="30" t="s">
        <v>331</v>
      </c>
      <c r="D42" s="2" t="s">
        <v>332</v>
      </c>
      <c r="E42" s="31" t="s">
        <v>333</v>
      </c>
      <c r="F42" s="3">
        <v>356</v>
      </c>
      <c r="G42" s="59" t="str">
        <f>K$28</f>
        <v>amach</v>
      </c>
      <c r="H42" s="59" t="str">
        <f>L$28</f>
        <v>Machinery and equipment</v>
      </c>
      <c r="I42" s="5"/>
      <c r="J42" s="6" t="s">
        <v>1476</v>
      </c>
      <c r="K42" s="6" t="s">
        <v>339</v>
      </c>
      <c r="L42" s="6" t="s">
        <v>340</v>
      </c>
    </row>
    <row r="43" spans="1:12" ht="15" customHeight="1" thickBot="1" x14ac:dyDescent="0.25">
      <c r="A43" s="29" t="s">
        <v>40</v>
      </c>
      <c r="B43" s="29" t="s">
        <v>1428</v>
      </c>
      <c r="C43" s="30" t="s">
        <v>336</v>
      </c>
      <c r="D43" s="2" t="s">
        <v>337</v>
      </c>
      <c r="E43" s="31" t="s">
        <v>338</v>
      </c>
      <c r="F43" s="3">
        <v>357</v>
      </c>
      <c r="G43" s="59" t="str">
        <f>K$28</f>
        <v>amach</v>
      </c>
      <c r="H43" s="59" t="str">
        <f>L$28</f>
        <v>Machinery and equipment</v>
      </c>
      <c r="I43" s="5"/>
      <c r="J43" s="6" t="s">
        <v>1477</v>
      </c>
      <c r="K43" s="6" t="s">
        <v>344</v>
      </c>
      <c r="L43" s="6" t="s">
        <v>345</v>
      </c>
    </row>
    <row r="44" spans="1:12" ht="15" customHeight="1" thickBot="1" x14ac:dyDescent="0.25">
      <c r="A44" s="29" t="s">
        <v>41</v>
      </c>
      <c r="B44" s="29" t="s">
        <v>341</v>
      </c>
      <c r="C44" s="30" t="s">
        <v>342</v>
      </c>
      <c r="D44" s="2" t="s">
        <v>343</v>
      </c>
      <c r="E44" s="31">
        <v>3580</v>
      </c>
      <c r="F44" s="3">
        <v>358</v>
      </c>
      <c r="G44" s="59" t="str">
        <f t="shared" ref="G44:H47" si="4">K$29</f>
        <v>aemch</v>
      </c>
      <c r="H44" s="59" t="str">
        <f t="shared" si="4"/>
        <v>Electrical machinery and apparatus</v>
      </c>
      <c r="I44" s="5"/>
      <c r="J44" s="6" t="s">
        <v>1478</v>
      </c>
      <c r="K44" s="6" t="s">
        <v>349</v>
      </c>
      <c r="L44" s="6" t="s">
        <v>350</v>
      </c>
    </row>
    <row r="45" spans="1:12" ht="15" customHeight="1" thickBot="1" x14ac:dyDescent="0.25">
      <c r="A45" s="29" t="s">
        <v>42</v>
      </c>
      <c r="B45" s="29" t="s">
        <v>346</v>
      </c>
      <c r="C45" s="30" t="s">
        <v>347</v>
      </c>
      <c r="D45" s="2" t="s">
        <v>348</v>
      </c>
      <c r="E45" s="31">
        <v>3590</v>
      </c>
      <c r="F45" s="3">
        <v>359</v>
      </c>
      <c r="G45" s="59" t="str">
        <f t="shared" si="4"/>
        <v>aemch</v>
      </c>
      <c r="H45" s="59" t="str">
        <f t="shared" si="4"/>
        <v>Electrical machinery and apparatus</v>
      </c>
      <c r="I45" s="5"/>
      <c r="J45" s="6" t="s">
        <v>1479</v>
      </c>
      <c r="K45" s="6" t="s">
        <v>355</v>
      </c>
      <c r="L45" s="6" t="s">
        <v>356</v>
      </c>
    </row>
    <row r="46" spans="1:12" ht="15" customHeight="1" thickBot="1" x14ac:dyDescent="0.25">
      <c r="A46" s="29" t="s">
        <v>43</v>
      </c>
      <c r="B46" s="29" t="s">
        <v>351</v>
      </c>
      <c r="C46" s="30" t="s">
        <v>352</v>
      </c>
      <c r="D46" s="2" t="s">
        <v>353</v>
      </c>
      <c r="E46" s="31" t="s">
        <v>354</v>
      </c>
      <c r="F46" s="3">
        <v>361</v>
      </c>
      <c r="G46" s="59" t="str">
        <f t="shared" si="4"/>
        <v>aemch</v>
      </c>
      <c r="H46" s="59" t="str">
        <f t="shared" si="4"/>
        <v>Electrical machinery and apparatus</v>
      </c>
      <c r="I46" s="5"/>
      <c r="J46" s="6" t="s">
        <v>1480</v>
      </c>
      <c r="K46" s="6" t="s">
        <v>360</v>
      </c>
      <c r="L46" s="6" t="s">
        <v>361</v>
      </c>
    </row>
    <row r="47" spans="1:12" ht="15" customHeight="1" thickBot="1" x14ac:dyDescent="0.25">
      <c r="A47" s="29" t="s">
        <v>44</v>
      </c>
      <c r="B47" s="29" t="s">
        <v>357</v>
      </c>
      <c r="C47" s="30" t="s">
        <v>358</v>
      </c>
      <c r="D47" s="2" t="s">
        <v>359</v>
      </c>
      <c r="E47" s="31">
        <v>366</v>
      </c>
      <c r="F47" s="3">
        <v>366</v>
      </c>
      <c r="G47" s="59" t="str">
        <f t="shared" si="4"/>
        <v>aemch</v>
      </c>
      <c r="H47" s="59" t="str">
        <f t="shared" si="4"/>
        <v>Electrical machinery and apparatus</v>
      </c>
      <c r="I47" s="5"/>
      <c r="J47" s="6" t="s">
        <v>1481</v>
      </c>
      <c r="K47" s="6" t="s">
        <v>366</v>
      </c>
      <c r="L47" s="6" t="s">
        <v>367</v>
      </c>
    </row>
    <row r="48" spans="1:12" ht="15" customHeight="1" thickBot="1" x14ac:dyDescent="0.25">
      <c r="A48" s="29" t="s">
        <v>45</v>
      </c>
      <c r="B48" s="29" t="s">
        <v>1332</v>
      </c>
      <c r="C48" s="30" t="s">
        <v>362</v>
      </c>
      <c r="D48" s="2" t="s">
        <v>363</v>
      </c>
      <c r="E48" s="31" t="s">
        <v>364</v>
      </c>
      <c r="F48" s="3" t="s">
        <v>365</v>
      </c>
      <c r="G48" s="59" t="str">
        <f>K$30</f>
        <v>ardtv</v>
      </c>
      <c r="H48" s="59" t="str">
        <f>L$30</f>
        <v>Radio, television, communication equipment and apparatus</v>
      </c>
      <c r="I48" s="5"/>
      <c r="J48" s="6" t="s">
        <v>1482</v>
      </c>
      <c r="K48" s="6" t="s">
        <v>370</v>
      </c>
      <c r="L48" s="6" t="s">
        <v>371</v>
      </c>
    </row>
    <row r="49" spans="1:12" ht="15" customHeight="1" thickBot="1" x14ac:dyDescent="0.25">
      <c r="A49" s="29" t="s">
        <v>46</v>
      </c>
      <c r="B49" s="29" t="s">
        <v>1299</v>
      </c>
      <c r="C49" s="30" t="s">
        <v>368</v>
      </c>
      <c r="D49" s="2" t="s">
        <v>369</v>
      </c>
      <c r="E49" s="31">
        <v>3730</v>
      </c>
      <c r="F49" s="3">
        <v>373</v>
      </c>
      <c r="G49" s="59" t="str">
        <f>K$30</f>
        <v>ardtv</v>
      </c>
      <c r="H49" s="59" t="str">
        <f>L$30</f>
        <v>Radio, television, communication equipment and apparatus</v>
      </c>
      <c r="I49" s="5"/>
      <c r="J49" s="6" t="s">
        <v>1483</v>
      </c>
      <c r="K49" s="6" t="s">
        <v>377</v>
      </c>
      <c r="L49" s="6" t="s">
        <v>378</v>
      </c>
    </row>
    <row r="50" spans="1:12" ht="15" customHeight="1" thickBot="1" x14ac:dyDescent="0.25">
      <c r="A50" s="29" t="s">
        <v>47</v>
      </c>
      <c r="B50" s="29" t="s">
        <v>372</v>
      </c>
      <c r="C50" s="30" t="s">
        <v>373</v>
      </c>
      <c r="D50" s="2" t="s">
        <v>374</v>
      </c>
      <c r="E50" s="31" t="s">
        <v>375</v>
      </c>
      <c r="F50" s="3" t="s">
        <v>376</v>
      </c>
      <c r="G50" s="59" t="str">
        <f>K31</f>
        <v>amopt</v>
      </c>
      <c r="H50" s="59" t="str">
        <f>L31</f>
        <v>Medical, precision, optical instruments, watches and clocks</v>
      </c>
      <c r="I50" s="5"/>
      <c r="J50" s="6" t="s">
        <v>1484</v>
      </c>
      <c r="K50" s="6" t="s">
        <v>382</v>
      </c>
      <c r="L50" s="6" t="s">
        <v>383</v>
      </c>
    </row>
    <row r="51" spans="1:12" ht="15" customHeight="1" thickBot="1" x14ac:dyDescent="0.25">
      <c r="A51" s="29" t="s">
        <v>48</v>
      </c>
      <c r="B51" s="29" t="s">
        <v>380</v>
      </c>
      <c r="C51" s="30" t="s">
        <v>381</v>
      </c>
      <c r="D51" s="2" t="s">
        <v>380</v>
      </c>
      <c r="E51" s="31">
        <v>3810</v>
      </c>
      <c r="F51" s="3">
        <v>381</v>
      </c>
      <c r="G51" s="59" t="str">
        <f t="shared" ref="G51:H53" si="5">K$32</f>
        <v>amtvp</v>
      </c>
      <c r="H51" s="59" t="str">
        <f t="shared" si="5"/>
        <v>Motor vehicles, trailers, parts</v>
      </c>
      <c r="I51" s="5"/>
      <c r="J51" s="6" t="s">
        <v>1485</v>
      </c>
      <c r="K51" s="6" t="s">
        <v>387</v>
      </c>
      <c r="L51" s="6" t="s">
        <v>388</v>
      </c>
    </row>
    <row r="52" spans="1:12" ht="15" customHeight="1" thickBot="1" x14ac:dyDescent="0.25">
      <c r="A52" s="29" t="s">
        <v>49</v>
      </c>
      <c r="B52" s="29" t="s">
        <v>384</v>
      </c>
      <c r="C52" s="30" t="s">
        <v>385</v>
      </c>
      <c r="D52" s="2" t="s">
        <v>386</v>
      </c>
      <c r="E52" s="31">
        <v>3820</v>
      </c>
      <c r="F52" s="3">
        <v>382</v>
      </c>
      <c r="G52" s="59" t="str">
        <f t="shared" si="5"/>
        <v>amtvp</v>
      </c>
      <c r="H52" s="59" t="str">
        <f t="shared" si="5"/>
        <v>Motor vehicles, trailers, parts</v>
      </c>
      <c r="I52" s="5"/>
      <c r="J52" s="6" t="s">
        <v>1486</v>
      </c>
      <c r="K52" s="6" t="s">
        <v>392</v>
      </c>
      <c r="L52" s="6" t="s">
        <v>393</v>
      </c>
    </row>
    <row r="53" spans="1:12" ht="15" customHeight="1" thickBot="1" x14ac:dyDescent="0.25">
      <c r="A53" s="29" t="s">
        <v>50</v>
      </c>
      <c r="B53" s="29" t="s">
        <v>389</v>
      </c>
      <c r="C53" s="30" t="s">
        <v>390</v>
      </c>
      <c r="D53" s="2" t="s">
        <v>391</v>
      </c>
      <c r="E53" s="31">
        <v>3830</v>
      </c>
      <c r="F53" s="3">
        <v>383</v>
      </c>
      <c r="G53" s="59" t="str">
        <f t="shared" si="5"/>
        <v>amtvp</v>
      </c>
      <c r="H53" s="59" t="str">
        <f t="shared" si="5"/>
        <v>Motor vehicles, trailers, parts</v>
      </c>
      <c r="I53" s="5"/>
      <c r="J53" s="6" t="s">
        <v>1487</v>
      </c>
      <c r="K53" s="6" t="s">
        <v>398</v>
      </c>
      <c r="L53" s="6" t="s">
        <v>399</v>
      </c>
    </row>
    <row r="54" spans="1:12" ht="15" customHeight="1" thickBot="1" x14ac:dyDescent="0.25">
      <c r="A54" s="29" t="s">
        <v>51</v>
      </c>
      <c r="B54" s="29" t="s">
        <v>394</v>
      </c>
      <c r="C54" s="30" t="s">
        <v>395</v>
      </c>
      <c r="D54" s="2" t="s">
        <v>396</v>
      </c>
      <c r="E54" s="31" t="s">
        <v>397</v>
      </c>
      <c r="F54" s="3">
        <v>384</v>
      </c>
      <c r="G54" s="59" t="str">
        <f t="shared" ref="G54:H57" si="6">K$33</f>
        <v>aotrp</v>
      </c>
      <c r="H54" s="59" t="str">
        <f t="shared" si="6"/>
        <v>Other transport equipment</v>
      </c>
      <c r="I54" s="5"/>
      <c r="J54" s="6" t="s">
        <v>1488</v>
      </c>
      <c r="K54" s="6" t="s">
        <v>402</v>
      </c>
      <c r="L54" s="6" t="s">
        <v>403</v>
      </c>
    </row>
    <row r="55" spans="1:12" ht="15" customHeight="1" thickBot="1" x14ac:dyDescent="0.25">
      <c r="A55" s="29" t="s">
        <v>52</v>
      </c>
      <c r="B55" s="29" t="s">
        <v>1329</v>
      </c>
      <c r="C55" s="30" t="s">
        <v>400</v>
      </c>
      <c r="D55" s="2" t="s">
        <v>401</v>
      </c>
      <c r="E55" s="31">
        <v>3850</v>
      </c>
      <c r="F55" s="3">
        <v>385</v>
      </c>
      <c r="G55" s="59" t="str">
        <f t="shared" si="6"/>
        <v>aotrp</v>
      </c>
      <c r="H55" s="59" t="str">
        <f t="shared" si="6"/>
        <v>Other transport equipment</v>
      </c>
      <c r="I55" s="5"/>
      <c r="J55" s="6" t="s">
        <v>1489</v>
      </c>
      <c r="K55" s="6" t="s">
        <v>407</v>
      </c>
      <c r="L55" s="6" t="s">
        <v>408</v>
      </c>
    </row>
    <row r="56" spans="1:12" ht="15" customHeight="1" thickBot="1" x14ac:dyDescent="0.25">
      <c r="A56" s="29" t="s">
        <v>53</v>
      </c>
      <c r="B56" s="29" t="s">
        <v>404</v>
      </c>
      <c r="C56" s="30" t="s">
        <v>405</v>
      </c>
      <c r="D56" s="2" t="s">
        <v>406</v>
      </c>
      <c r="E56" s="31">
        <v>3860</v>
      </c>
      <c r="F56" s="3">
        <v>386</v>
      </c>
      <c r="G56" s="59" t="str">
        <f t="shared" si="6"/>
        <v>aotrp</v>
      </c>
      <c r="H56" s="59" t="str">
        <f t="shared" si="6"/>
        <v>Other transport equipment</v>
      </c>
      <c r="I56" s="5"/>
      <c r="J56" s="6" t="s">
        <v>1490</v>
      </c>
      <c r="K56" s="6" t="s">
        <v>412</v>
      </c>
      <c r="L56" s="6" t="s">
        <v>413</v>
      </c>
    </row>
    <row r="57" spans="1:12" ht="15" customHeight="1" thickBot="1" x14ac:dyDescent="0.25">
      <c r="A57" s="29" t="s">
        <v>54</v>
      </c>
      <c r="B57" s="29" t="s">
        <v>1328</v>
      </c>
      <c r="C57" s="30" t="s">
        <v>409</v>
      </c>
      <c r="D57" s="2" t="s">
        <v>410</v>
      </c>
      <c r="E57" s="31" t="s">
        <v>411</v>
      </c>
      <c r="F57" s="3">
        <v>387</v>
      </c>
      <c r="G57" s="59" t="str">
        <f t="shared" si="6"/>
        <v>aotrp</v>
      </c>
      <c r="H57" s="59" t="str">
        <f t="shared" si="6"/>
        <v>Other transport equipment</v>
      </c>
      <c r="I57" s="5"/>
      <c r="J57" s="6" t="s">
        <v>1491</v>
      </c>
      <c r="K57" s="6" t="s">
        <v>415</v>
      </c>
      <c r="L57" s="6" t="s">
        <v>416</v>
      </c>
    </row>
    <row r="58" spans="1:12" ht="15" customHeight="1" thickBot="1" x14ac:dyDescent="0.25">
      <c r="A58" s="29" t="s">
        <v>55</v>
      </c>
      <c r="B58" s="29" t="s">
        <v>301</v>
      </c>
      <c r="C58" s="30" t="s">
        <v>414</v>
      </c>
      <c r="D58" s="2" t="s">
        <v>301</v>
      </c>
      <c r="E58" s="31">
        <v>3910</v>
      </c>
      <c r="F58" s="3">
        <v>391</v>
      </c>
      <c r="G58" s="59" t="str">
        <f>K34</f>
        <v>afurn</v>
      </c>
      <c r="H58" s="59" t="str">
        <f>L34</f>
        <v>Furniture</v>
      </c>
      <c r="I58" s="5"/>
      <c r="J58" s="6" t="s">
        <v>1492</v>
      </c>
      <c r="K58" s="6" t="s">
        <v>420</v>
      </c>
      <c r="L58" s="6" t="s">
        <v>421</v>
      </c>
    </row>
    <row r="59" spans="1:12" ht="15" customHeight="1" thickBot="1" x14ac:dyDescent="0.25">
      <c r="A59" s="29" t="s">
        <v>56</v>
      </c>
      <c r="B59" s="29" t="s">
        <v>1429</v>
      </c>
      <c r="C59" s="30" t="s">
        <v>417</v>
      </c>
      <c r="D59" s="2" t="s">
        <v>418</v>
      </c>
      <c r="E59" s="31" t="s">
        <v>419</v>
      </c>
      <c r="F59" s="3">
        <v>392</v>
      </c>
      <c r="G59" s="59" t="str">
        <f>K$35</f>
        <v>aomnf</v>
      </c>
      <c r="H59" s="59" t="str">
        <f>L$35</f>
        <v>Manufacturing n.e.c, recycling</v>
      </c>
      <c r="I59" s="5"/>
      <c r="J59" s="6" t="s">
        <v>1493</v>
      </c>
      <c r="K59" s="6" t="s">
        <v>426</v>
      </c>
      <c r="L59" s="6" t="s">
        <v>427</v>
      </c>
    </row>
    <row r="60" spans="1:12" ht="15" customHeight="1" thickBot="1" x14ac:dyDescent="0.25">
      <c r="A60" s="29" t="s">
        <v>57</v>
      </c>
      <c r="B60" s="29" t="s">
        <v>422</v>
      </c>
      <c r="C60" s="30" t="s">
        <v>423</v>
      </c>
      <c r="D60" s="2" t="s">
        <v>424</v>
      </c>
      <c r="E60" s="31" t="s">
        <v>425</v>
      </c>
      <c r="F60" s="3">
        <v>395</v>
      </c>
      <c r="G60" s="59" t="str">
        <f>K$35</f>
        <v>aomnf</v>
      </c>
      <c r="H60" s="59" t="str">
        <f>L$35</f>
        <v>Manufacturing n.e.c, recycling</v>
      </c>
      <c r="I60" s="5"/>
      <c r="J60" s="6" t="s">
        <v>1494</v>
      </c>
      <c r="K60" s="6" t="s">
        <v>431</v>
      </c>
      <c r="L60" s="6" t="s">
        <v>432</v>
      </c>
    </row>
    <row r="61" spans="1:12" ht="15" customHeight="1" thickBot="1" x14ac:dyDescent="0.25">
      <c r="A61" s="29" t="s">
        <v>58</v>
      </c>
      <c r="B61" s="29" t="s">
        <v>259</v>
      </c>
      <c r="C61" s="30" t="s">
        <v>428</v>
      </c>
      <c r="D61" s="2" t="s">
        <v>429</v>
      </c>
      <c r="E61" s="31" t="s">
        <v>430</v>
      </c>
      <c r="F61" s="3">
        <v>41</v>
      </c>
      <c r="G61" s="59" t="str">
        <f>K36</f>
        <v>aelcg</v>
      </c>
      <c r="H61" s="59" t="str">
        <f>L36</f>
        <v>Electricity, gas, steam and hot water supply</v>
      </c>
      <c r="I61" s="5"/>
      <c r="J61" s="6" t="s">
        <v>1495</v>
      </c>
      <c r="K61" s="6" t="s">
        <v>436</v>
      </c>
      <c r="L61" s="6" t="s">
        <v>437</v>
      </c>
    </row>
    <row r="62" spans="1:12" ht="15" customHeight="1" thickBot="1" x14ac:dyDescent="0.25">
      <c r="A62" s="29" t="s">
        <v>59</v>
      </c>
      <c r="B62" s="29" t="s">
        <v>379</v>
      </c>
      <c r="C62" s="30" t="s">
        <v>433</v>
      </c>
      <c r="D62" s="2" t="s">
        <v>434</v>
      </c>
      <c r="E62" s="31" t="s">
        <v>435</v>
      </c>
      <c r="F62" s="3">
        <v>42</v>
      </c>
      <c r="G62" s="59" t="str">
        <f>K37</f>
        <v>awatd</v>
      </c>
      <c r="H62" s="59" t="str">
        <f>L37</f>
        <v>Collection, purification and distribution of water</v>
      </c>
      <c r="I62" s="5"/>
      <c r="J62" s="6" t="s">
        <v>1496</v>
      </c>
      <c r="K62" s="6" t="s">
        <v>440</v>
      </c>
      <c r="L62" s="6" t="s">
        <v>441</v>
      </c>
    </row>
    <row r="63" spans="1:12" ht="15" customHeight="1" thickBot="1" x14ac:dyDescent="0.25">
      <c r="A63" s="29" t="s">
        <v>60</v>
      </c>
      <c r="B63" s="29" t="s">
        <v>1300</v>
      </c>
      <c r="C63" s="30" t="s">
        <v>439</v>
      </c>
      <c r="D63" s="2" t="s">
        <v>438</v>
      </c>
      <c r="E63" s="31">
        <v>501</v>
      </c>
      <c r="F63" s="3">
        <v>501</v>
      </c>
      <c r="G63" s="59" t="str">
        <f t="shared" ref="G63:H67" si="7">K$38</f>
        <v>acnst</v>
      </c>
      <c r="H63" s="59" t="str">
        <f t="shared" si="7"/>
        <v>Construction</v>
      </c>
      <c r="I63" s="5"/>
      <c r="J63" s="6" t="s">
        <v>1497</v>
      </c>
      <c r="K63" s="6" t="s">
        <v>445</v>
      </c>
      <c r="L63" s="6" t="s">
        <v>446</v>
      </c>
    </row>
    <row r="64" spans="1:12" ht="15" customHeight="1" thickBot="1" x14ac:dyDescent="0.25">
      <c r="A64" s="29" t="s">
        <v>61</v>
      </c>
      <c r="B64" s="29" t="s">
        <v>1430</v>
      </c>
      <c r="C64" s="30" t="s">
        <v>442</v>
      </c>
      <c r="D64" s="2" t="s">
        <v>443</v>
      </c>
      <c r="E64" s="31" t="s">
        <v>444</v>
      </c>
      <c r="F64" s="3">
        <v>502</v>
      </c>
      <c r="G64" s="59" t="str">
        <f t="shared" si="7"/>
        <v>acnst</v>
      </c>
      <c r="H64" s="59" t="str">
        <f t="shared" si="7"/>
        <v>Construction</v>
      </c>
      <c r="I64" s="5"/>
    </row>
    <row r="65" spans="1:9" ht="15" customHeight="1" thickBot="1" x14ac:dyDescent="0.25">
      <c r="A65" s="29" t="s">
        <v>62</v>
      </c>
      <c r="B65" s="29" t="s">
        <v>1301</v>
      </c>
      <c r="C65" s="30" t="s">
        <v>447</v>
      </c>
      <c r="D65" s="2" t="s">
        <v>448</v>
      </c>
      <c r="E65" s="31" t="s">
        <v>449</v>
      </c>
      <c r="F65" s="3">
        <v>503</v>
      </c>
      <c r="G65" s="59" t="str">
        <f t="shared" si="7"/>
        <v>acnst</v>
      </c>
      <c r="H65" s="59" t="str">
        <f t="shared" si="7"/>
        <v>Construction</v>
      </c>
      <c r="I65" s="5"/>
    </row>
    <row r="66" spans="1:9" ht="15" customHeight="1" thickBot="1" x14ac:dyDescent="0.25">
      <c r="A66" s="29" t="s">
        <v>63</v>
      </c>
      <c r="B66" s="29" t="s">
        <v>1302</v>
      </c>
      <c r="C66" s="30" t="s">
        <v>450</v>
      </c>
      <c r="D66" s="2" t="s">
        <v>451</v>
      </c>
      <c r="E66" s="31" t="s">
        <v>452</v>
      </c>
      <c r="F66" s="3">
        <v>504</v>
      </c>
      <c r="G66" s="59" t="str">
        <f t="shared" si="7"/>
        <v>acnst</v>
      </c>
      <c r="H66" s="59" t="str">
        <f t="shared" si="7"/>
        <v>Construction</v>
      </c>
      <c r="I66" s="5"/>
    </row>
    <row r="67" spans="1:9" ht="15" customHeight="1" thickBot="1" x14ac:dyDescent="0.25">
      <c r="A67" s="29" t="s">
        <v>64</v>
      </c>
      <c r="B67" s="29" t="s">
        <v>1303</v>
      </c>
      <c r="C67" s="30" t="s">
        <v>453</v>
      </c>
      <c r="D67" s="2" t="s">
        <v>454</v>
      </c>
      <c r="E67" s="31">
        <v>505</v>
      </c>
      <c r="F67" s="3">
        <v>505</v>
      </c>
      <c r="G67" s="59" t="str">
        <f t="shared" si="7"/>
        <v>acnst</v>
      </c>
      <c r="H67" s="59" t="str">
        <f t="shared" si="7"/>
        <v>Construction</v>
      </c>
      <c r="I67" s="5"/>
    </row>
    <row r="68" spans="1:9" ht="15" customHeight="1" thickBot="1" x14ac:dyDescent="0.25">
      <c r="A68" s="29" t="s">
        <v>65</v>
      </c>
      <c r="B68" s="29" t="s">
        <v>1304</v>
      </c>
      <c r="C68" s="30" t="s">
        <v>455</v>
      </c>
      <c r="D68" s="2" t="s">
        <v>456</v>
      </c>
      <c r="E68" s="31">
        <v>6110</v>
      </c>
      <c r="F68" s="3">
        <v>611</v>
      </c>
      <c r="G68" s="59" t="str">
        <f t="shared" ref="G68:H73" si="8">K$39</f>
        <v>awtrd</v>
      </c>
      <c r="H68" s="59" t="str">
        <f t="shared" si="8"/>
        <v>Wholesale trade, commission trade</v>
      </c>
      <c r="I68" s="5"/>
    </row>
    <row r="69" spans="1:9" ht="15" customHeight="1" thickBot="1" x14ac:dyDescent="0.25">
      <c r="A69" s="29" t="s">
        <v>66</v>
      </c>
      <c r="B69" s="29" t="s">
        <v>1305</v>
      </c>
      <c r="C69" s="30" t="s">
        <v>457</v>
      </c>
      <c r="D69" s="2" t="s">
        <v>458</v>
      </c>
      <c r="E69" s="31" t="s">
        <v>459</v>
      </c>
      <c r="F69" s="3">
        <v>612</v>
      </c>
      <c r="G69" s="59" t="str">
        <f t="shared" si="8"/>
        <v>awtrd</v>
      </c>
      <c r="H69" s="59" t="str">
        <f t="shared" si="8"/>
        <v>Wholesale trade, commission trade</v>
      </c>
      <c r="I69" s="5"/>
    </row>
    <row r="70" spans="1:9" ht="15" customHeight="1" thickBot="1" x14ac:dyDescent="0.25">
      <c r="A70" s="29" t="s">
        <v>67</v>
      </c>
      <c r="B70" s="29" t="s">
        <v>1306</v>
      </c>
      <c r="C70" s="30" t="s">
        <v>460</v>
      </c>
      <c r="D70" s="2" t="s">
        <v>461</v>
      </c>
      <c r="E70" s="31" t="s">
        <v>462</v>
      </c>
      <c r="F70" s="3">
        <v>613</v>
      </c>
      <c r="G70" s="59" t="str">
        <f t="shared" si="8"/>
        <v>awtrd</v>
      </c>
      <c r="H70" s="59" t="str">
        <f t="shared" si="8"/>
        <v>Wholesale trade, commission trade</v>
      </c>
      <c r="I70" s="5"/>
    </row>
    <row r="71" spans="1:9" ht="15" customHeight="1" thickBot="1" x14ac:dyDescent="0.25">
      <c r="A71" s="29" t="s">
        <v>68</v>
      </c>
      <c r="B71" s="29" t="s">
        <v>1307</v>
      </c>
      <c r="C71" s="30" t="s">
        <v>463</v>
      </c>
      <c r="D71" s="2" t="s">
        <v>464</v>
      </c>
      <c r="E71" s="31" t="s">
        <v>465</v>
      </c>
      <c r="F71" s="3">
        <v>614</v>
      </c>
      <c r="G71" s="59" t="str">
        <f t="shared" si="8"/>
        <v>awtrd</v>
      </c>
      <c r="H71" s="59" t="str">
        <f t="shared" si="8"/>
        <v>Wholesale trade, commission trade</v>
      </c>
      <c r="I71" s="5"/>
    </row>
    <row r="72" spans="1:9" ht="15" customHeight="1" thickBot="1" x14ac:dyDescent="0.25">
      <c r="A72" s="29" t="s">
        <v>69</v>
      </c>
      <c r="B72" s="29" t="s">
        <v>1308</v>
      </c>
      <c r="C72" s="30" t="s">
        <v>466</v>
      </c>
      <c r="D72" s="2" t="s">
        <v>467</v>
      </c>
      <c r="E72" s="31">
        <v>6150</v>
      </c>
      <c r="F72" s="3">
        <v>615</v>
      </c>
      <c r="G72" s="59" t="str">
        <f t="shared" si="8"/>
        <v>awtrd</v>
      </c>
      <c r="H72" s="59" t="str">
        <f t="shared" si="8"/>
        <v>Wholesale trade, commission trade</v>
      </c>
      <c r="I72" s="5"/>
    </row>
    <row r="73" spans="1:9" ht="15" customHeight="1" thickBot="1" x14ac:dyDescent="0.25">
      <c r="A73" s="29" t="s">
        <v>70</v>
      </c>
      <c r="B73" s="29" t="s">
        <v>1309</v>
      </c>
      <c r="C73" s="30" t="s">
        <v>468</v>
      </c>
      <c r="D73" s="2" t="s">
        <v>469</v>
      </c>
      <c r="E73" s="31">
        <v>6190</v>
      </c>
      <c r="F73" s="3">
        <v>619</v>
      </c>
      <c r="G73" s="59" t="str">
        <f t="shared" si="8"/>
        <v>awtrd</v>
      </c>
      <c r="H73" s="59" t="str">
        <f t="shared" si="8"/>
        <v>Wholesale trade, commission trade</v>
      </c>
      <c r="I73" s="5"/>
    </row>
    <row r="74" spans="1:9" ht="15" customHeight="1" thickBot="1" x14ac:dyDescent="0.25">
      <c r="A74" s="29" t="s">
        <v>71</v>
      </c>
      <c r="B74" s="29" t="s">
        <v>1310</v>
      </c>
      <c r="C74" s="30" t="s">
        <v>470</v>
      </c>
      <c r="D74" s="2" t="s">
        <v>471</v>
      </c>
      <c r="E74" s="31" t="s">
        <v>472</v>
      </c>
      <c r="F74" s="3">
        <v>621</v>
      </c>
      <c r="G74" s="59" t="str">
        <f t="shared" ref="G74:H78" si="9">K$40</f>
        <v>artrd</v>
      </c>
      <c r="H74" s="59" t="str">
        <f t="shared" si="9"/>
        <v>Retail trade</v>
      </c>
      <c r="I74" s="5"/>
    </row>
    <row r="75" spans="1:9" ht="15" customHeight="1" thickBot="1" x14ac:dyDescent="0.25">
      <c r="A75" s="29" t="s">
        <v>72</v>
      </c>
      <c r="B75" s="29" t="s">
        <v>1311</v>
      </c>
      <c r="C75" s="30" t="s">
        <v>473</v>
      </c>
      <c r="D75" s="2" t="s">
        <v>474</v>
      </c>
      <c r="E75" s="31">
        <v>6220</v>
      </c>
      <c r="F75" s="3">
        <v>622</v>
      </c>
      <c r="G75" s="59" t="str">
        <f t="shared" si="9"/>
        <v>artrd</v>
      </c>
      <c r="H75" s="59" t="str">
        <f t="shared" si="9"/>
        <v>Retail trade</v>
      </c>
      <c r="I75" s="5"/>
    </row>
    <row r="76" spans="1:9" ht="15" customHeight="1" thickBot="1" x14ac:dyDescent="0.25">
      <c r="A76" s="29" t="s">
        <v>73</v>
      </c>
      <c r="B76" s="29" t="s">
        <v>1312</v>
      </c>
      <c r="C76" s="30" t="s">
        <v>475</v>
      </c>
      <c r="D76" s="2" t="s">
        <v>476</v>
      </c>
      <c r="E76" s="31" t="s">
        <v>477</v>
      </c>
      <c r="F76" s="3" t="s">
        <v>478</v>
      </c>
      <c r="G76" s="59" t="str">
        <f t="shared" si="9"/>
        <v>artrd</v>
      </c>
      <c r="H76" s="59" t="str">
        <f t="shared" si="9"/>
        <v>Retail trade</v>
      </c>
      <c r="I76" s="5"/>
    </row>
    <row r="77" spans="1:9" ht="15" customHeight="1" thickBot="1" x14ac:dyDescent="0.25">
      <c r="A77" s="29" t="s">
        <v>74</v>
      </c>
      <c r="B77" s="29" t="s">
        <v>1313</v>
      </c>
      <c r="C77" s="30" t="s">
        <v>479</v>
      </c>
      <c r="D77" s="2" t="s">
        <v>480</v>
      </c>
      <c r="E77" s="31" t="s">
        <v>481</v>
      </c>
      <c r="F77" s="3">
        <v>625</v>
      </c>
      <c r="G77" s="59" t="str">
        <f t="shared" si="9"/>
        <v>artrd</v>
      </c>
      <c r="H77" s="59" t="str">
        <f t="shared" si="9"/>
        <v>Retail trade</v>
      </c>
      <c r="I77" s="5"/>
    </row>
    <row r="78" spans="1:9" ht="15" customHeight="1" thickBot="1" x14ac:dyDescent="0.25">
      <c r="A78" s="29" t="s">
        <v>75</v>
      </c>
      <c r="B78" s="29" t="s">
        <v>482</v>
      </c>
      <c r="C78" s="30" t="s">
        <v>483</v>
      </c>
      <c r="D78" s="2" t="s">
        <v>484</v>
      </c>
      <c r="E78" s="31">
        <v>6260</v>
      </c>
      <c r="F78" s="3">
        <v>626</v>
      </c>
      <c r="G78" s="59" t="str">
        <f t="shared" si="9"/>
        <v>artrd</v>
      </c>
      <c r="H78" s="59" t="str">
        <f t="shared" si="9"/>
        <v>Retail trade</v>
      </c>
      <c r="I78" s="5"/>
    </row>
    <row r="79" spans="1:9" ht="15" customHeight="1" thickBot="1" x14ac:dyDescent="0.25">
      <c r="A79" s="29" t="s">
        <v>76</v>
      </c>
      <c r="B79" s="29" t="s">
        <v>1314</v>
      </c>
      <c r="C79" s="30" t="s">
        <v>485</v>
      </c>
      <c r="D79" s="2" t="s">
        <v>486</v>
      </c>
      <c r="E79" s="31" t="s">
        <v>487</v>
      </c>
      <c r="F79" s="3" t="s">
        <v>488</v>
      </c>
      <c r="G79" s="59" t="str">
        <f t="shared" ref="G79:H82" si="10">K$41</f>
        <v>amtvs</v>
      </c>
      <c r="H79" s="59" t="str">
        <f t="shared" si="10"/>
        <v>Sale, maintenance, repair of motor vehicles</v>
      </c>
      <c r="I79" s="5"/>
    </row>
    <row r="80" spans="1:9" ht="15" customHeight="1" thickBot="1" x14ac:dyDescent="0.25">
      <c r="A80" s="29" t="s">
        <v>77</v>
      </c>
      <c r="B80" s="29" t="s">
        <v>489</v>
      </c>
      <c r="C80" s="30" t="s">
        <v>490</v>
      </c>
      <c r="D80" s="2" t="s">
        <v>491</v>
      </c>
      <c r="E80" s="31">
        <v>6320</v>
      </c>
      <c r="F80" s="3">
        <v>632</v>
      </c>
      <c r="G80" s="59" t="str">
        <f t="shared" si="10"/>
        <v>amtvs</v>
      </c>
      <c r="H80" s="59" t="str">
        <f t="shared" si="10"/>
        <v>Sale, maintenance, repair of motor vehicles</v>
      </c>
      <c r="I80" s="5"/>
    </row>
    <row r="81" spans="1:9" ht="15" customHeight="1" thickBot="1" x14ac:dyDescent="0.25">
      <c r="A81" s="29" t="s">
        <v>78</v>
      </c>
      <c r="B81" s="29" t="s">
        <v>1315</v>
      </c>
      <c r="C81" s="30" t="s">
        <v>492</v>
      </c>
      <c r="D81" s="2" t="s">
        <v>493</v>
      </c>
      <c r="E81" s="31" t="s">
        <v>494</v>
      </c>
      <c r="F81" s="3">
        <v>633</v>
      </c>
      <c r="G81" s="59" t="str">
        <f t="shared" si="10"/>
        <v>amtvs</v>
      </c>
      <c r="H81" s="59" t="str">
        <f t="shared" si="10"/>
        <v>Sale, maintenance, repair of motor vehicles</v>
      </c>
      <c r="I81" s="5"/>
    </row>
    <row r="82" spans="1:9" ht="15" customHeight="1" thickBot="1" x14ac:dyDescent="0.25">
      <c r="A82" s="29" t="s">
        <v>79</v>
      </c>
      <c r="B82" s="29" t="s">
        <v>1316</v>
      </c>
      <c r="C82" s="30" t="s">
        <v>495</v>
      </c>
      <c r="D82" s="2" t="s">
        <v>496</v>
      </c>
      <c r="E82" s="31">
        <v>6350</v>
      </c>
      <c r="F82" s="3">
        <v>635</v>
      </c>
      <c r="G82" s="59" t="str">
        <f t="shared" si="10"/>
        <v>amtvs</v>
      </c>
      <c r="H82" s="59" t="str">
        <f t="shared" si="10"/>
        <v>Sale, maintenance, repair of motor vehicles</v>
      </c>
      <c r="I82" s="5"/>
    </row>
    <row r="83" spans="1:9" ht="15" customHeight="1" thickBot="1" x14ac:dyDescent="0.25">
      <c r="A83" s="29" t="s">
        <v>80</v>
      </c>
      <c r="B83" s="29" t="s">
        <v>1281</v>
      </c>
      <c r="C83" s="30" t="s">
        <v>497</v>
      </c>
      <c r="D83" s="2" t="s">
        <v>498</v>
      </c>
      <c r="E83" s="31">
        <v>641</v>
      </c>
      <c r="F83" s="3">
        <v>641</v>
      </c>
      <c r="G83" s="59" t="str">
        <f>K$42</f>
        <v>aacct</v>
      </c>
      <c r="H83" s="59" t="str">
        <f>L$42</f>
        <v>Hotels and restaurants</v>
      </c>
      <c r="I83" s="5"/>
    </row>
    <row r="84" spans="1:9" ht="15" customHeight="1" thickBot="1" x14ac:dyDescent="0.25">
      <c r="A84" s="29" t="s">
        <v>81</v>
      </c>
      <c r="B84" s="29" t="s">
        <v>499</v>
      </c>
      <c r="C84" s="30" t="s">
        <v>500</v>
      </c>
      <c r="D84" s="2" t="s">
        <v>501</v>
      </c>
      <c r="E84" s="31">
        <v>642</v>
      </c>
      <c r="F84" s="3">
        <v>642</v>
      </c>
      <c r="G84" s="59" t="str">
        <f>K$42</f>
        <v>aacct</v>
      </c>
      <c r="H84" s="59" t="str">
        <f>L$42</f>
        <v>Hotels and restaurants</v>
      </c>
      <c r="I84" s="5"/>
    </row>
    <row r="85" spans="1:9" ht="15" customHeight="1" thickBot="1" x14ac:dyDescent="0.25">
      <c r="A85" s="29" t="s">
        <v>82</v>
      </c>
      <c r="B85" s="29" t="s">
        <v>502</v>
      </c>
      <c r="C85" s="30" t="s">
        <v>503</v>
      </c>
      <c r="D85" s="2" t="s">
        <v>502</v>
      </c>
      <c r="E85" s="31">
        <v>7111</v>
      </c>
      <c r="F85" s="3">
        <v>711</v>
      </c>
      <c r="G85" s="59" t="str">
        <f>K$43</f>
        <v>altrp</v>
      </c>
      <c r="H85" s="59" t="str">
        <f>L$43</f>
        <v>Land transport, transport via pipe lines</v>
      </c>
      <c r="I85" s="5"/>
    </row>
    <row r="86" spans="1:9" ht="15" customHeight="1" thickBot="1" x14ac:dyDescent="0.25">
      <c r="A86" s="29" t="s">
        <v>83</v>
      </c>
      <c r="B86" s="29" t="s">
        <v>1432</v>
      </c>
      <c r="C86" s="30" t="s">
        <v>504</v>
      </c>
      <c r="D86" s="2" t="s">
        <v>505</v>
      </c>
      <c r="E86" s="31" t="s">
        <v>506</v>
      </c>
      <c r="F86" s="3">
        <v>712</v>
      </c>
      <c r="G86" s="59" t="str">
        <f>K$43</f>
        <v>altrp</v>
      </c>
      <c r="H86" s="59" t="str">
        <f>L$43</f>
        <v>Land transport, transport via pipe lines</v>
      </c>
      <c r="I86" s="5"/>
    </row>
    <row r="87" spans="1:9" ht="15" customHeight="1" thickBot="1" x14ac:dyDescent="0.25">
      <c r="A87" s="29" t="s">
        <v>84</v>
      </c>
      <c r="B87" s="29" t="s">
        <v>350</v>
      </c>
      <c r="C87" s="30" t="s">
        <v>507</v>
      </c>
      <c r="D87" s="2" t="s">
        <v>508</v>
      </c>
      <c r="E87" s="31" t="s">
        <v>509</v>
      </c>
      <c r="F87" s="3">
        <v>72</v>
      </c>
      <c r="G87" s="59" t="str">
        <f t="shared" ref="G87:H89" si="11">K44</f>
        <v>awtrp</v>
      </c>
      <c r="H87" s="59" t="str">
        <f t="shared" si="11"/>
        <v>Water transport</v>
      </c>
      <c r="I87" s="5"/>
    </row>
    <row r="88" spans="1:9" ht="15" customHeight="1" thickBot="1" x14ac:dyDescent="0.25">
      <c r="A88" s="29" t="s">
        <v>85</v>
      </c>
      <c r="B88" s="29" t="s">
        <v>356</v>
      </c>
      <c r="C88" s="30" t="s">
        <v>510</v>
      </c>
      <c r="D88" s="2" t="s">
        <v>356</v>
      </c>
      <c r="E88" s="31">
        <v>73</v>
      </c>
      <c r="F88" s="3">
        <v>73</v>
      </c>
      <c r="G88" s="59" t="str">
        <f t="shared" si="11"/>
        <v>aatrp</v>
      </c>
      <c r="H88" s="59" t="str">
        <f t="shared" si="11"/>
        <v>Air transport</v>
      </c>
      <c r="I88" s="5"/>
    </row>
    <row r="89" spans="1:9" ht="15" customHeight="1" thickBot="1" x14ac:dyDescent="0.25">
      <c r="A89" s="29" t="s">
        <v>86</v>
      </c>
      <c r="B89" s="29" t="s">
        <v>1337</v>
      </c>
      <c r="C89" s="30" t="s">
        <v>511</v>
      </c>
      <c r="D89" s="2" t="s">
        <v>512</v>
      </c>
      <c r="E89" s="31" t="s">
        <v>513</v>
      </c>
      <c r="F89" s="3">
        <v>741</v>
      </c>
      <c r="G89" s="59" t="str">
        <f t="shared" si="11"/>
        <v>atrps</v>
      </c>
      <c r="H89" s="59" t="str">
        <f t="shared" si="11"/>
        <v>Auxiliary transport</v>
      </c>
      <c r="I89" s="5"/>
    </row>
    <row r="90" spans="1:9" ht="15" customHeight="1" thickBot="1" x14ac:dyDescent="0.25">
      <c r="A90" s="29" t="s">
        <v>87</v>
      </c>
      <c r="B90" s="29" t="s">
        <v>514</v>
      </c>
      <c r="C90" s="30" t="s">
        <v>515</v>
      </c>
      <c r="D90" s="2" t="s">
        <v>516</v>
      </c>
      <c r="E90" s="31" t="s">
        <v>517</v>
      </c>
      <c r="F90" s="3">
        <v>751</v>
      </c>
      <c r="G90" s="59" t="str">
        <f>K$47</f>
        <v>apost</v>
      </c>
      <c r="H90" s="59" t="str">
        <f>L$47</f>
        <v>Post and telecommunication</v>
      </c>
      <c r="I90" s="5"/>
    </row>
    <row r="91" spans="1:9" ht="15" customHeight="1" thickBot="1" x14ac:dyDescent="0.25">
      <c r="A91" s="29" t="s">
        <v>88</v>
      </c>
      <c r="B91" s="29" t="s">
        <v>1219</v>
      </c>
      <c r="C91" s="30" t="s">
        <v>518</v>
      </c>
      <c r="D91" s="2" t="s">
        <v>519</v>
      </c>
      <c r="E91" s="31">
        <v>7520</v>
      </c>
      <c r="F91" s="3">
        <v>752</v>
      </c>
      <c r="G91" s="59" t="str">
        <f>K$47</f>
        <v>apost</v>
      </c>
      <c r="H91" s="59" t="str">
        <f>L$47</f>
        <v>Post and telecommunication</v>
      </c>
      <c r="I91" s="5"/>
    </row>
    <row r="92" spans="1:9" ht="15" customHeight="1" thickBot="1" x14ac:dyDescent="0.25">
      <c r="A92" s="29" t="s">
        <v>89</v>
      </c>
      <c r="B92" s="29" t="s">
        <v>521</v>
      </c>
      <c r="C92" s="30" t="s">
        <v>520</v>
      </c>
      <c r="D92" s="2" t="s">
        <v>521</v>
      </c>
      <c r="E92" s="31">
        <v>811</v>
      </c>
      <c r="F92" s="3">
        <v>811</v>
      </c>
      <c r="G92" s="59" t="str">
        <f>K$48</f>
        <v>afins</v>
      </c>
      <c r="H92" s="59" t="str">
        <f>L$48</f>
        <v>Financial intermediation</v>
      </c>
      <c r="I92" s="5"/>
    </row>
    <row r="93" spans="1:9" ht="15" customHeight="1" thickBot="1" x14ac:dyDescent="0.25">
      <c r="A93" s="29" t="s">
        <v>90</v>
      </c>
      <c r="B93" s="29" t="s">
        <v>1336</v>
      </c>
      <c r="C93" s="30" t="s">
        <v>522</v>
      </c>
      <c r="D93" s="2" t="s">
        <v>523</v>
      </c>
      <c r="E93" s="31" t="s">
        <v>524</v>
      </c>
      <c r="F93" s="3">
        <v>812</v>
      </c>
      <c r="G93" s="59" t="str">
        <f>K$48</f>
        <v>afins</v>
      </c>
      <c r="H93" s="59" t="str">
        <f>L$48</f>
        <v>Financial intermediation</v>
      </c>
      <c r="I93" s="5"/>
    </row>
    <row r="94" spans="1:9" ht="15" customHeight="1" thickBot="1" x14ac:dyDescent="0.25">
      <c r="A94" s="29" t="s">
        <v>91</v>
      </c>
      <c r="B94" s="29" t="s">
        <v>1317</v>
      </c>
      <c r="C94" s="30" t="s">
        <v>525</v>
      </c>
      <c r="D94" s="2" t="s">
        <v>526</v>
      </c>
      <c r="E94" s="31" t="s">
        <v>527</v>
      </c>
      <c r="F94" s="3">
        <v>821</v>
      </c>
      <c r="G94" s="59" t="str">
        <f>K$49</f>
        <v>ainsp</v>
      </c>
      <c r="H94" s="59" t="str">
        <f>L$49</f>
        <v>Insurance and pension funding</v>
      </c>
      <c r="I94" s="5"/>
    </row>
    <row r="95" spans="1:9" ht="15" customHeight="1" thickBot="1" x14ac:dyDescent="0.25">
      <c r="A95" s="29" t="s">
        <v>92</v>
      </c>
      <c r="B95" s="29" t="s">
        <v>1335</v>
      </c>
      <c r="C95" s="30" t="s">
        <v>528</v>
      </c>
      <c r="D95" s="2" t="s">
        <v>529</v>
      </c>
      <c r="E95" s="31" t="s">
        <v>530</v>
      </c>
      <c r="F95" s="3">
        <v>831</v>
      </c>
      <c r="G95" s="59" t="str">
        <f>K50</f>
        <v>aofin</v>
      </c>
      <c r="H95" s="59" t="str">
        <f>L50</f>
        <v>Activities to financial intermediation</v>
      </c>
      <c r="I95" s="5"/>
    </row>
    <row r="96" spans="1:9" ht="15" customHeight="1" thickBot="1" x14ac:dyDescent="0.25">
      <c r="A96" s="29" t="s">
        <v>93</v>
      </c>
      <c r="B96" s="29" t="s">
        <v>1334</v>
      </c>
      <c r="C96" s="30" t="s">
        <v>531</v>
      </c>
      <c r="D96" s="2" t="s">
        <v>532</v>
      </c>
      <c r="E96" s="31">
        <v>832</v>
      </c>
      <c r="F96" s="3">
        <v>832</v>
      </c>
      <c r="G96" s="59" t="str">
        <f>K$49</f>
        <v>ainsp</v>
      </c>
      <c r="H96" s="59" t="str">
        <f>L$49</f>
        <v>Insurance and pension funding</v>
      </c>
      <c r="I96" s="5"/>
    </row>
    <row r="97" spans="1:9" ht="15" customHeight="1" thickBot="1" x14ac:dyDescent="0.25">
      <c r="A97" s="29" t="s">
        <v>94</v>
      </c>
      <c r="B97" s="29" t="s">
        <v>1318</v>
      </c>
      <c r="C97" s="30" t="s">
        <v>533</v>
      </c>
      <c r="D97" s="2" t="s">
        <v>534</v>
      </c>
      <c r="E97" s="31" t="s">
        <v>535</v>
      </c>
      <c r="F97" s="3" t="s">
        <v>535</v>
      </c>
      <c r="G97" s="59" t="str">
        <f t="shared" ref="G97:H99" si="12">K$51</f>
        <v>areal</v>
      </c>
      <c r="H97" s="59" t="str">
        <f t="shared" si="12"/>
        <v>Real estate activities</v>
      </c>
      <c r="I97" s="5"/>
    </row>
    <row r="98" spans="1:9" ht="15" customHeight="1" thickBot="1" x14ac:dyDescent="0.25">
      <c r="A98" s="29" t="s">
        <v>95</v>
      </c>
      <c r="B98" s="29" t="s">
        <v>1319</v>
      </c>
      <c r="C98" s="30" t="s">
        <v>536</v>
      </c>
      <c r="D98" s="2" t="s">
        <v>537</v>
      </c>
      <c r="E98" s="31" t="s">
        <v>538</v>
      </c>
      <c r="F98" s="3">
        <v>841</v>
      </c>
      <c r="G98" s="59" t="str">
        <f t="shared" si="12"/>
        <v>areal</v>
      </c>
      <c r="H98" s="59" t="str">
        <f t="shared" si="12"/>
        <v>Real estate activities</v>
      </c>
      <c r="I98" s="5"/>
    </row>
    <row r="99" spans="1:9" ht="15" customHeight="1" thickBot="1" x14ac:dyDescent="0.25">
      <c r="A99" s="29" t="s">
        <v>96</v>
      </c>
      <c r="B99" s="29" t="s">
        <v>1338</v>
      </c>
      <c r="C99" s="30" t="s">
        <v>539</v>
      </c>
      <c r="D99" s="2" t="s">
        <v>540</v>
      </c>
      <c r="E99" s="31" t="s">
        <v>541</v>
      </c>
      <c r="F99" s="3">
        <v>842</v>
      </c>
      <c r="G99" s="59" t="str">
        <f t="shared" si="12"/>
        <v>areal</v>
      </c>
      <c r="H99" s="59" t="str">
        <f t="shared" si="12"/>
        <v>Real estate activities</v>
      </c>
      <c r="I99" s="5"/>
    </row>
    <row r="100" spans="1:9" ht="15" customHeight="1" thickBot="1" x14ac:dyDescent="0.25">
      <c r="A100" s="29" t="s">
        <v>97</v>
      </c>
      <c r="B100" s="29" t="s">
        <v>1339</v>
      </c>
      <c r="C100" s="30" t="s">
        <v>542</v>
      </c>
      <c r="D100" s="2" t="s">
        <v>543</v>
      </c>
      <c r="E100" s="31" t="s">
        <v>544</v>
      </c>
      <c r="F100" s="3">
        <v>851</v>
      </c>
      <c r="G100" s="59" t="str">
        <f t="shared" ref="G100:H102" si="13">K$52</f>
        <v>arent</v>
      </c>
      <c r="H100" s="59" t="str">
        <f t="shared" si="13"/>
        <v>Renting of machinery and equipment</v>
      </c>
      <c r="I100" s="5"/>
    </row>
    <row r="101" spans="1:9" ht="15" customHeight="1" thickBot="1" x14ac:dyDescent="0.25">
      <c r="A101" s="29" t="s">
        <v>98</v>
      </c>
      <c r="B101" s="29" t="s">
        <v>545</v>
      </c>
      <c r="C101" s="30" t="s">
        <v>546</v>
      </c>
      <c r="D101" s="2" t="s">
        <v>547</v>
      </c>
      <c r="E101" s="31" t="s">
        <v>548</v>
      </c>
      <c r="F101" s="3">
        <v>852</v>
      </c>
      <c r="G101" s="59" t="str">
        <f t="shared" si="13"/>
        <v>arent</v>
      </c>
      <c r="H101" s="59" t="str">
        <f t="shared" si="13"/>
        <v>Renting of machinery and equipment</v>
      </c>
      <c r="I101" s="5"/>
    </row>
    <row r="102" spans="1:9" ht="15" customHeight="1" thickBot="1" x14ac:dyDescent="0.25">
      <c r="A102" s="29" t="s">
        <v>99</v>
      </c>
      <c r="B102" s="29" t="s">
        <v>1320</v>
      </c>
      <c r="C102" s="30" t="s">
        <v>549</v>
      </c>
      <c r="D102" s="2" t="s">
        <v>550</v>
      </c>
      <c r="E102" s="31">
        <v>8530</v>
      </c>
      <c r="F102" s="3">
        <v>853</v>
      </c>
      <c r="G102" s="59" t="str">
        <f t="shared" si="13"/>
        <v>arent</v>
      </c>
      <c r="H102" s="59" t="str">
        <f t="shared" si="13"/>
        <v>Renting of machinery and equipment</v>
      </c>
      <c r="I102" s="5"/>
    </row>
    <row r="103" spans="1:9" ht="15" customHeight="1" thickBot="1" x14ac:dyDescent="0.25">
      <c r="A103" s="29" t="s">
        <v>100</v>
      </c>
      <c r="B103" s="29" t="s">
        <v>551</v>
      </c>
      <c r="C103" s="30" t="s">
        <v>552</v>
      </c>
      <c r="D103" s="2" t="s">
        <v>551</v>
      </c>
      <c r="E103" s="31">
        <v>861</v>
      </c>
      <c r="F103" s="3">
        <v>861</v>
      </c>
      <c r="G103" s="59" t="str">
        <f t="shared" ref="G103:H106" si="14">K$53</f>
        <v>acomp</v>
      </c>
      <c r="H103" s="59" t="str">
        <f t="shared" si="14"/>
        <v>Computer and related activities</v>
      </c>
      <c r="I103" s="5"/>
    </row>
    <row r="104" spans="1:9" ht="15" customHeight="1" thickBot="1" x14ac:dyDescent="0.25">
      <c r="A104" s="29" t="s">
        <v>101</v>
      </c>
      <c r="B104" s="29" t="s">
        <v>553</v>
      </c>
      <c r="C104" s="30" t="s">
        <v>554</v>
      </c>
      <c r="D104" s="2" t="s">
        <v>555</v>
      </c>
      <c r="E104" s="31">
        <v>862</v>
      </c>
      <c r="F104" s="3">
        <v>862</v>
      </c>
      <c r="G104" s="59" t="str">
        <f t="shared" si="14"/>
        <v>acomp</v>
      </c>
      <c r="H104" s="59" t="str">
        <f t="shared" si="14"/>
        <v>Computer and related activities</v>
      </c>
      <c r="I104" s="5"/>
    </row>
    <row r="105" spans="1:9" ht="15" customHeight="1" thickBot="1" x14ac:dyDescent="0.25">
      <c r="A105" s="29" t="s">
        <v>102</v>
      </c>
      <c r="B105" s="29" t="s">
        <v>556</v>
      </c>
      <c r="C105" s="30" t="s">
        <v>557</v>
      </c>
      <c r="D105" s="2" t="s">
        <v>556</v>
      </c>
      <c r="E105" s="31" t="s">
        <v>558</v>
      </c>
      <c r="F105" s="3">
        <v>863</v>
      </c>
      <c r="G105" s="59" t="str">
        <f t="shared" si="14"/>
        <v>acomp</v>
      </c>
      <c r="H105" s="59" t="str">
        <f t="shared" si="14"/>
        <v>Computer and related activities</v>
      </c>
      <c r="I105" s="5"/>
    </row>
    <row r="106" spans="1:9" ht="15" customHeight="1" thickBot="1" x14ac:dyDescent="0.25">
      <c r="A106" s="29" t="s">
        <v>103</v>
      </c>
      <c r="B106" s="29" t="s">
        <v>1340</v>
      </c>
      <c r="C106" s="30" t="s">
        <v>559</v>
      </c>
      <c r="D106" s="2" t="s">
        <v>560</v>
      </c>
      <c r="E106" s="31" t="s">
        <v>561</v>
      </c>
      <c r="F106" s="3">
        <v>865</v>
      </c>
      <c r="G106" s="59" t="str">
        <f t="shared" si="14"/>
        <v>acomp</v>
      </c>
      <c r="H106" s="59" t="str">
        <f t="shared" si="14"/>
        <v>Computer and related activities</v>
      </c>
      <c r="I106" s="5"/>
    </row>
    <row r="107" spans="1:9" ht="15" customHeight="1" thickBot="1" x14ac:dyDescent="0.25">
      <c r="A107" s="29" t="s">
        <v>104</v>
      </c>
      <c r="B107" s="29" t="s">
        <v>1321</v>
      </c>
      <c r="C107" s="30" t="s">
        <v>562</v>
      </c>
      <c r="D107" s="2" t="s">
        <v>563</v>
      </c>
      <c r="E107" s="31" t="s">
        <v>564</v>
      </c>
      <c r="F107" s="3">
        <v>87</v>
      </c>
      <c r="G107" s="59" t="str">
        <f>K54</f>
        <v>arsea</v>
      </c>
      <c r="H107" s="59" t="str">
        <f>L54</f>
        <v>Research and experimental development</v>
      </c>
      <c r="I107" s="5"/>
    </row>
    <row r="108" spans="1:9" ht="15" customHeight="1" thickBot="1" x14ac:dyDescent="0.25">
      <c r="A108" s="29" t="s">
        <v>105</v>
      </c>
      <c r="B108" s="29" t="s">
        <v>1322</v>
      </c>
      <c r="C108" s="30" t="s">
        <v>565</v>
      </c>
      <c r="D108" s="2" t="s">
        <v>566</v>
      </c>
      <c r="E108" s="31" t="s">
        <v>567</v>
      </c>
      <c r="F108" s="3">
        <v>881</v>
      </c>
      <c r="G108" s="59" t="str">
        <f t="shared" ref="G108:H111" si="15">K$55</f>
        <v>aobus</v>
      </c>
      <c r="H108" s="59" t="str">
        <f t="shared" si="15"/>
        <v>Other business activities</v>
      </c>
      <c r="I108" s="5"/>
    </row>
    <row r="109" spans="1:9" ht="15" customHeight="1" thickBot="1" x14ac:dyDescent="0.25">
      <c r="A109" s="29" t="s">
        <v>106</v>
      </c>
      <c r="B109" s="29" t="s">
        <v>1341</v>
      </c>
      <c r="C109" s="30" t="s">
        <v>568</v>
      </c>
      <c r="D109" s="2" t="s">
        <v>569</v>
      </c>
      <c r="E109" s="31" t="s">
        <v>570</v>
      </c>
      <c r="F109" s="3">
        <v>882</v>
      </c>
      <c r="G109" s="59" t="str">
        <f t="shared" si="15"/>
        <v>aobus</v>
      </c>
      <c r="H109" s="59" t="str">
        <f t="shared" si="15"/>
        <v>Other business activities</v>
      </c>
      <c r="I109" s="5"/>
    </row>
    <row r="110" spans="1:9" ht="15" customHeight="1" thickBot="1" x14ac:dyDescent="0.25">
      <c r="A110" s="29" t="s">
        <v>107</v>
      </c>
      <c r="B110" s="29" t="s">
        <v>571</v>
      </c>
      <c r="C110" s="30" t="s">
        <v>572</v>
      </c>
      <c r="D110" s="2" t="s">
        <v>573</v>
      </c>
      <c r="E110" s="31">
        <v>8830</v>
      </c>
      <c r="F110" s="3">
        <v>883</v>
      </c>
      <c r="G110" s="59" t="str">
        <f t="shared" si="15"/>
        <v>aobus</v>
      </c>
      <c r="H110" s="59" t="str">
        <f t="shared" si="15"/>
        <v>Other business activities</v>
      </c>
      <c r="I110" s="5"/>
    </row>
    <row r="111" spans="1:9" ht="15" customHeight="1" thickBot="1" x14ac:dyDescent="0.25">
      <c r="A111" s="29" t="s">
        <v>108</v>
      </c>
      <c r="B111" s="29" t="s">
        <v>1342</v>
      </c>
      <c r="C111" s="30" t="s">
        <v>574</v>
      </c>
      <c r="D111" s="2" t="s">
        <v>575</v>
      </c>
      <c r="E111" s="31" t="s">
        <v>576</v>
      </c>
      <c r="F111" s="3">
        <v>889</v>
      </c>
      <c r="G111" s="59" t="str">
        <f t="shared" si="15"/>
        <v>aobus</v>
      </c>
      <c r="H111" s="59" t="str">
        <f t="shared" si="15"/>
        <v>Other business activities</v>
      </c>
      <c r="I111" s="5"/>
    </row>
    <row r="112" spans="1:9" ht="15" customHeight="1" thickBot="1" x14ac:dyDescent="0.25">
      <c r="A112" s="29" t="s">
        <v>109</v>
      </c>
      <c r="B112" s="29" t="s">
        <v>1343</v>
      </c>
      <c r="C112" s="30" t="s">
        <v>577</v>
      </c>
      <c r="D112" s="2" t="s">
        <v>578</v>
      </c>
      <c r="E112" s="31">
        <v>911</v>
      </c>
      <c r="F112" s="3" t="s">
        <v>579</v>
      </c>
      <c r="G112" s="59" t="str">
        <f t="shared" ref="G112:H114" si="16">K$56</f>
        <v>apuba</v>
      </c>
      <c r="H112" s="59" t="str">
        <f t="shared" si="16"/>
        <v>Government</v>
      </c>
      <c r="I112" s="5"/>
    </row>
    <row r="113" spans="1:9" ht="15" customHeight="1" thickBot="1" x14ac:dyDescent="0.25">
      <c r="A113" s="29" t="s">
        <v>110</v>
      </c>
      <c r="B113" s="29" t="s">
        <v>580</v>
      </c>
      <c r="C113" s="30" t="s">
        <v>581</v>
      </c>
      <c r="D113" s="2" t="s">
        <v>582</v>
      </c>
      <c r="E113" s="31">
        <v>912</v>
      </c>
      <c r="F113" s="3" t="s">
        <v>583</v>
      </c>
      <c r="G113" s="59" t="str">
        <f t="shared" si="16"/>
        <v>apuba</v>
      </c>
      <c r="H113" s="59" t="str">
        <f t="shared" si="16"/>
        <v>Government</v>
      </c>
      <c r="I113" s="5"/>
    </row>
    <row r="114" spans="1:9" ht="15" customHeight="1" thickBot="1" x14ac:dyDescent="0.25">
      <c r="A114" s="29" t="s">
        <v>111</v>
      </c>
      <c r="B114" s="29" t="s">
        <v>584</v>
      </c>
      <c r="C114" s="30" t="s">
        <v>585</v>
      </c>
      <c r="D114" s="2" t="s">
        <v>586</v>
      </c>
      <c r="E114" s="31">
        <v>913</v>
      </c>
      <c r="F114" s="3" t="s">
        <v>587</v>
      </c>
      <c r="G114" s="59" t="str">
        <f t="shared" si="16"/>
        <v>apuba</v>
      </c>
      <c r="H114" s="59" t="str">
        <f t="shared" si="16"/>
        <v>Government</v>
      </c>
      <c r="I114" s="5"/>
    </row>
    <row r="115" spans="1:9" ht="15" customHeight="1" thickBot="1" x14ac:dyDescent="0.25">
      <c r="A115" s="29" t="s">
        <v>112</v>
      </c>
      <c r="B115" s="29" t="s">
        <v>416</v>
      </c>
      <c r="C115" s="30" t="s">
        <v>588</v>
      </c>
      <c r="D115" s="2" t="s">
        <v>416</v>
      </c>
      <c r="E115" s="31">
        <v>920</v>
      </c>
      <c r="F115" s="3">
        <v>92</v>
      </c>
      <c r="G115" s="59" t="str">
        <f>K57</f>
        <v>aeduc</v>
      </c>
      <c r="H115" s="59" t="str">
        <f>L57</f>
        <v>Education</v>
      </c>
      <c r="I115" s="5"/>
    </row>
    <row r="116" spans="1:9" ht="15" customHeight="1" thickBot="1" x14ac:dyDescent="0.25">
      <c r="A116" s="29" t="s">
        <v>113</v>
      </c>
      <c r="B116" s="29" t="s">
        <v>589</v>
      </c>
      <c r="C116" s="30" t="s">
        <v>590</v>
      </c>
      <c r="D116" s="2" t="s">
        <v>591</v>
      </c>
      <c r="E116" s="31" t="s">
        <v>592</v>
      </c>
      <c r="F116" s="3">
        <v>931</v>
      </c>
      <c r="G116" s="59" t="str">
        <f t="shared" ref="G116:H118" si="17">K$58</f>
        <v>aheal</v>
      </c>
      <c r="H116" s="59" t="str">
        <f t="shared" si="17"/>
        <v>Health and social work</v>
      </c>
      <c r="I116" s="5"/>
    </row>
    <row r="117" spans="1:9" ht="15" customHeight="1" thickBot="1" x14ac:dyDescent="0.25">
      <c r="A117" s="29" t="s">
        <v>114</v>
      </c>
      <c r="B117" s="29" t="s">
        <v>1431</v>
      </c>
      <c r="C117" s="30" t="s">
        <v>593</v>
      </c>
      <c r="D117" s="2" t="s">
        <v>594</v>
      </c>
      <c r="E117" s="31">
        <v>9320</v>
      </c>
      <c r="F117" s="3">
        <v>932</v>
      </c>
      <c r="G117" s="59" t="str">
        <f t="shared" si="17"/>
        <v>aheal</v>
      </c>
      <c r="H117" s="59" t="str">
        <f t="shared" si="17"/>
        <v>Health and social work</v>
      </c>
      <c r="I117" s="5"/>
    </row>
    <row r="118" spans="1:9" ht="15" customHeight="1" thickBot="1" x14ac:dyDescent="0.25">
      <c r="A118" s="29" t="s">
        <v>115</v>
      </c>
      <c r="B118" s="29" t="s">
        <v>595</v>
      </c>
      <c r="C118" s="30" t="s">
        <v>596</v>
      </c>
      <c r="D118" s="2" t="s">
        <v>597</v>
      </c>
      <c r="E118" s="31">
        <v>9330</v>
      </c>
      <c r="F118" s="3">
        <v>933</v>
      </c>
      <c r="G118" s="59" t="str">
        <f t="shared" si="17"/>
        <v>aheal</v>
      </c>
      <c r="H118" s="59" t="str">
        <f t="shared" si="17"/>
        <v>Health and social work</v>
      </c>
      <c r="I118" s="5"/>
    </row>
    <row r="119" spans="1:9" ht="15" customHeight="1" thickBot="1" x14ac:dyDescent="0.25">
      <c r="A119" s="29" t="s">
        <v>116</v>
      </c>
      <c r="B119" s="29" t="s">
        <v>1323</v>
      </c>
      <c r="C119" s="30" t="s">
        <v>598</v>
      </c>
      <c r="D119" s="2" t="s">
        <v>599</v>
      </c>
      <c r="E119" s="31">
        <v>940</v>
      </c>
      <c r="F119" s="3">
        <v>94</v>
      </c>
      <c r="G119" s="59" t="str">
        <f>K59</f>
        <v>awast</v>
      </c>
      <c r="H119" s="59" t="str">
        <f>L59</f>
        <v>Sewerage and refuse disposal</v>
      </c>
      <c r="I119" s="5"/>
    </row>
    <row r="120" spans="1:9" ht="15" customHeight="1" thickBot="1" x14ac:dyDescent="0.25">
      <c r="A120" s="29" t="s">
        <v>117</v>
      </c>
      <c r="B120" s="29" t="s">
        <v>1324</v>
      </c>
      <c r="C120" s="30" t="s">
        <v>600</v>
      </c>
      <c r="D120" s="2" t="s">
        <v>601</v>
      </c>
      <c r="E120" s="31" t="s">
        <v>602</v>
      </c>
      <c r="F120" s="3">
        <v>951</v>
      </c>
      <c r="G120" s="59" t="str">
        <f>K$60</f>
        <v>amorg</v>
      </c>
      <c r="H120" s="59" t="str">
        <f>L$60</f>
        <v>Activities of membership organisations</v>
      </c>
      <c r="I120" s="5"/>
    </row>
    <row r="121" spans="1:9" ht="15" customHeight="1" thickBot="1" x14ac:dyDescent="0.25">
      <c r="A121" s="29" t="s">
        <v>118</v>
      </c>
      <c r="B121" s="29" t="s">
        <v>1344</v>
      </c>
      <c r="C121" s="30" t="s">
        <v>603</v>
      </c>
      <c r="D121" s="2" t="s">
        <v>604</v>
      </c>
      <c r="E121" s="31" t="s">
        <v>605</v>
      </c>
      <c r="F121" s="3">
        <v>952</v>
      </c>
      <c r="G121" s="59" t="str">
        <f>K$60</f>
        <v>amorg</v>
      </c>
      <c r="H121" s="59" t="str">
        <f>L$60</f>
        <v>Activities of membership organisations</v>
      </c>
      <c r="I121" s="5"/>
    </row>
    <row r="122" spans="1:9" ht="15" customHeight="1" thickBot="1" x14ac:dyDescent="0.25">
      <c r="A122" s="29" t="s">
        <v>119</v>
      </c>
      <c r="B122" s="29" t="s">
        <v>1325</v>
      </c>
      <c r="C122" s="30" t="s">
        <v>606</v>
      </c>
      <c r="D122" s="2" t="s">
        <v>607</v>
      </c>
      <c r="E122" s="31" t="s">
        <v>608</v>
      </c>
      <c r="F122" s="3">
        <v>961</v>
      </c>
      <c r="G122" s="59" t="str">
        <f t="shared" ref="G122:H124" si="18">K$61</f>
        <v>arecr</v>
      </c>
      <c r="H122" s="59" t="str">
        <f t="shared" si="18"/>
        <v>Recreational, cultural and sporting activities</v>
      </c>
      <c r="I122" s="5"/>
    </row>
    <row r="123" spans="1:9" ht="15" customHeight="1" thickBot="1" x14ac:dyDescent="0.25">
      <c r="A123" s="29" t="s">
        <v>120</v>
      </c>
      <c r="B123" s="29" t="s">
        <v>1326</v>
      </c>
      <c r="C123" s="30" t="s">
        <v>609</v>
      </c>
      <c r="D123" s="2" t="s">
        <v>610</v>
      </c>
      <c r="E123" s="31" t="s">
        <v>611</v>
      </c>
      <c r="F123" s="3">
        <v>963</v>
      </c>
      <c r="G123" s="59" t="str">
        <f t="shared" si="18"/>
        <v>arecr</v>
      </c>
      <c r="H123" s="59" t="str">
        <f t="shared" si="18"/>
        <v>Recreational, cultural and sporting activities</v>
      </c>
      <c r="I123" s="5"/>
    </row>
    <row r="124" spans="1:9" ht="15" customHeight="1" thickBot="1" x14ac:dyDescent="0.25">
      <c r="A124" s="29" t="s">
        <v>121</v>
      </c>
      <c r="B124" s="29" t="s">
        <v>1327</v>
      </c>
      <c r="C124" s="30" t="s">
        <v>612</v>
      </c>
      <c r="D124" s="2" t="s">
        <v>613</v>
      </c>
      <c r="E124" s="31" t="s">
        <v>614</v>
      </c>
      <c r="F124" s="3">
        <v>964</v>
      </c>
      <c r="G124" s="59" t="str">
        <f t="shared" si="18"/>
        <v>arecr</v>
      </c>
      <c r="H124" s="59" t="str">
        <f t="shared" si="18"/>
        <v>Recreational, cultural and sporting activities</v>
      </c>
      <c r="I124" s="5"/>
    </row>
    <row r="125" spans="1:9" ht="15" customHeight="1" thickBot="1" x14ac:dyDescent="0.25">
      <c r="A125" s="29" t="s">
        <v>122</v>
      </c>
      <c r="B125" s="29" t="s">
        <v>615</v>
      </c>
      <c r="C125" s="30" t="s">
        <v>616</v>
      </c>
      <c r="D125" s="2" t="s">
        <v>617</v>
      </c>
      <c r="E125" s="31" t="s">
        <v>618</v>
      </c>
      <c r="F125" s="3">
        <v>990</v>
      </c>
      <c r="G125" s="59" t="str">
        <f>K62</f>
        <v>aoact</v>
      </c>
      <c r="H125" s="59" t="str">
        <f>L62</f>
        <v>Other activities</v>
      </c>
      <c r="I125" s="5"/>
    </row>
    <row r="126" spans="1:9" ht="15" customHeight="1" thickBot="1" x14ac:dyDescent="0.25">
      <c r="A126" s="29" t="s">
        <v>123</v>
      </c>
      <c r="B126" s="29" t="s">
        <v>1345</v>
      </c>
      <c r="C126" s="30" t="s">
        <v>619</v>
      </c>
      <c r="D126" s="2" t="s">
        <v>620</v>
      </c>
      <c r="E126" s="31" t="s">
        <v>621</v>
      </c>
      <c r="F126" s="3" t="s">
        <v>622</v>
      </c>
      <c r="G126" s="59" t="str">
        <f>K63</f>
        <v>anobs</v>
      </c>
      <c r="H126" s="59" t="str">
        <f>L63</f>
        <v>Non-observed, informal, non-profit, households,</v>
      </c>
      <c r="I126" s="5"/>
    </row>
  </sheetData>
  <mergeCells count="1">
    <mergeCell ref="G1:H1"/>
  </mergeCells>
  <hyperlinks>
    <hyperlink ref="A1" location="'Contents'!A1" display="Contents" xr:uid="{B2A458B8-4197-4ACD-9D1E-1B188D9E9AEA}"/>
  </hyperlink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A5728-0DA9-4238-9F30-76E59ECA344F}">
  <sheetPr codeName="Sheet3"/>
  <dimension ref="A1:P118"/>
  <sheetViews>
    <sheetView zoomScaleNormal="100" workbookViewId="0">
      <pane ySplit="3" topLeftCell="A4" activePane="bottomLeft" state="frozen"/>
      <selection pane="bottomLeft"/>
    </sheetView>
  </sheetViews>
  <sheetFormatPr defaultRowHeight="12.75" outlineLevelCol="1" x14ac:dyDescent="0.2"/>
  <cols>
    <col min="1" max="1" width="9.140625" style="24"/>
    <col min="2" max="2" width="20.28515625" style="24" bestFit="1" customWidth="1"/>
    <col min="3" max="3" width="12.42578125" style="24" customWidth="1" outlineLevel="1"/>
    <col min="4" max="4" width="52" style="24" customWidth="1" outlineLevel="1"/>
    <col min="5" max="5" width="13.5703125" style="24" customWidth="1" outlineLevel="1"/>
    <col min="6" max="6" width="17.7109375" style="24" customWidth="1" outlineLevel="1"/>
    <col min="7" max="7" width="10.5703125" style="24" customWidth="1"/>
    <col min="8" max="8" width="9.140625" style="24" customWidth="1"/>
    <col min="9" max="9" width="21.28515625" style="24" customWidth="1" outlineLevel="1"/>
    <col min="10" max="12" width="9.140625" style="24" customWidth="1" outlineLevel="1"/>
    <col min="13" max="13" width="42.85546875" style="24" customWidth="1" outlineLevel="1"/>
    <col min="14" max="15" width="9.140625" style="24" customWidth="1" outlineLevel="1"/>
    <col min="16" max="16" width="43.85546875" style="24" customWidth="1" outlineLevel="1"/>
    <col min="17" max="17" width="9.85546875" style="24" customWidth="1"/>
    <col min="18" max="16384" width="9.140625" style="24"/>
  </cols>
  <sheetData>
    <row r="1" spans="1:16" ht="15.75" thickBot="1" x14ac:dyDescent="0.3">
      <c r="A1" s="90" t="s">
        <v>1618</v>
      </c>
    </row>
    <row r="2" spans="1:16" ht="41.25" thickBot="1" x14ac:dyDescent="0.25">
      <c r="A2" s="46" t="s">
        <v>1515</v>
      </c>
      <c r="B2" s="46" t="s">
        <v>1351</v>
      </c>
      <c r="C2" s="21" t="s">
        <v>623</v>
      </c>
      <c r="D2" s="7" t="s">
        <v>624</v>
      </c>
      <c r="E2" s="7" t="s">
        <v>625</v>
      </c>
      <c r="F2" s="7" t="s">
        <v>626</v>
      </c>
      <c r="G2" s="46" t="s">
        <v>1567</v>
      </c>
      <c r="I2" s="47" t="s">
        <v>136</v>
      </c>
      <c r="J2" s="47" t="s">
        <v>1574</v>
      </c>
      <c r="K2" s="47" t="s">
        <v>1575</v>
      </c>
      <c r="L2" s="48" t="s">
        <v>627</v>
      </c>
      <c r="M2" s="48" t="s">
        <v>627</v>
      </c>
      <c r="O2" s="49" t="s">
        <v>628</v>
      </c>
      <c r="P2" s="50"/>
    </row>
    <row r="3" spans="1:16" ht="15" customHeight="1" thickBot="1" x14ac:dyDescent="0.25">
      <c r="A3" s="51" t="s">
        <v>629</v>
      </c>
      <c r="B3" s="51" t="s">
        <v>1349</v>
      </c>
      <c r="C3" s="52" t="s">
        <v>630</v>
      </c>
      <c r="D3" s="2" t="s">
        <v>631</v>
      </c>
      <c r="E3" s="2" t="s">
        <v>632</v>
      </c>
      <c r="F3" s="2" t="s">
        <v>633</v>
      </c>
      <c r="G3" s="51" t="s">
        <v>1498</v>
      </c>
      <c r="I3" s="53" t="str">
        <f>O3</f>
        <v>cagri</v>
      </c>
      <c r="O3" s="53" t="s">
        <v>634</v>
      </c>
      <c r="P3" s="24" t="s">
        <v>635</v>
      </c>
    </row>
    <row r="4" spans="1:16" ht="15" customHeight="1" thickBot="1" x14ac:dyDescent="0.25">
      <c r="A4" s="51" t="s">
        <v>636</v>
      </c>
      <c r="B4" s="51" t="s">
        <v>1355</v>
      </c>
      <c r="C4" s="52" t="s">
        <v>637</v>
      </c>
      <c r="D4" s="2" t="s">
        <v>638</v>
      </c>
      <c r="E4" s="2" t="s">
        <v>639</v>
      </c>
      <c r="F4" s="2" t="s">
        <v>640</v>
      </c>
      <c r="G4" s="51" t="s">
        <v>1499</v>
      </c>
      <c r="I4" s="53" t="str">
        <f>O3</f>
        <v>cagri</v>
      </c>
      <c r="O4" s="53" t="s">
        <v>641</v>
      </c>
      <c r="P4" s="24" t="s">
        <v>642</v>
      </c>
    </row>
    <row r="5" spans="1:16" ht="15" customHeight="1" thickBot="1" x14ac:dyDescent="0.25">
      <c r="A5" s="51" t="s">
        <v>643</v>
      </c>
      <c r="B5" s="51" t="s">
        <v>1356</v>
      </c>
      <c r="C5" s="52" t="s">
        <v>644</v>
      </c>
      <c r="D5" s="2" t="s">
        <v>645</v>
      </c>
      <c r="E5" s="2" t="s">
        <v>646</v>
      </c>
      <c r="F5" s="2" t="s">
        <v>647</v>
      </c>
      <c r="G5" s="51" t="s">
        <v>641</v>
      </c>
      <c r="I5" s="53" t="str">
        <f>O4</f>
        <v>clani</v>
      </c>
      <c r="O5" s="53" t="s">
        <v>648</v>
      </c>
      <c r="P5" s="24" t="s">
        <v>649</v>
      </c>
    </row>
    <row r="6" spans="1:16" ht="15" customHeight="1" thickBot="1" x14ac:dyDescent="0.25">
      <c r="A6" s="51" t="s">
        <v>650</v>
      </c>
      <c r="B6" s="51" t="s">
        <v>142</v>
      </c>
      <c r="C6" s="52" t="s">
        <v>651</v>
      </c>
      <c r="D6" s="2" t="s">
        <v>652</v>
      </c>
      <c r="E6" s="2" t="s">
        <v>653</v>
      </c>
      <c r="F6" s="2" t="s">
        <v>654</v>
      </c>
      <c r="G6" s="51" t="s">
        <v>648</v>
      </c>
      <c r="I6" s="53" t="str">
        <f>O5</f>
        <v>cfore</v>
      </c>
      <c r="O6" s="53" t="s">
        <v>655</v>
      </c>
      <c r="P6" s="24" t="s">
        <v>656</v>
      </c>
    </row>
    <row r="7" spans="1:16" ht="15" customHeight="1" thickBot="1" x14ac:dyDescent="0.25">
      <c r="A7" s="51" t="s">
        <v>657</v>
      </c>
      <c r="B7" s="51" t="s">
        <v>1357</v>
      </c>
      <c r="C7" s="52" t="s">
        <v>658</v>
      </c>
      <c r="D7" s="2" t="s">
        <v>659</v>
      </c>
      <c r="E7" s="2" t="s">
        <v>660</v>
      </c>
      <c r="F7" s="2" t="s">
        <v>661</v>
      </c>
      <c r="G7" s="51" t="s">
        <v>655</v>
      </c>
      <c r="I7" s="53" t="str">
        <f>O6</f>
        <v>cfish</v>
      </c>
      <c r="O7" s="53" t="s">
        <v>662</v>
      </c>
      <c r="P7" s="24" t="s">
        <v>663</v>
      </c>
    </row>
    <row r="8" spans="1:16" ht="15" customHeight="1" thickBot="1" x14ac:dyDescent="0.25">
      <c r="A8" s="51" t="s">
        <v>664</v>
      </c>
      <c r="B8" s="51" t="s">
        <v>1358</v>
      </c>
      <c r="C8" s="52" t="s">
        <v>665</v>
      </c>
      <c r="D8" s="2" t="s">
        <v>666</v>
      </c>
      <c r="E8" s="2">
        <v>110</v>
      </c>
      <c r="F8" s="2">
        <v>110</v>
      </c>
      <c r="G8" s="51" t="s">
        <v>662</v>
      </c>
      <c r="I8" s="53" t="str">
        <f>O7</f>
        <v>ccoal</v>
      </c>
      <c r="O8" s="53" t="s">
        <v>667</v>
      </c>
      <c r="P8" s="24" t="s">
        <v>668</v>
      </c>
    </row>
    <row r="9" spans="1:16" ht="15" customHeight="1" thickBot="1" x14ac:dyDescent="0.25">
      <c r="A9" s="51" t="s">
        <v>669</v>
      </c>
      <c r="B9" s="51" t="s">
        <v>1359</v>
      </c>
      <c r="C9" s="52" t="s">
        <v>670</v>
      </c>
      <c r="D9" s="2" t="s">
        <v>671</v>
      </c>
      <c r="E9" s="2">
        <v>120</v>
      </c>
      <c r="F9" s="2">
        <v>120</v>
      </c>
      <c r="G9" s="51" t="s">
        <v>1500</v>
      </c>
      <c r="I9" s="53" t="str">
        <f>O7</f>
        <v>ccoal</v>
      </c>
      <c r="O9" s="53" t="s">
        <v>672</v>
      </c>
      <c r="P9" s="24" t="s">
        <v>673</v>
      </c>
    </row>
    <row r="10" spans="1:16" ht="15" customHeight="1" thickBot="1" x14ac:dyDescent="0.25">
      <c r="A10" s="51" t="s">
        <v>674</v>
      </c>
      <c r="B10" s="51" t="s">
        <v>668</v>
      </c>
      <c r="C10" s="52" t="s">
        <v>675</v>
      </c>
      <c r="D10" s="2" t="s">
        <v>676</v>
      </c>
      <c r="E10" s="2" t="s">
        <v>677</v>
      </c>
      <c r="F10" s="54" t="s">
        <v>678</v>
      </c>
      <c r="G10" s="51" t="s">
        <v>667</v>
      </c>
      <c r="I10" s="53" t="str">
        <f>O8</f>
        <v>cmore</v>
      </c>
      <c r="O10" s="53" t="s">
        <v>679</v>
      </c>
      <c r="P10" s="24" t="s">
        <v>680</v>
      </c>
    </row>
    <row r="11" spans="1:16" ht="15" customHeight="1" thickBot="1" x14ac:dyDescent="0.25">
      <c r="A11" s="51" t="s">
        <v>681</v>
      </c>
      <c r="B11" s="51" t="s">
        <v>1360</v>
      </c>
      <c r="C11" s="52" t="s">
        <v>682</v>
      </c>
      <c r="D11" s="2" t="s">
        <v>683</v>
      </c>
      <c r="E11" s="2" t="s">
        <v>684</v>
      </c>
      <c r="F11" s="54" t="s">
        <v>685</v>
      </c>
      <c r="G11" s="51" t="s">
        <v>1501</v>
      </c>
      <c r="I11" s="53" t="str">
        <f>O9</f>
        <v>comin</v>
      </c>
      <c r="O11" s="53" t="s">
        <v>686</v>
      </c>
      <c r="P11" s="24" t="s">
        <v>687</v>
      </c>
    </row>
    <row r="12" spans="1:16" ht="15" customHeight="1" thickBot="1" x14ac:dyDescent="0.25">
      <c r="A12" s="51" t="s">
        <v>688</v>
      </c>
      <c r="B12" s="51" t="s">
        <v>1361</v>
      </c>
      <c r="C12" s="52" t="s">
        <v>689</v>
      </c>
      <c r="D12" s="2" t="s">
        <v>690</v>
      </c>
      <c r="E12" s="2" t="s">
        <v>691</v>
      </c>
      <c r="F12" s="54" t="s">
        <v>692</v>
      </c>
      <c r="G12" s="51" t="s">
        <v>672</v>
      </c>
      <c r="I12" s="53" t="str">
        <f>O9</f>
        <v>comin</v>
      </c>
      <c r="O12" s="53" t="s">
        <v>693</v>
      </c>
      <c r="P12" s="24" t="s">
        <v>694</v>
      </c>
    </row>
    <row r="13" spans="1:16" ht="15" customHeight="1" thickBot="1" x14ac:dyDescent="0.25">
      <c r="A13" s="51" t="s">
        <v>695</v>
      </c>
      <c r="B13" s="51" t="s">
        <v>1362</v>
      </c>
      <c r="C13" s="52" t="s">
        <v>696</v>
      </c>
      <c r="D13" s="2" t="s">
        <v>697</v>
      </c>
      <c r="E13" s="2" t="s">
        <v>698</v>
      </c>
      <c r="F13" s="54" t="s">
        <v>699</v>
      </c>
      <c r="G13" s="51" t="s">
        <v>679</v>
      </c>
      <c r="I13" s="53" t="str">
        <f>O10</f>
        <v>celcg</v>
      </c>
      <c r="O13" s="53" t="s">
        <v>700</v>
      </c>
      <c r="P13" s="24" t="s">
        <v>701</v>
      </c>
    </row>
    <row r="14" spans="1:16" ht="15" customHeight="1" thickBot="1" x14ac:dyDescent="0.25">
      <c r="A14" s="51" t="s">
        <v>702</v>
      </c>
      <c r="B14" s="51" t="s">
        <v>687</v>
      </c>
      <c r="C14" s="52" t="s">
        <v>703</v>
      </c>
      <c r="D14" s="2" t="s">
        <v>687</v>
      </c>
      <c r="E14" s="2">
        <v>180</v>
      </c>
      <c r="F14" s="54">
        <v>180</v>
      </c>
      <c r="G14" s="51" t="s">
        <v>686</v>
      </c>
      <c r="I14" s="53" t="str">
        <f>O11</f>
        <v>cwatr</v>
      </c>
      <c r="O14" s="53" t="s">
        <v>704</v>
      </c>
      <c r="P14" s="24" t="s">
        <v>705</v>
      </c>
    </row>
    <row r="15" spans="1:16" ht="15" customHeight="1" thickBot="1" x14ac:dyDescent="0.25">
      <c r="A15" s="51" t="s">
        <v>706</v>
      </c>
      <c r="B15" s="51" t="s">
        <v>1363</v>
      </c>
      <c r="C15" s="52" t="s">
        <v>707</v>
      </c>
      <c r="D15" s="2" t="s">
        <v>708</v>
      </c>
      <c r="E15" s="2">
        <v>211</v>
      </c>
      <c r="F15" s="54">
        <v>211</v>
      </c>
      <c r="G15" s="51" t="s">
        <v>693</v>
      </c>
      <c r="I15" s="53" t="str">
        <f t="shared" ref="I15:I21" si="0">O12</f>
        <v>cmeat</v>
      </c>
      <c r="O15" s="53" t="s">
        <v>709</v>
      </c>
      <c r="P15" s="24" t="s">
        <v>710</v>
      </c>
    </row>
    <row r="16" spans="1:16" ht="15" customHeight="1" thickBot="1" x14ac:dyDescent="0.25">
      <c r="A16" s="51" t="s">
        <v>711</v>
      </c>
      <c r="B16" s="51" t="s">
        <v>1364</v>
      </c>
      <c r="C16" s="52" t="s">
        <v>712</v>
      </c>
      <c r="D16" s="2" t="s">
        <v>713</v>
      </c>
      <c r="E16" s="2">
        <v>212</v>
      </c>
      <c r="F16" s="54">
        <v>212</v>
      </c>
      <c r="G16" s="51" t="s">
        <v>700</v>
      </c>
      <c r="I16" s="53" t="str">
        <f t="shared" si="0"/>
        <v>cpfis</v>
      </c>
      <c r="O16" s="53" t="s">
        <v>714</v>
      </c>
      <c r="P16" s="24" t="s">
        <v>715</v>
      </c>
    </row>
    <row r="17" spans="1:16" ht="15" customHeight="1" thickBot="1" x14ac:dyDescent="0.25">
      <c r="A17" s="51" t="s">
        <v>716</v>
      </c>
      <c r="B17" s="51" t="s">
        <v>1365</v>
      </c>
      <c r="C17" s="52" t="s">
        <v>717</v>
      </c>
      <c r="D17" s="2" t="s">
        <v>718</v>
      </c>
      <c r="E17" s="2">
        <v>213</v>
      </c>
      <c r="F17" s="54">
        <v>213</v>
      </c>
      <c r="G17" s="51" t="s">
        <v>704</v>
      </c>
      <c r="I17" s="53" t="str">
        <f t="shared" si="0"/>
        <v>cvege</v>
      </c>
      <c r="O17" s="53" t="s">
        <v>719</v>
      </c>
      <c r="P17" s="24" t="s">
        <v>214</v>
      </c>
    </row>
    <row r="18" spans="1:16" ht="15" customHeight="1" thickBot="1" x14ac:dyDescent="0.25">
      <c r="A18" s="51" t="s">
        <v>720</v>
      </c>
      <c r="B18" s="51" t="s">
        <v>1366</v>
      </c>
      <c r="C18" s="52" t="s">
        <v>721</v>
      </c>
      <c r="D18" s="2" t="s">
        <v>722</v>
      </c>
      <c r="E18" s="2">
        <v>214</v>
      </c>
      <c r="F18" s="54">
        <v>214</v>
      </c>
      <c r="G18" s="51" t="s">
        <v>709</v>
      </c>
      <c r="I18" s="53" t="str">
        <f t="shared" si="0"/>
        <v>cfrui</v>
      </c>
      <c r="O18" s="53" t="s">
        <v>723</v>
      </c>
      <c r="P18" s="24" t="s">
        <v>724</v>
      </c>
    </row>
    <row r="19" spans="1:16" ht="15" customHeight="1" thickBot="1" x14ac:dyDescent="0.25">
      <c r="A19" s="51" t="s">
        <v>725</v>
      </c>
      <c r="B19" s="51" t="s">
        <v>1367</v>
      </c>
      <c r="C19" s="52" t="s">
        <v>726</v>
      </c>
      <c r="D19" s="2" t="s">
        <v>727</v>
      </c>
      <c r="E19" s="2" t="s">
        <v>728</v>
      </c>
      <c r="F19" s="54" t="s">
        <v>729</v>
      </c>
      <c r="G19" s="51" t="s">
        <v>714</v>
      </c>
      <c r="I19" s="53" t="str">
        <f t="shared" si="0"/>
        <v>cfats</v>
      </c>
      <c r="O19" s="53" t="s">
        <v>730</v>
      </c>
      <c r="P19" s="24" t="s">
        <v>731</v>
      </c>
    </row>
    <row r="20" spans="1:16" ht="15" customHeight="1" thickBot="1" x14ac:dyDescent="0.25">
      <c r="A20" s="51" t="s">
        <v>732</v>
      </c>
      <c r="B20" s="51" t="s">
        <v>1368</v>
      </c>
      <c r="C20" s="52" t="s">
        <v>733</v>
      </c>
      <c r="D20" s="2" t="s">
        <v>734</v>
      </c>
      <c r="E20" s="2" t="s">
        <v>735</v>
      </c>
      <c r="F20" s="54" t="s">
        <v>736</v>
      </c>
      <c r="G20" s="51" t="s">
        <v>719</v>
      </c>
      <c r="I20" s="53" t="str">
        <f t="shared" si="0"/>
        <v>cdair</v>
      </c>
      <c r="O20" s="53" t="s">
        <v>737</v>
      </c>
      <c r="P20" s="24" t="s">
        <v>738</v>
      </c>
    </row>
    <row r="21" spans="1:16" ht="15" customHeight="1" thickBot="1" x14ac:dyDescent="0.25">
      <c r="A21" s="51" t="s">
        <v>739</v>
      </c>
      <c r="B21" s="51" t="s">
        <v>1369</v>
      </c>
      <c r="C21" s="52" t="s">
        <v>740</v>
      </c>
      <c r="D21" s="2" t="s">
        <v>741</v>
      </c>
      <c r="E21" s="2" t="s">
        <v>742</v>
      </c>
      <c r="F21" s="2">
        <v>231</v>
      </c>
      <c r="G21" s="51" t="s">
        <v>723</v>
      </c>
      <c r="I21" s="55" t="str">
        <f t="shared" si="0"/>
        <v>cgrai</v>
      </c>
      <c r="J21" s="55" t="str">
        <f>O19</f>
        <v>cstar</v>
      </c>
      <c r="L21" s="56" t="s">
        <v>743</v>
      </c>
      <c r="M21" s="56" t="str">
        <f>B21</f>
        <v>Grain mill, starch &amp; syrups</v>
      </c>
      <c r="O21" s="53" t="s">
        <v>744</v>
      </c>
      <c r="P21" s="24" t="s">
        <v>745</v>
      </c>
    </row>
    <row r="22" spans="1:16" ht="15" customHeight="1" thickBot="1" x14ac:dyDescent="0.25">
      <c r="A22" s="51" t="s">
        <v>746</v>
      </c>
      <c r="B22" s="51" t="s">
        <v>1370</v>
      </c>
      <c r="C22" s="52" t="s">
        <v>747</v>
      </c>
      <c r="D22" s="2" t="s">
        <v>748</v>
      </c>
      <c r="E22" s="2">
        <v>233</v>
      </c>
      <c r="F22" s="2">
        <v>233</v>
      </c>
      <c r="G22" s="51" t="s">
        <v>737</v>
      </c>
      <c r="I22" s="53" t="str">
        <f>O20</f>
        <v>cafee</v>
      </c>
      <c r="O22" s="53" t="s">
        <v>749</v>
      </c>
      <c r="P22" s="24" t="s">
        <v>225</v>
      </c>
    </row>
    <row r="23" spans="1:16" ht="15" customHeight="1" thickBot="1" x14ac:dyDescent="0.25">
      <c r="A23" s="51" t="s">
        <v>750</v>
      </c>
      <c r="B23" s="51" t="s">
        <v>745</v>
      </c>
      <c r="C23" s="52" t="s">
        <v>751</v>
      </c>
      <c r="D23" s="2" t="s">
        <v>752</v>
      </c>
      <c r="E23" s="2">
        <v>234</v>
      </c>
      <c r="F23" s="2">
        <v>234</v>
      </c>
      <c r="G23" s="51" t="s">
        <v>744</v>
      </c>
      <c r="I23" s="53" t="str">
        <f t="shared" ref="I23:I26" si="1">O21</f>
        <v>cbake</v>
      </c>
      <c r="O23" s="53" t="s">
        <v>753</v>
      </c>
      <c r="P23" s="24" t="s">
        <v>754</v>
      </c>
    </row>
    <row r="24" spans="1:16" ht="15" customHeight="1" thickBot="1" x14ac:dyDescent="0.25">
      <c r="A24" s="51" t="s">
        <v>755</v>
      </c>
      <c r="B24" s="51" t="s">
        <v>225</v>
      </c>
      <c r="C24" s="52" t="s">
        <v>756</v>
      </c>
      <c r="D24" s="2" t="s">
        <v>757</v>
      </c>
      <c r="E24" s="2">
        <v>235</v>
      </c>
      <c r="F24" s="2">
        <v>235</v>
      </c>
      <c r="G24" s="51" t="s">
        <v>749</v>
      </c>
      <c r="I24" s="53" t="str">
        <f t="shared" si="1"/>
        <v>csuga</v>
      </c>
      <c r="O24" s="53" t="s">
        <v>758</v>
      </c>
      <c r="P24" s="24" t="s">
        <v>759</v>
      </c>
    </row>
    <row r="25" spans="1:16" ht="15" customHeight="1" thickBot="1" x14ac:dyDescent="0.25">
      <c r="A25" s="51" t="s">
        <v>760</v>
      </c>
      <c r="B25" s="51" t="s">
        <v>1371</v>
      </c>
      <c r="C25" s="52" t="s">
        <v>761</v>
      </c>
      <c r="D25" s="2" t="s">
        <v>762</v>
      </c>
      <c r="E25" s="2">
        <v>236</v>
      </c>
      <c r="F25" s="2">
        <v>236</v>
      </c>
      <c r="G25" s="51" t="s">
        <v>753</v>
      </c>
      <c r="I25" s="53" t="str">
        <f t="shared" si="1"/>
        <v>cconf</v>
      </c>
      <c r="O25" s="53" t="s">
        <v>763</v>
      </c>
      <c r="P25" s="24" t="s">
        <v>764</v>
      </c>
    </row>
    <row r="26" spans="1:16" ht="15" customHeight="1" thickBot="1" x14ac:dyDescent="0.25">
      <c r="A26" s="51" t="s">
        <v>765</v>
      </c>
      <c r="B26" s="51" t="s">
        <v>1346</v>
      </c>
      <c r="C26" s="52" t="s">
        <v>766</v>
      </c>
      <c r="D26" s="2" t="s">
        <v>767</v>
      </c>
      <c r="E26" s="2" t="s">
        <v>768</v>
      </c>
      <c r="F26" s="2">
        <v>239</v>
      </c>
      <c r="G26" s="51" t="s">
        <v>758</v>
      </c>
      <c r="I26" s="55" t="str">
        <f t="shared" si="1"/>
        <v>cpast</v>
      </c>
      <c r="J26" s="55" t="str">
        <f>O25</f>
        <v>cofoo</v>
      </c>
      <c r="L26" s="56" t="s">
        <v>769</v>
      </c>
      <c r="M26" s="56" t="str">
        <f>B26</f>
        <v>Pasta &amp; food n.e.c.</v>
      </c>
      <c r="O26" s="53" t="s">
        <v>770</v>
      </c>
      <c r="P26" s="24" t="s">
        <v>771</v>
      </c>
    </row>
    <row r="27" spans="1:16" ht="15" customHeight="1" thickBot="1" x14ac:dyDescent="0.25">
      <c r="A27" s="51" t="s">
        <v>772</v>
      </c>
      <c r="B27" s="51" t="s">
        <v>1372</v>
      </c>
      <c r="C27" s="52" t="s">
        <v>773</v>
      </c>
      <c r="D27" s="2" t="s">
        <v>774</v>
      </c>
      <c r="E27" s="2" t="s">
        <v>775</v>
      </c>
      <c r="F27" s="54" t="s">
        <v>776</v>
      </c>
      <c r="G27" s="51" t="s">
        <v>770</v>
      </c>
      <c r="I27" s="53" t="str">
        <f t="shared" ref="I27:I40" si="2">O26</f>
        <v>calcb</v>
      </c>
      <c r="O27" s="53" t="s">
        <v>777</v>
      </c>
      <c r="P27" s="24" t="s">
        <v>778</v>
      </c>
    </row>
    <row r="28" spans="1:16" ht="15" customHeight="1" thickBot="1" x14ac:dyDescent="0.25">
      <c r="A28" s="51" t="s">
        <v>779</v>
      </c>
      <c r="B28" s="51" t="s">
        <v>778</v>
      </c>
      <c r="C28" s="52" t="s">
        <v>780</v>
      </c>
      <c r="D28" s="2" t="s">
        <v>781</v>
      </c>
      <c r="E28" s="2">
        <v>244</v>
      </c>
      <c r="F28" s="54">
        <v>244</v>
      </c>
      <c r="G28" s="51" t="s">
        <v>777</v>
      </c>
      <c r="I28" s="53" t="str">
        <f t="shared" si="2"/>
        <v>csftd</v>
      </c>
      <c r="O28" s="53" t="s">
        <v>782</v>
      </c>
      <c r="P28" s="24" t="s">
        <v>783</v>
      </c>
    </row>
    <row r="29" spans="1:16" ht="15" customHeight="1" thickBot="1" x14ac:dyDescent="0.25">
      <c r="A29" s="51" t="s">
        <v>784</v>
      </c>
      <c r="B29" s="51" t="s">
        <v>783</v>
      </c>
      <c r="C29" s="52" t="s">
        <v>785</v>
      </c>
      <c r="D29" s="2" t="s">
        <v>783</v>
      </c>
      <c r="E29" s="2">
        <v>250</v>
      </c>
      <c r="F29" s="54">
        <v>250</v>
      </c>
      <c r="G29" s="51" t="s">
        <v>782</v>
      </c>
      <c r="I29" s="53" t="str">
        <f t="shared" si="2"/>
        <v>ctoba</v>
      </c>
      <c r="O29" s="53" t="s">
        <v>786</v>
      </c>
      <c r="P29" s="24" t="s">
        <v>787</v>
      </c>
    </row>
    <row r="30" spans="1:16" ht="15" customHeight="1" thickBot="1" x14ac:dyDescent="0.25">
      <c r="A30" s="51" t="s">
        <v>788</v>
      </c>
      <c r="B30" s="51" t="s">
        <v>1373</v>
      </c>
      <c r="C30" s="52" t="s">
        <v>789</v>
      </c>
      <c r="D30" s="2" t="s">
        <v>790</v>
      </c>
      <c r="E30" s="2" t="s">
        <v>791</v>
      </c>
      <c r="F30" s="54" t="s">
        <v>792</v>
      </c>
      <c r="G30" s="51" t="s">
        <v>786</v>
      </c>
      <c r="I30" s="53" t="str">
        <f t="shared" si="2"/>
        <v>ctexf</v>
      </c>
      <c r="O30" s="53" t="s">
        <v>793</v>
      </c>
      <c r="P30" s="24" t="s">
        <v>794</v>
      </c>
    </row>
    <row r="31" spans="1:16" ht="15" customHeight="1" thickBot="1" x14ac:dyDescent="0.25">
      <c r="A31" s="51" t="s">
        <v>795</v>
      </c>
      <c r="B31" s="51" t="s">
        <v>1374</v>
      </c>
      <c r="C31" s="52" t="s">
        <v>796</v>
      </c>
      <c r="D31" s="2" t="s">
        <v>797</v>
      </c>
      <c r="E31" s="2">
        <v>271</v>
      </c>
      <c r="F31" s="54">
        <v>271</v>
      </c>
      <c r="G31" s="51" t="s">
        <v>793</v>
      </c>
      <c r="I31" s="53" t="str">
        <f t="shared" si="2"/>
        <v>ctexm</v>
      </c>
      <c r="O31" s="53" t="s">
        <v>798</v>
      </c>
      <c r="P31" s="24" t="s">
        <v>799</v>
      </c>
    </row>
    <row r="32" spans="1:16" ht="15" customHeight="1" thickBot="1" x14ac:dyDescent="0.25">
      <c r="A32" s="51" t="s">
        <v>800</v>
      </c>
      <c r="B32" s="51" t="s">
        <v>799</v>
      </c>
      <c r="C32" s="52" t="s">
        <v>801</v>
      </c>
      <c r="D32" s="2" t="s">
        <v>802</v>
      </c>
      <c r="E32" s="2">
        <v>272</v>
      </c>
      <c r="F32" s="54">
        <v>272</v>
      </c>
      <c r="G32" s="51" t="s">
        <v>798</v>
      </c>
      <c r="I32" s="53" t="str">
        <f t="shared" si="2"/>
        <v>ccarp</v>
      </c>
      <c r="O32" s="53" t="s">
        <v>803</v>
      </c>
      <c r="P32" s="24" t="s">
        <v>804</v>
      </c>
    </row>
    <row r="33" spans="1:16" ht="15" customHeight="1" thickBot="1" x14ac:dyDescent="0.25">
      <c r="A33" s="51" t="s">
        <v>805</v>
      </c>
      <c r="B33" s="51" t="s">
        <v>804</v>
      </c>
      <c r="C33" s="52" t="s">
        <v>806</v>
      </c>
      <c r="D33" s="2" t="s">
        <v>807</v>
      </c>
      <c r="E33" s="2" t="s">
        <v>808</v>
      </c>
      <c r="F33" s="54" t="s">
        <v>809</v>
      </c>
      <c r="G33" s="51" t="s">
        <v>803</v>
      </c>
      <c r="I33" s="53" t="str">
        <f t="shared" si="2"/>
        <v>cotex</v>
      </c>
      <c r="O33" s="53" t="s">
        <v>810</v>
      </c>
      <c r="P33" s="24" t="s">
        <v>811</v>
      </c>
    </row>
    <row r="34" spans="1:16" ht="15" customHeight="1" thickBot="1" x14ac:dyDescent="0.25">
      <c r="A34" s="51" t="s">
        <v>812</v>
      </c>
      <c r="B34" s="51" t="s">
        <v>1375</v>
      </c>
      <c r="C34" s="52" t="s">
        <v>813</v>
      </c>
      <c r="D34" s="2" t="s">
        <v>814</v>
      </c>
      <c r="E34" s="2">
        <v>281</v>
      </c>
      <c r="F34" s="54">
        <v>281</v>
      </c>
      <c r="G34" s="51" t="s">
        <v>810</v>
      </c>
      <c r="I34" s="53" t="str">
        <f t="shared" si="2"/>
        <v>cknit</v>
      </c>
      <c r="O34" s="53" t="s">
        <v>815</v>
      </c>
      <c r="P34" s="24" t="s">
        <v>226</v>
      </c>
    </row>
    <row r="35" spans="1:16" ht="15" customHeight="1" thickBot="1" x14ac:dyDescent="0.25">
      <c r="A35" s="51" t="s">
        <v>816</v>
      </c>
      <c r="B35" s="51" t="s">
        <v>226</v>
      </c>
      <c r="C35" s="52" t="s">
        <v>817</v>
      </c>
      <c r="D35" s="2" t="s">
        <v>818</v>
      </c>
      <c r="E35" s="2" t="s">
        <v>819</v>
      </c>
      <c r="F35" s="54" t="s">
        <v>820</v>
      </c>
      <c r="G35" s="51" t="s">
        <v>815</v>
      </c>
      <c r="I35" s="53" t="str">
        <f t="shared" si="2"/>
        <v>cwear</v>
      </c>
      <c r="O35" s="53" t="s">
        <v>821</v>
      </c>
      <c r="P35" s="24" t="s">
        <v>297</v>
      </c>
    </row>
    <row r="36" spans="1:16" ht="15" customHeight="1" thickBot="1" x14ac:dyDescent="0.25">
      <c r="A36" s="51" t="s">
        <v>822</v>
      </c>
      <c r="B36" s="51" t="s">
        <v>231</v>
      </c>
      <c r="C36" s="52" t="s">
        <v>823</v>
      </c>
      <c r="D36" s="2" t="s">
        <v>824</v>
      </c>
      <c r="E36" s="2" t="s">
        <v>825</v>
      </c>
      <c r="F36" s="54" t="s">
        <v>826</v>
      </c>
      <c r="G36" s="51" t="s">
        <v>821</v>
      </c>
      <c r="I36" s="53" t="str">
        <f t="shared" si="2"/>
        <v>cleat</v>
      </c>
      <c r="O36" s="53" t="s">
        <v>827</v>
      </c>
      <c r="P36" s="24" t="s">
        <v>197</v>
      </c>
    </row>
    <row r="37" spans="1:16" ht="15" customHeight="1" thickBot="1" x14ac:dyDescent="0.25">
      <c r="A37" s="51" t="s">
        <v>828</v>
      </c>
      <c r="B37" s="51" t="s">
        <v>197</v>
      </c>
      <c r="C37" s="52" t="s">
        <v>829</v>
      </c>
      <c r="D37" s="2" t="s">
        <v>830</v>
      </c>
      <c r="E37" s="2" t="s">
        <v>831</v>
      </c>
      <c r="F37" s="54" t="s">
        <v>832</v>
      </c>
      <c r="G37" s="51" t="s">
        <v>827</v>
      </c>
      <c r="I37" s="53" t="str">
        <f t="shared" si="2"/>
        <v>cfoot</v>
      </c>
      <c r="O37" s="53" t="s">
        <v>833</v>
      </c>
      <c r="P37" s="24" t="s">
        <v>245</v>
      </c>
    </row>
    <row r="38" spans="1:16" ht="15" customHeight="1" thickBot="1" x14ac:dyDescent="0.25">
      <c r="A38" s="51" t="s">
        <v>834</v>
      </c>
      <c r="B38" s="51" t="s">
        <v>1376</v>
      </c>
      <c r="C38" s="52" t="s">
        <v>835</v>
      </c>
      <c r="D38" s="2" t="s">
        <v>836</v>
      </c>
      <c r="E38" s="2" t="s">
        <v>837</v>
      </c>
      <c r="F38" s="54" t="s">
        <v>838</v>
      </c>
      <c r="G38" s="51" t="s">
        <v>833</v>
      </c>
      <c r="I38" s="53" t="str">
        <f t="shared" si="2"/>
        <v>cwood</v>
      </c>
      <c r="O38" s="53" t="s">
        <v>839</v>
      </c>
      <c r="P38" s="24" t="s">
        <v>840</v>
      </c>
    </row>
    <row r="39" spans="1:16" ht="15" customHeight="1" thickBot="1" x14ac:dyDescent="0.25">
      <c r="A39" s="51" t="s">
        <v>841</v>
      </c>
      <c r="B39" s="51" t="s">
        <v>1377</v>
      </c>
      <c r="C39" s="52" t="s">
        <v>842</v>
      </c>
      <c r="D39" s="2" t="s">
        <v>843</v>
      </c>
      <c r="E39" s="2">
        <v>321</v>
      </c>
      <c r="F39" s="54">
        <v>321</v>
      </c>
      <c r="G39" s="51" t="s">
        <v>839</v>
      </c>
      <c r="I39" s="53" t="str">
        <f t="shared" si="2"/>
        <v>cpapp</v>
      </c>
      <c r="O39" s="53" t="s">
        <v>844</v>
      </c>
      <c r="P39" s="24" t="s">
        <v>845</v>
      </c>
    </row>
    <row r="40" spans="1:16" ht="15" customHeight="1" thickBot="1" x14ac:dyDescent="0.25">
      <c r="A40" s="51" t="s">
        <v>846</v>
      </c>
      <c r="B40" s="51" t="s">
        <v>845</v>
      </c>
      <c r="C40" s="52" t="s">
        <v>847</v>
      </c>
      <c r="D40" s="2" t="s">
        <v>848</v>
      </c>
      <c r="E40" s="2" t="s">
        <v>849</v>
      </c>
      <c r="F40" s="54" t="s">
        <v>850</v>
      </c>
      <c r="G40" s="51" t="s">
        <v>844</v>
      </c>
      <c r="I40" s="53" t="str">
        <f t="shared" si="2"/>
        <v>cprnt</v>
      </c>
      <c r="O40" s="53" t="s">
        <v>851</v>
      </c>
      <c r="P40" s="24" t="s">
        <v>852</v>
      </c>
    </row>
    <row r="41" spans="1:16" ht="15" customHeight="1" thickBot="1" x14ac:dyDescent="0.25">
      <c r="A41" s="51" t="s">
        <v>853</v>
      </c>
      <c r="B41" s="51" t="s">
        <v>1378</v>
      </c>
      <c r="C41" s="52" t="s">
        <v>854</v>
      </c>
      <c r="D41" s="4" t="s">
        <v>855</v>
      </c>
      <c r="E41" s="2" t="s">
        <v>856</v>
      </c>
      <c r="F41" s="54" t="s">
        <v>857</v>
      </c>
      <c r="G41" s="51" t="s">
        <v>1506</v>
      </c>
      <c r="I41" s="53" t="str">
        <f>O40</f>
        <v>cpetr</v>
      </c>
      <c r="O41" s="53" t="s">
        <v>858</v>
      </c>
      <c r="P41" s="24" t="s">
        <v>859</v>
      </c>
    </row>
    <row r="42" spans="1:16" ht="15" customHeight="1" thickBot="1" x14ac:dyDescent="0.25">
      <c r="A42" s="51" t="s">
        <v>860</v>
      </c>
      <c r="B42" s="51" t="s">
        <v>1379</v>
      </c>
      <c r="C42" s="52" t="s">
        <v>861</v>
      </c>
      <c r="D42" s="2" t="s">
        <v>862</v>
      </c>
      <c r="E42" s="2" t="s">
        <v>863</v>
      </c>
      <c r="F42" s="54" t="s">
        <v>864</v>
      </c>
      <c r="G42" s="51" t="s">
        <v>851</v>
      </c>
      <c r="I42" s="53" t="str">
        <f>O40</f>
        <v>cpetr</v>
      </c>
      <c r="O42" s="53" t="s">
        <v>865</v>
      </c>
      <c r="P42" s="24" t="s">
        <v>866</v>
      </c>
    </row>
    <row r="43" spans="1:16" ht="15" customHeight="1" thickBot="1" x14ac:dyDescent="0.25">
      <c r="A43" s="51" t="s">
        <v>867</v>
      </c>
      <c r="B43" s="51" t="s">
        <v>1380</v>
      </c>
      <c r="C43" s="52" t="s">
        <v>868</v>
      </c>
      <c r="D43" s="2" t="s">
        <v>869</v>
      </c>
      <c r="E43" s="2" t="s">
        <v>870</v>
      </c>
      <c r="F43" s="2" t="s">
        <v>871</v>
      </c>
      <c r="G43" s="51" t="s">
        <v>858</v>
      </c>
      <c r="I43" s="55" t="str">
        <f>O41</f>
        <v>cbchm</v>
      </c>
      <c r="J43" s="55" t="str">
        <f>O42</f>
        <v>cfert</v>
      </c>
      <c r="L43" s="56" t="s">
        <v>872</v>
      </c>
      <c r="M43" s="56" t="str">
        <f>B43</f>
        <v>Bas chems, fert &amp; pest</v>
      </c>
      <c r="O43" s="53" t="s">
        <v>873</v>
      </c>
      <c r="P43" s="24" t="s">
        <v>874</v>
      </c>
    </row>
    <row r="44" spans="1:16" ht="15" customHeight="1" thickBot="1" x14ac:dyDescent="0.25">
      <c r="A44" s="51" t="s">
        <v>875</v>
      </c>
      <c r="B44" s="51" t="s">
        <v>1381</v>
      </c>
      <c r="C44" s="52" t="s">
        <v>876</v>
      </c>
      <c r="D44" s="2" t="s">
        <v>877</v>
      </c>
      <c r="E44" s="2">
        <v>351</v>
      </c>
      <c r="F44" s="2">
        <v>351</v>
      </c>
      <c r="G44" s="51" t="s">
        <v>873</v>
      </c>
      <c r="I44" s="53" t="str">
        <f>O43</f>
        <v>cpain</v>
      </c>
      <c r="O44" s="53" t="s">
        <v>878</v>
      </c>
      <c r="P44" s="24" t="s">
        <v>879</v>
      </c>
    </row>
    <row r="45" spans="1:16" ht="15" customHeight="1" thickBot="1" x14ac:dyDescent="0.25">
      <c r="A45" s="51" t="s">
        <v>880</v>
      </c>
      <c r="B45" s="51" t="s">
        <v>1382</v>
      </c>
      <c r="C45" s="52" t="s">
        <v>881</v>
      </c>
      <c r="D45" s="2" t="s">
        <v>879</v>
      </c>
      <c r="E45" s="2">
        <v>352</v>
      </c>
      <c r="F45" s="2">
        <v>352</v>
      </c>
      <c r="G45" s="51" t="s">
        <v>878</v>
      </c>
      <c r="I45" s="53" t="str">
        <f>O44</f>
        <v>cphar</v>
      </c>
      <c r="O45" s="53" t="s">
        <v>882</v>
      </c>
      <c r="P45" s="24" t="s">
        <v>883</v>
      </c>
    </row>
    <row r="46" spans="1:16" ht="15" customHeight="1" thickBot="1" x14ac:dyDescent="0.25">
      <c r="A46" s="51" t="s">
        <v>884</v>
      </c>
      <c r="B46" s="51" t="s">
        <v>1383</v>
      </c>
      <c r="C46" s="52" t="s">
        <v>885</v>
      </c>
      <c r="D46" s="2" t="s">
        <v>886</v>
      </c>
      <c r="E46" s="2">
        <v>353</v>
      </c>
      <c r="F46" s="2">
        <v>353</v>
      </c>
      <c r="G46" s="51" t="s">
        <v>882</v>
      </c>
      <c r="I46" s="53" t="str">
        <f>O45</f>
        <v>csoap</v>
      </c>
      <c r="O46" s="53" t="s">
        <v>887</v>
      </c>
      <c r="P46" s="24" t="s">
        <v>888</v>
      </c>
    </row>
    <row r="47" spans="1:16" ht="15" customHeight="1" thickBot="1" x14ac:dyDescent="0.25">
      <c r="A47" s="51" t="s">
        <v>889</v>
      </c>
      <c r="B47" s="51" t="s">
        <v>1384</v>
      </c>
      <c r="C47" s="52" t="s">
        <v>890</v>
      </c>
      <c r="D47" s="2" t="s">
        <v>891</v>
      </c>
      <c r="E47" s="2" t="s">
        <v>892</v>
      </c>
      <c r="F47" s="2" t="s">
        <v>893</v>
      </c>
      <c r="G47" s="51" t="s">
        <v>887</v>
      </c>
      <c r="I47" s="53" t="str">
        <f>O46</f>
        <v>coche</v>
      </c>
      <c r="O47" s="53" t="s">
        <v>894</v>
      </c>
      <c r="P47" s="24" t="s">
        <v>895</v>
      </c>
    </row>
    <row r="48" spans="1:16" ht="15" customHeight="1" thickBot="1" x14ac:dyDescent="0.25">
      <c r="A48" s="51" t="s">
        <v>896</v>
      </c>
      <c r="B48" s="51" t="s">
        <v>1347</v>
      </c>
      <c r="C48" s="52" t="s">
        <v>897</v>
      </c>
      <c r="D48" s="2" t="s">
        <v>898</v>
      </c>
      <c r="E48" s="2" t="s">
        <v>899</v>
      </c>
      <c r="F48" s="2" t="s">
        <v>900</v>
      </c>
      <c r="G48" s="51" t="s">
        <v>894</v>
      </c>
      <c r="I48" s="55" t="str">
        <f>O47</f>
        <v>ctyre</v>
      </c>
      <c r="J48" s="57" t="str">
        <f>O48</f>
        <v>corub</v>
      </c>
      <c r="L48" s="56" t="s">
        <v>901</v>
      </c>
      <c r="M48" s="56" t="str">
        <f>B48</f>
        <v>Tyres &amp; oth rubber</v>
      </c>
      <c r="O48" s="53" t="s">
        <v>902</v>
      </c>
      <c r="P48" s="24" t="s">
        <v>903</v>
      </c>
    </row>
    <row r="49" spans="1:16" ht="15" customHeight="1" thickBot="1" x14ac:dyDescent="0.25">
      <c r="A49" s="51" t="s">
        <v>904</v>
      </c>
      <c r="B49" s="51" t="s">
        <v>1385</v>
      </c>
      <c r="C49" s="52" t="s">
        <v>905</v>
      </c>
      <c r="D49" s="2" t="s">
        <v>906</v>
      </c>
      <c r="E49" s="2" t="s">
        <v>907</v>
      </c>
      <c r="F49" s="2" t="s">
        <v>908</v>
      </c>
      <c r="G49" s="51" t="s">
        <v>909</v>
      </c>
      <c r="I49" s="24" t="str">
        <f t="shared" ref="I49:I59" si="3">O49</f>
        <v>cplas</v>
      </c>
      <c r="O49" s="53" t="s">
        <v>909</v>
      </c>
      <c r="P49" s="24" t="s">
        <v>294</v>
      </c>
    </row>
    <row r="50" spans="1:16" ht="15" customHeight="1" thickBot="1" x14ac:dyDescent="0.25">
      <c r="A50" s="51" t="s">
        <v>910</v>
      </c>
      <c r="B50" s="51" t="s">
        <v>244</v>
      </c>
      <c r="C50" s="52" t="s">
        <v>911</v>
      </c>
      <c r="D50" s="2" t="s">
        <v>912</v>
      </c>
      <c r="E50" s="2">
        <v>371</v>
      </c>
      <c r="F50" s="54">
        <v>371</v>
      </c>
      <c r="G50" s="51" t="s">
        <v>913</v>
      </c>
      <c r="I50" s="24" t="str">
        <f t="shared" si="3"/>
        <v>cglas</v>
      </c>
      <c r="O50" s="53" t="s">
        <v>913</v>
      </c>
      <c r="P50" s="24" t="s">
        <v>914</v>
      </c>
    </row>
    <row r="51" spans="1:16" ht="15" customHeight="1" thickBot="1" x14ac:dyDescent="0.25">
      <c r="A51" s="51" t="s">
        <v>915</v>
      </c>
      <c r="B51" s="51" t="s">
        <v>919</v>
      </c>
      <c r="C51" s="52" t="s">
        <v>916</v>
      </c>
      <c r="D51" s="2" t="s">
        <v>917</v>
      </c>
      <c r="E51" s="2">
        <v>372</v>
      </c>
      <c r="F51" s="54">
        <v>372</v>
      </c>
      <c r="G51" s="51" t="s">
        <v>918</v>
      </c>
      <c r="I51" s="24" t="str">
        <f t="shared" si="3"/>
        <v>ccera</v>
      </c>
      <c r="O51" s="53" t="s">
        <v>918</v>
      </c>
      <c r="P51" s="24" t="s">
        <v>919</v>
      </c>
    </row>
    <row r="52" spans="1:16" ht="15" customHeight="1" thickBot="1" x14ac:dyDescent="0.25">
      <c r="A52" s="51" t="s">
        <v>920</v>
      </c>
      <c r="B52" s="51" t="s">
        <v>1386</v>
      </c>
      <c r="C52" s="52" t="s">
        <v>921</v>
      </c>
      <c r="D52" s="2" t="s">
        <v>922</v>
      </c>
      <c r="E52" s="2">
        <v>373</v>
      </c>
      <c r="F52" s="54">
        <v>373</v>
      </c>
      <c r="G52" s="51" t="s">
        <v>923</v>
      </c>
      <c r="I52" s="24" t="str">
        <f t="shared" si="3"/>
        <v>cclay</v>
      </c>
      <c r="O52" s="53" t="s">
        <v>923</v>
      </c>
      <c r="P52" s="24" t="s">
        <v>924</v>
      </c>
    </row>
    <row r="53" spans="1:16" ht="15" customHeight="1" thickBot="1" x14ac:dyDescent="0.25">
      <c r="A53" s="51" t="s">
        <v>925</v>
      </c>
      <c r="B53" s="51" t="s">
        <v>1387</v>
      </c>
      <c r="C53" s="52" t="s">
        <v>926</v>
      </c>
      <c r="D53" s="2" t="s">
        <v>927</v>
      </c>
      <c r="E53" s="2">
        <v>374</v>
      </c>
      <c r="F53" s="54">
        <v>374</v>
      </c>
      <c r="G53" s="51" t="s">
        <v>928</v>
      </c>
      <c r="I53" s="24" t="str">
        <f t="shared" si="3"/>
        <v>ccmnt</v>
      </c>
      <c r="O53" s="53" t="s">
        <v>928</v>
      </c>
      <c r="P53" s="24" t="s">
        <v>929</v>
      </c>
    </row>
    <row r="54" spans="1:16" ht="15" customHeight="1" thickBot="1" x14ac:dyDescent="0.25">
      <c r="A54" s="51" t="s">
        <v>930</v>
      </c>
      <c r="B54" s="51" t="s">
        <v>1388</v>
      </c>
      <c r="C54" s="52" t="s">
        <v>931</v>
      </c>
      <c r="D54" s="2" t="s">
        <v>932</v>
      </c>
      <c r="E54" s="2">
        <v>375</v>
      </c>
      <c r="F54" s="54">
        <v>375</v>
      </c>
      <c r="G54" s="51" t="s">
        <v>933</v>
      </c>
      <c r="I54" s="24" t="str">
        <f t="shared" si="3"/>
        <v>cconc</v>
      </c>
      <c r="O54" s="53" t="s">
        <v>933</v>
      </c>
      <c r="P54" s="24" t="s">
        <v>934</v>
      </c>
    </row>
    <row r="55" spans="1:16" ht="15" customHeight="1" thickBot="1" x14ac:dyDescent="0.25">
      <c r="A55" s="51" t="s">
        <v>935</v>
      </c>
      <c r="B55" s="51" t="s">
        <v>1348</v>
      </c>
      <c r="C55" s="52" t="s">
        <v>936</v>
      </c>
      <c r="D55" s="2" t="s">
        <v>937</v>
      </c>
      <c r="E55" s="2" t="s">
        <v>938</v>
      </c>
      <c r="F55" s="54" t="s">
        <v>939</v>
      </c>
      <c r="G55" s="51" t="s">
        <v>940</v>
      </c>
      <c r="I55" s="24" t="str">
        <f t="shared" si="3"/>
        <v>conmp</v>
      </c>
      <c r="O55" s="53" t="s">
        <v>940</v>
      </c>
      <c r="P55" s="24" t="s">
        <v>941</v>
      </c>
    </row>
    <row r="56" spans="1:16" ht="15" customHeight="1" thickBot="1" x14ac:dyDescent="0.25">
      <c r="A56" s="51" t="s">
        <v>942</v>
      </c>
      <c r="B56" s="51" t="s">
        <v>301</v>
      </c>
      <c r="C56" s="52" t="s">
        <v>943</v>
      </c>
      <c r="D56" s="2" t="s">
        <v>944</v>
      </c>
      <c r="E56" s="2">
        <v>381</v>
      </c>
      <c r="F56" s="54">
        <v>381</v>
      </c>
      <c r="G56" s="51" t="s">
        <v>945</v>
      </c>
      <c r="I56" s="24" t="str">
        <f t="shared" si="3"/>
        <v>cfurn</v>
      </c>
      <c r="O56" s="53" t="s">
        <v>945</v>
      </c>
      <c r="P56" s="24" t="s">
        <v>301</v>
      </c>
    </row>
    <row r="57" spans="1:16" ht="15" customHeight="1" thickBot="1" x14ac:dyDescent="0.25">
      <c r="A57" s="51" t="s">
        <v>946</v>
      </c>
      <c r="B57" s="51" t="s">
        <v>950</v>
      </c>
      <c r="C57" s="52" t="s">
        <v>947</v>
      </c>
      <c r="D57" s="2" t="s">
        <v>948</v>
      </c>
      <c r="E57" s="2">
        <v>382</v>
      </c>
      <c r="F57" s="54">
        <v>382</v>
      </c>
      <c r="G57" s="51" t="s">
        <v>949</v>
      </c>
      <c r="I57" s="24" t="str">
        <f t="shared" si="3"/>
        <v>cjewl</v>
      </c>
      <c r="O57" s="53" t="s">
        <v>949</v>
      </c>
      <c r="P57" s="24" t="s">
        <v>950</v>
      </c>
    </row>
    <row r="58" spans="1:16" ht="15" customHeight="1" thickBot="1" x14ac:dyDescent="0.25">
      <c r="A58" s="51" t="s">
        <v>951</v>
      </c>
      <c r="B58" s="51" t="s">
        <v>1389</v>
      </c>
      <c r="C58" s="52" t="s">
        <v>952</v>
      </c>
      <c r="D58" s="2" t="s">
        <v>953</v>
      </c>
      <c r="E58" s="2" t="s">
        <v>954</v>
      </c>
      <c r="F58" s="54" t="s">
        <v>955</v>
      </c>
      <c r="G58" s="51" t="s">
        <v>956</v>
      </c>
      <c r="I58" s="24" t="str">
        <f t="shared" si="3"/>
        <v>comnf</v>
      </c>
      <c r="O58" s="53" t="s">
        <v>956</v>
      </c>
      <c r="P58" s="24" t="s">
        <v>957</v>
      </c>
    </row>
    <row r="59" spans="1:16" ht="15" customHeight="1" thickBot="1" x14ac:dyDescent="0.25">
      <c r="A59" s="51" t="s">
        <v>958</v>
      </c>
      <c r="B59" s="51" t="s">
        <v>964</v>
      </c>
      <c r="C59" s="52" t="s">
        <v>959</v>
      </c>
      <c r="D59" s="2" t="s">
        <v>960</v>
      </c>
      <c r="E59" s="2" t="s">
        <v>961</v>
      </c>
      <c r="F59" s="54" t="s">
        <v>962</v>
      </c>
      <c r="G59" s="51" t="s">
        <v>963</v>
      </c>
      <c r="I59" s="24" t="str">
        <f t="shared" si="3"/>
        <v>cwast</v>
      </c>
      <c r="O59" s="53" t="s">
        <v>963</v>
      </c>
      <c r="P59" s="24" t="s">
        <v>964</v>
      </c>
    </row>
    <row r="60" spans="1:16" ht="15" customHeight="1" thickBot="1" x14ac:dyDescent="0.25">
      <c r="A60" s="51" t="s">
        <v>965</v>
      </c>
      <c r="B60" s="51" t="s">
        <v>1390</v>
      </c>
      <c r="C60" s="52" t="s">
        <v>966</v>
      </c>
      <c r="D60" s="2" t="s">
        <v>308</v>
      </c>
      <c r="E60" s="2">
        <v>411</v>
      </c>
      <c r="F60" s="54">
        <v>411</v>
      </c>
      <c r="G60" s="51" t="s">
        <v>967</v>
      </c>
      <c r="I60" s="53" t="str">
        <f>O60</f>
        <v>cirst</v>
      </c>
      <c r="O60" s="53" t="s">
        <v>967</v>
      </c>
      <c r="P60" s="24" t="s">
        <v>968</v>
      </c>
    </row>
    <row r="61" spans="1:16" ht="15" customHeight="1" thickBot="1" x14ac:dyDescent="0.25">
      <c r="A61" s="51" t="s">
        <v>969</v>
      </c>
      <c r="B61" s="51" t="s">
        <v>968</v>
      </c>
      <c r="C61" s="52" t="s">
        <v>970</v>
      </c>
      <c r="D61" s="2" t="s">
        <v>971</v>
      </c>
      <c r="E61" s="2">
        <v>412</v>
      </c>
      <c r="F61" s="54">
        <v>412</v>
      </c>
      <c r="G61" s="51" t="s">
        <v>1507</v>
      </c>
      <c r="I61" s="53" t="str">
        <f>O60</f>
        <v>cirst</v>
      </c>
      <c r="O61" s="53" t="s">
        <v>972</v>
      </c>
      <c r="P61" s="24" t="s">
        <v>973</v>
      </c>
    </row>
    <row r="62" spans="1:16" ht="15" customHeight="1" thickBot="1" x14ac:dyDescent="0.25">
      <c r="A62" s="51" t="s">
        <v>974</v>
      </c>
      <c r="B62" s="51" t="s">
        <v>1391</v>
      </c>
      <c r="C62" s="52" t="s">
        <v>975</v>
      </c>
      <c r="D62" s="2" t="s">
        <v>976</v>
      </c>
      <c r="E62" s="2" t="s">
        <v>977</v>
      </c>
      <c r="F62" s="54" t="s">
        <v>978</v>
      </c>
      <c r="G62" s="51" t="s">
        <v>972</v>
      </c>
      <c r="I62" s="53" t="str">
        <f>O61</f>
        <v>cnfme</v>
      </c>
      <c r="O62" s="53" t="s">
        <v>979</v>
      </c>
      <c r="P62" s="24" t="s">
        <v>980</v>
      </c>
    </row>
    <row r="63" spans="1:16" ht="15" customHeight="1" thickBot="1" x14ac:dyDescent="0.25">
      <c r="A63" s="51" t="s">
        <v>981</v>
      </c>
      <c r="B63" s="51" t="s">
        <v>1434</v>
      </c>
      <c r="C63" s="52" t="s">
        <v>982</v>
      </c>
      <c r="D63" s="2" t="s">
        <v>983</v>
      </c>
      <c r="E63" s="2" t="s">
        <v>984</v>
      </c>
      <c r="F63" s="2" t="s">
        <v>984</v>
      </c>
      <c r="G63" s="51" t="s">
        <v>979</v>
      </c>
      <c r="I63" s="55" t="str">
        <f>O62</f>
        <v>cstrm</v>
      </c>
      <c r="J63" s="55" t="str">
        <f>O63</f>
        <v>ctank</v>
      </c>
      <c r="L63" s="56" t="s">
        <v>985</v>
      </c>
      <c r="M63" s="56" t="str">
        <f>B63</f>
        <v>Struct metal, tanks &amp; resv</v>
      </c>
      <c r="O63" s="53" t="s">
        <v>986</v>
      </c>
      <c r="P63" s="24" t="s">
        <v>987</v>
      </c>
    </row>
    <row r="64" spans="1:16" ht="15" customHeight="1" thickBot="1" x14ac:dyDescent="0.25">
      <c r="A64" s="51" t="s">
        <v>988</v>
      </c>
      <c r="B64" s="51" t="s">
        <v>1333</v>
      </c>
      <c r="C64" s="52" t="s">
        <v>989</v>
      </c>
      <c r="D64" s="2" t="s">
        <v>990</v>
      </c>
      <c r="E64" s="2">
        <v>429</v>
      </c>
      <c r="F64" s="2">
        <v>429</v>
      </c>
      <c r="G64" s="51" t="s">
        <v>991</v>
      </c>
      <c r="I64" s="53" t="str">
        <f>O64</f>
        <v>cofbm</v>
      </c>
      <c r="O64" s="53" t="s">
        <v>991</v>
      </c>
      <c r="P64" s="24" t="s">
        <v>992</v>
      </c>
    </row>
    <row r="65" spans="1:16" ht="15" customHeight="1" thickBot="1" x14ac:dyDescent="0.25">
      <c r="A65" s="51" t="s">
        <v>993</v>
      </c>
      <c r="B65" s="51" t="s">
        <v>1392</v>
      </c>
      <c r="C65" s="52" t="s">
        <v>994</v>
      </c>
      <c r="D65" s="2" t="s">
        <v>995</v>
      </c>
      <c r="E65" s="2" t="s">
        <v>996</v>
      </c>
      <c r="F65" s="2" t="s">
        <v>996</v>
      </c>
      <c r="G65" s="51" t="s">
        <v>998</v>
      </c>
      <c r="I65" s="55" t="str">
        <f>O65</f>
        <v>cengt</v>
      </c>
      <c r="J65" s="57" t="str">
        <f>O66</f>
        <v>cpump</v>
      </c>
      <c r="K65" s="57" t="str">
        <f>O67</f>
        <v>cgear</v>
      </c>
      <c r="L65" s="56" t="s">
        <v>997</v>
      </c>
      <c r="M65" s="56" t="str">
        <f>B65</f>
        <v>Eng, pmps, bearngs &amp; grs</v>
      </c>
      <c r="O65" s="53" t="s">
        <v>998</v>
      </c>
      <c r="P65" s="24" t="s">
        <v>999</v>
      </c>
    </row>
    <row r="66" spans="1:16" ht="15" customHeight="1" thickBot="1" x14ac:dyDescent="0.25">
      <c r="A66" s="51" t="s">
        <v>1000</v>
      </c>
      <c r="B66" s="51" t="s">
        <v>1433</v>
      </c>
      <c r="C66" s="52" t="s">
        <v>1001</v>
      </c>
      <c r="D66" s="2" t="s">
        <v>1002</v>
      </c>
      <c r="E66" s="2">
        <v>435</v>
      </c>
      <c r="F66" s="54">
        <v>435</v>
      </c>
      <c r="G66" s="51" t="s">
        <v>1017</v>
      </c>
      <c r="I66" s="24" t="str">
        <f>O68</f>
        <v>clift</v>
      </c>
      <c r="O66" s="24" t="s">
        <v>1003</v>
      </c>
      <c r="P66" s="24" t="s">
        <v>1004</v>
      </c>
    </row>
    <row r="67" spans="1:16" ht="15" customHeight="1" thickBot="1" x14ac:dyDescent="0.25">
      <c r="A67" s="51" t="s">
        <v>1005</v>
      </c>
      <c r="B67" s="51" t="s">
        <v>1393</v>
      </c>
      <c r="C67" s="52" t="s">
        <v>1006</v>
      </c>
      <c r="D67" s="2" t="s">
        <v>1007</v>
      </c>
      <c r="E67" s="2" t="s">
        <v>1008</v>
      </c>
      <c r="F67" s="54" t="s">
        <v>1009</v>
      </c>
      <c r="G67" s="51" t="s">
        <v>1022</v>
      </c>
      <c r="I67" s="24" t="str">
        <f>O69</f>
        <v>cgenm</v>
      </c>
      <c r="O67" s="24" t="s">
        <v>1010</v>
      </c>
      <c r="P67" s="24" t="s">
        <v>1011</v>
      </c>
    </row>
    <row r="68" spans="1:16" ht="15" customHeight="1" thickBot="1" x14ac:dyDescent="0.25">
      <c r="A68" s="51" t="s">
        <v>1012</v>
      </c>
      <c r="B68" s="51" t="s">
        <v>1394</v>
      </c>
      <c r="C68" s="52" t="s">
        <v>1013</v>
      </c>
      <c r="D68" s="2" t="s">
        <v>1014</v>
      </c>
      <c r="E68" s="2" t="s">
        <v>1015</v>
      </c>
      <c r="F68" s="54" t="s">
        <v>1016</v>
      </c>
      <c r="G68" s="51" t="s">
        <v>1029</v>
      </c>
      <c r="I68" s="24" t="str">
        <f>O70</f>
        <v>cspcm</v>
      </c>
      <c r="O68" s="24" t="s">
        <v>1017</v>
      </c>
      <c r="P68" s="24" t="s">
        <v>1018</v>
      </c>
    </row>
    <row r="69" spans="1:16" ht="15" customHeight="1" thickBot="1" x14ac:dyDescent="0.25">
      <c r="A69" s="51" t="s">
        <v>1019</v>
      </c>
      <c r="B69" s="51" t="s">
        <v>1037</v>
      </c>
      <c r="C69" s="52" t="s">
        <v>1020</v>
      </c>
      <c r="D69" s="2" t="s">
        <v>1021</v>
      </c>
      <c r="E69" s="2">
        <v>448</v>
      </c>
      <c r="F69" s="54">
        <v>448</v>
      </c>
      <c r="G69" s="51" t="s">
        <v>1036</v>
      </c>
      <c r="I69" s="24" t="str">
        <f>O71</f>
        <v>cdoma</v>
      </c>
      <c r="O69" s="24" t="s">
        <v>1022</v>
      </c>
      <c r="P69" s="24" t="s">
        <v>1023</v>
      </c>
    </row>
    <row r="70" spans="1:16" ht="15" customHeight="1" thickBot="1" x14ac:dyDescent="0.25">
      <c r="A70" s="51" t="s">
        <v>1024</v>
      </c>
      <c r="B70" s="51" t="s">
        <v>1395</v>
      </c>
      <c r="C70" s="52" t="s">
        <v>1025</v>
      </c>
      <c r="D70" s="2" t="s">
        <v>1026</v>
      </c>
      <c r="E70" s="2" t="s">
        <v>1027</v>
      </c>
      <c r="F70" s="54" t="s">
        <v>1028</v>
      </c>
      <c r="G70" s="51" t="s">
        <v>1043</v>
      </c>
      <c r="I70" s="24" t="str">
        <f t="shared" ref="I70:I73" si="4">O72</f>
        <v>coffm</v>
      </c>
      <c r="O70" s="24" t="s">
        <v>1029</v>
      </c>
      <c r="P70" s="24" t="s">
        <v>1030</v>
      </c>
    </row>
    <row r="71" spans="1:16" ht="15" customHeight="1" thickBot="1" x14ac:dyDescent="0.25">
      <c r="A71" s="51" t="s">
        <v>1031</v>
      </c>
      <c r="B71" s="51" t="s">
        <v>1396</v>
      </c>
      <c r="C71" s="52" t="s">
        <v>1032</v>
      </c>
      <c r="D71" s="2" t="s">
        <v>1033</v>
      </c>
      <c r="E71" s="2" t="s">
        <v>1034</v>
      </c>
      <c r="F71" s="54" t="s">
        <v>1035</v>
      </c>
      <c r="G71" s="51" t="s">
        <v>1050</v>
      </c>
      <c r="I71" s="24" t="str">
        <f t="shared" si="4"/>
        <v>celcm</v>
      </c>
      <c r="O71" s="24" t="s">
        <v>1036</v>
      </c>
      <c r="P71" s="24" t="s">
        <v>1037</v>
      </c>
    </row>
    <row r="72" spans="1:16" ht="15" customHeight="1" thickBot="1" x14ac:dyDescent="0.25">
      <c r="A72" s="51" t="s">
        <v>1038</v>
      </c>
      <c r="B72" s="51" t="s">
        <v>1056</v>
      </c>
      <c r="C72" s="52" t="s">
        <v>1039</v>
      </c>
      <c r="D72" s="2" t="s">
        <v>1040</v>
      </c>
      <c r="E72" s="2" t="s">
        <v>1041</v>
      </c>
      <c r="F72" s="54" t="s">
        <v>1042</v>
      </c>
      <c r="G72" s="51" t="s">
        <v>1055</v>
      </c>
      <c r="I72" s="24" t="str">
        <f t="shared" si="4"/>
        <v>crdtv</v>
      </c>
      <c r="O72" s="24" t="s">
        <v>1043</v>
      </c>
      <c r="P72" s="24" t="s">
        <v>1044</v>
      </c>
    </row>
    <row r="73" spans="1:16" ht="15" customHeight="1" thickBot="1" x14ac:dyDescent="0.25">
      <c r="A73" s="51" t="s">
        <v>1045</v>
      </c>
      <c r="B73" s="51" t="s">
        <v>372</v>
      </c>
      <c r="C73" s="52" t="s">
        <v>1046</v>
      </c>
      <c r="D73" s="2" t="s">
        <v>1047</v>
      </c>
      <c r="E73" s="2" t="s">
        <v>1048</v>
      </c>
      <c r="F73" s="54" t="s">
        <v>1049</v>
      </c>
      <c r="G73" s="51" t="s">
        <v>1060</v>
      </c>
      <c r="I73" s="24" t="str">
        <f t="shared" si="4"/>
        <v>cmeda</v>
      </c>
      <c r="O73" s="24" t="s">
        <v>1050</v>
      </c>
      <c r="P73" s="24" t="s">
        <v>1051</v>
      </c>
    </row>
    <row r="74" spans="1:16" ht="15" customHeight="1" thickBot="1" x14ac:dyDescent="0.25">
      <c r="A74" s="51" t="s">
        <v>1052</v>
      </c>
      <c r="B74" s="51" t="s">
        <v>1397</v>
      </c>
      <c r="C74" s="52" t="s">
        <v>1053</v>
      </c>
      <c r="D74" s="2" t="s">
        <v>1054</v>
      </c>
      <c r="E74" s="2">
        <v>491</v>
      </c>
      <c r="F74" s="54">
        <v>491</v>
      </c>
      <c r="G74" s="51" t="s">
        <v>1066</v>
      </c>
      <c r="I74" s="24" t="str">
        <f>O76</f>
        <v>cmtvp</v>
      </c>
      <c r="O74" s="24" t="s">
        <v>1055</v>
      </c>
      <c r="P74" s="24" t="s">
        <v>1056</v>
      </c>
    </row>
    <row r="75" spans="1:16" ht="15" customHeight="1" thickBot="1" x14ac:dyDescent="0.25">
      <c r="A75" s="51" t="s">
        <v>1057</v>
      </c>
      <c r="B75" s="51" t="s">
        <v>1398</v>
      </c>
      <c r="C75" s="52" t="s">
        <v>1058</v>
      </c>
      <c r="D75" s="2" t="s">
        <v>1059</v>
      </c>
      <c r="E75" s="2">
        <v>492</v>
      </c>
      <c r="F75" s="54">
        <v>492</v>
      </c>
      <c r="G75" s="51" t="s">
        <v>1508</v>
      </c>
      <c r="I75" s="24" t="str">
        <f t="shared" ref="I75:I80" si="5">O76</f>
        <v>cmtvp</v>
      </c>
      <c r="O75" s="24" t="s">
        <v>1060</v>
      </c>
      <c r="P75" s="24" t="s">
        <v>372</v>
      </c>
    </row>
    <row r="76" spans="1:16" ht="15" customHeight="1" thickBot="1" x14ac:dyDescent="0.25">
      <c r="A76" s="51" t="s">
        <v>1061</v>
      </c>
      <c r="B76" s="51" t="s">
        <v>394</v>
      </c>
      <c r="C76" s="52" t="s">
        <v>1062</v>
      </c>
      <c r="D76" s="2" t="s">
        <v>1063</v>
      </c>
      <c r="E76" s="2" t="s">
        <v>1064</v>
      </c>
      <c r="F76" s="54" t="s">
        <v>1065</v>
      </c>
      <c r="G76" s="51" t="s">
        <v>1071</v>
      </c>
      <c r="I76" s="24" t="str">
        <f t="shared" si="5"/>
        <v>cship</v>
      </c>
      <c r="O76" s="24" t="s">
        <v>1066</v>
      </c>
      <c r="P76" s="24" t="s">
        <v>1067</v>
      </c>
    </row>
    <row r="77" spans="1:16" ht="15" customHeight="1" thickBot="1" x14ac:dyDescent="0.25">
      <c r="A77" s="51" t="s">
        <v>1068</v>
      </c>
      <c r="B77" s="51" t="s">
        <v>1399</v>
      </c>
      <c r="C77" s="52" t="s">
        <v>1069</v>
      </c>
      <c r="D77" s="2" t="s">
        <v>1070</v>
      </c>
      <c r="E77" s="2">
        <v>495</v>
      </c>
      <c r="F77" s="54">
        <v>495</v>
      </c>
      <c r="G77" s="51" t="s">
        <v>1076</v>
      </c>
      <c r="I77" s="24" t="str">
        <f t="shared" si="5"/>
        <v>crail</v>
      </c>
      <c r="O77" s="24" t="s">
        <v>1071</v>
      </c>
      <c r="P77" s="24" t="s">
        <v>1072</v>
      </c>
    </row>
    <row r="78" spans="1:16" ht="15" customHeight="1" thickBot="1" x14ac:dyDescent="0.25">
      <c r="A78" s="51" t="s">
        <v>1073</v>
      </c>
      <c r="B78" s="51" t="s">
        <v>1400</v>
      </c>
      <c r="C78" s="52" t="s">
        <v>1074</v>
      </c>
      <c r="D78" s="2" t="s">
        <v>1075</v>
      </c>
      <c r="E78" s="2">
        <v>496</v>
      </c>
      <c r="F78" s="54">
        <v>496</v>
      </c>
      <c r="G78" s="51" t="s">
        <v>1081</v>
      </c>
      <c r="I78" s="24" t="str">
        <f t="shared" si="5"/>
        <v>cairc</v>
      </c>
      <c r="O78" s="24" t="s">
        <v>1076</v>
      </c>
      <c r="P78" s="24" t="s">
        <v>1077</v>
      </c>
    </row>
    <row r="79" spans="1:16" ht="15" customHeight="1" thickBot="1" x14ac:dyDescent="0.25">
      <c r="A79" s="51" t="s">
        <v>1078</v>
      </c>
      <c r="B79" s="51" t="s">
        <v>1401</v>
      </c>
      <c r="C79" s="52" t="s">
        <v>1079</v>
      </c>
      <c r="D79" s="2" t="s">
        <v>1080</v>
      </c>
      <c r="E79" s="2">
        <v>499</v>
      </c>
      <c r="F79" s="54">
        <v>499</v>
      </c>
      <c r="G79" s="51" t="s">
        <v>1089</v>
      </c>
      <c r="I79" s="24" t="str">
        <f t="shared" si="5"/>
        <v>coteq</v>
      </c>
      <c r="O79" s="24" t="s">
        <v>1081</v>
      </c>
      <c r="P79" s="24" t="s">
        <v>1082</v>
      </c>
    </row>
    <row r="80" spans="1:16" ht="15" customHeight="1" thickBot="1" x14ac:dyDescent="0.25">
      <c r="A80" s="51" t="s">
        <v>1083</v>
      </c>
      <c r="B80" s="51" t="s">
        <v>1352</v>
      </c>
      <c r="C80" s="52" t="s">
        <v>1085</v>
      </c>
      <c r="D80" s="2" t="s">
        <v>1086</v>
      </c>
      <c r="E80" s="2" t="s">
        <v>1087</v>
      </c>
      <c r="F80" s="2">
        <v>5</v>
      </c>
      <c r="G80" s="51" t="s">
        <v>1095</v>
      </c>
      <c r="I80" s="57" t="str">
        <f t="shared" si="5"/>
        <v>ccnst</v>
      </c>
      <c r="J80" s="57" t="str">
        <f>O82</f>
        <v>ccsrv</v>
      </c>
      <c r="L80" s="56" t="s">
        <v>1088</v>
      </c>
      <c r="M80" s="56" t="str">
        <f>B80</f>
        <v>Construction serv</v>
      </c>
      <c r="O80" s="24" t="s">
        <v>1089</v>
      </c>
      <c r="P80" s="24" t="s">
        <v>296</v>
      </c>
    </row>
    <row r="81" spans="1:16" ht="15" customHeight="1" thickBot="1" x14ac:dyDescent="0.25">
      <c r="A81" s="51" t="s">
        <v>1090</v>
      </c>
      <c r="B81" s="51" t="s">
        <v>1402</v>
      </c>
      <c r="C81" s="52" t="s">
        <v>1091</v>
      </c>
      <c r="D81" s="2" t="s">
        <v>1092</v>
      </c>
      <c r="E81" s="2" t="s">
        <v>1093</v>
      </c>
      <c r="F81" s="54" t="s">
        <v>1094</v>
      </c>
      <c r="G81" s="51" t="s">
        <v>1509</v>
      </c>
      <c r="I81" s="24" t="str">
        <f>O83</f>
        <v>ctrad</v>
      </c>
      <c r="O81" s="24" t="s">
        <v>1095</v>
      </c>
      <c r="P81" s="24" t="s">
        <v>319</v>
      </c>
    </row>
    <row r="82" spans="1:16" ht="15" customHeight="1" thickBot="1" x14ac:dyDescent="0.25">
      <c r="A82" s="51" t="s">
        <v>1096</v>
      </c>
      <c r="B82" s="51" t="s">
        <v>330</v>
      </c>
      <c r="C82" s="52" t="s">
        <v>1097</v>
      </c>
      <c r="D82" s="2" t="s">
        <v>1098</v>
      </c>
      <c r="E82" s="2" t="s">
        <v>1099</v>
      </c>
      <c r="F82" s="54" t="s">
        <v>1100</v>
      </c>
      <c r="G82" s="51" t="s">
        <v>1510</v>
      </c>
      <c r="I82" s="24" t="str">
        <f>O83</f>
        <v>ctrad</v>
      </c>
      <c r="O82" s="24" t="s">
        <v>1101</v>
      </c>
      <c r="P82" s="24" t="s">
        <v>1084</v>
      </c>
    </row>
    <row r="83" spans="1:16" ht="15" customHeight="1" thickBot="1" x14ac:dyDescent="0.25">
      <c r="A83" s="51" t="s">
        <v>1102</v>
      </c>
      <c r="B83" s="51" t="s">
        <v>1281</v>
      </c>
      <c r="C83" s="52" t="s">
        <v>1103</v>
      </c>
      <c r="D83" s="2" t="s">
        <v>1104</v>
      </c>
      <c r="E83" s="2" t="s">
        <v>1105</v>
      </c>
      <c r="F83" s="54" t="s">
        <v>1106</v>
      </c>
      <c r="G83" s="51" t="s">
        <v>1511</v>
      </c>
      <c r="I83" s="24" t="str">
        <f>O84</f>
        <v>cacco</v>
      </c>
      <c r="O83" s="24" t="s">
        <v>1107</v>
      </c>
      <c r="P83" s="24" t="s">
        <v>1108</v>
      </c>
    </row>
    <row r="84" spans="1:16" ht="15" customHeight="1" thickBot="1" x14ac:dyDescent="0.25">
      <c r="A84" s="51" t="s">
        <v>1109</v>
      </c>
      <c r="B84" s="51" t="s">
        <v>1403</v>
      </c>
      <c r="C84" s="52" t="s">
        <v>1110</v>
      </c>
      <c r="D84" s="2" t="s">
        <v>1111</v>
      </c>
      <c r="E84" s="2" t="s">
        <v>1112</v>
      </c>
      <c r="F84" s="54" t="s">
        <v>1113</v>
      </c>
      <c r="G84" s="51" t="s">
        <v>1512</v>
      </c>
      <c r="I84" s="24" t="str">
        <f>O84</f>
        <v>cacco</v>
      </c>
      <c r="O84" s="24" t="s">
        <v>1114</v>
      </c>
      <c r="P84" s="24" t="s">
        <v>1115</v>
      </c>
    </row>
    <row r="85" spans="1:16" ht="15" customHeight="1" thickBot="1" x14ac:dyDescent="0.25">
      <c r="A85" s="51" t="s">
        <v>1116</v>
      </c>
      <c r="B85" s="51" t="s">
        <v>1404</v>
      </c>
      <c r="C85" s="52" t="s">
        <v>1117</v>
      </c>
      <c r="D85" s="2" t="s">
        <v>1118</v>
      </c>
      <c r="E85" s="2" t="s">
        <v>1119</v>
      </c>
      <c r="F85" s="2" t="s">
        <v>1120</v>
      </c>
      <c r="G85" s="51" t="s">
        <v>1128</v>
      </c>
      <c r="I85" s="24" t="str">
        <f>O86</f>
        <v>cptrp</v>
      </c>
      <c r="O85" s="24" t="s">
        <v>1121</v>
      </c>
      <c r="P85" s="24" t="s">
        <v>1122</v>
      </c>
    </row>
    <row r="86" spans="1:16" ht="15" customHeight="1" thickBot="1" x14ac:dyDescent="0.25">
      <c r="A86" s="51" t="s">
        <v>1123</v>
      </c>
      <c r="B86" s="51" t="s">
        <v>1405</v>
      </c>
      <c r="C86" s="52" t="s">
        <v>1124</v>
      </c>
      <c r="D86" s="2" t="s">
        <v>1125</v>
      </c>
      <c r="E86" s="2" t="s">
        <v>1126</v>
      </c>
      <c r="F86" s="54" t="s">
        <v>1127</v>
      </c>
      <c r="G86" s="51" t="s">
        <v>1135</v>
      </c>
      <c r="I86" s="24" t="str">
        <f t="shared" ref="I86:I90" si="6">O87</f>
        <v>cftrp</v>
      </c>
      <c r="O86" s="24" t="s">
        <v>1128</v>
      </c>
      <c r="P86" s="24" t="s">
        <v>1129</v>
      </c>
    </row>
    <row r="87" spans="1:16" ht="15" customHeight="1" thickBot="1" x14ac:dyDescent="0.25">
      <c r="A87" s="51" t="s">
        <v>1130</v>
      </c>
      <c r="B87" s="51" t="s">
        <v>1406</v>
      </c>
      <c r="C87" s="52" t="s">
        <v>1131</v>
      </c>
      <c r="D87" s="2" t="s">
        <v>1132</v>
      </c>
      <c r="E87" s="2" t="s">
        <v>1133</v>
      </c>
      <c r="F87" s="54" t="s">
        <v>1134</v>
      </c>
      <c r="G87" s="51" t="s">
        <v>1140</v>
      </c>
      <c r="I87" s="24" t="str">
        <f t="shared" si="6"/>
        <v>ctrps</v>
      </c>
      <c r="O87" s="24" t="s">
        <v>1135</v>
      </c>
      <c r="P87" s="24" t="s">
        <v>1136</v>
      </c>
    </row>
    <row r="88" spans="1:16" ht="15" customHeight="1" thickBot="1" x14ac:dyDescent="0.25">
      <c r="A88" s="51" t="s">
        <v>1137</v>
      </c>
      <c r="B88" s="51" t="s">
        <v>1407</v>
      </c>
      <c r="C88" s="52" t="s">
        <v>1138</v>
      </c>
      <c r="D88" s="2" t="s">
        <v>1139</v>
      </c>
      <c r="E88" s="2">
        <v>681</v>
      </c>
      <c r="F88" s="54">
        <v>681</v>
      </c>
      <c r="G88" s="51" t="s">
        <v>1145</v>
      </c>
      <c r="I88" s="24" t="str">
        <f t="shared" si="6"/>
        <v>cpost</v>
      </c>
      <c r="O88" s="24" t="s">
        <v>1140</v>
      </c>
      <c r="P88" s="24" t="s">
        <v>1141</v>
      </c>
    </row>
    <row r="89" spans="1:16" ht="15" customHeight="1" thickBot="1" x14ac:dyDescent="0.25">
      <c r="A89" s="51" t="s">
        <v>1142</v>
      </c>
      <c r="B89" s="51" t="s">
        <v>1408</v>
      </c>
      <c r="C89" s="52" t="s">
        <v>1143</v>
      </c>
      <c r="D89" s="2" t="s">
        <v>1144</v>
      </c>
      <c r="E89" s="2">
        <v>691</v>
      </c>
      <c r="F89" s="54">
        <v>691</v>
      </c>
      <c r="G89" s="51" t="s">
        <v>1150</v>
      </c>
      <c r="I89" s="24" t="str">
        <f t="shared" si="6"/>
        <v>celcd</v>
      </c>
      <c r="O89" s="24" t="s">
        <v>1145</v>
      </c>
      <c r="P89" s="24" t="s">
        <v>1146</v>
      </c>
    </row>
    <row r="90" spans="1:16" ht="15" customHeight="1" thickBot="1" x14ac:dyDescent="0.25">
      <c r="A90" s="51" t="s">
        <v>1147</v>
      </c>
      <c r="B90" s="51" t="s">
        <v>1409</v>
      </c>
      <c r="C90" s="52" t="s">
        <v>1148</v>
      </c>
      <c r="D90" s="2" t="s">
        <v>1149</v>
      </c>
      <c r="E90" s="2">
        <v>692</v>
      </c>
      <c r="F90" s="54">
        <v>692</v>
      </c>
      <c r="G90" s="51" t="s">
        <v>1156</v>
      </c>
      <c r="I90" s="24" t="str">
        <f t="shared" si="6"/>
        <v>cwatd</v>
      </c>
      <c r="O90" s="24" t="s">
        <v>1150</v>
      </c>
      <c r="P90" s="24" t="s">
        <v>1151</v>
      </c>
    </row>
    <row r="91" spans="1:16" ht="15" customHeight="1" thickBot="1" x14ac:dyDescent="0.25">
      <c r="A91" s="51" t="s">
        <v>1152</v>
      </c>
      <c r="B91" s="51" t="s">
        <v>1155</v>
      </c>
      <c r="C91" s="52" t="s">
        <v>1153</v>
      </c>
      <c r="D91" s="2" t="s">
        <v>1154</v>
      </c>
      <c r="E91" s="2" t="s">
        <v>1155</v>
      </c>
      <c r="F91" s="2" t="s">
        <v>1155</v>
      </c>
      <c r="G91" s="51" t="s">
        <v>1163</v>
      </c>
      <c r="I91" s="24" t="str">
        <f>O92</f>
        <v>cfins</v>
      </c>
      <c r="O91" s="24" t="s">
        <v>1156</v>
      </c>
      <c r="P91" s="24" t="s">
        <v>1157</v>
      </c>
    </row>
    <row r="92" spans="1:16" ht="15" customHeight="1" thickBot="1" x14ac:dyDescent="0.25">
      <c r="A92" s="51" t="s">
        <v>1158</v>
      </c>
      <c r="B92" s="51" t="s">
        <v>1410</v>
      </c>
      <c r="C92" s="52" t="s">
        <v>1159</v>
      </c>
      <c r="D92" s="2" t="s">
        <v>1160</v>
      </c>
      <c r="E92" s="2" t="s">
        <v>1161</v>
      </c>
      <c r="F92" s="2" t="s">
        <v>1162</v>
      </c>
      <c r="G92" s="51" t="s">
        <v>1177</v>
      </c>
      <c r="I92" s="24" t="str">
        <f>O92</f>
        <v>cfins</v>
      </c>
      <c r="O92" s="24" t="s">
        <v>1163</v>
      </c>
      <c r="P92" s="24" t="s">
        <v>1164</v>
      </c>
    </row>
    <row r="93" spans="1:16" ht="15" customHeight="1" thickBot="1" x14ac:dyDescent="0.25">
      <c r="A93" s="51" t="s">
        <v>1165</v>
      </c>
      <c r="B93" s="51" t="s">
        <v>1411</v>
      </c>
      <c r="C93" s="52" t="s">
        <v>1166</v>
      </c>
      <c r="D93" s="2" t="s">
        <v>1167</v>
      </c>
      <c r="E93" s="2" t="s">
        <v>1168</v>
      </c>
      <c r="F93" s="2" t="s">
        <v>1169</v>
      </c>
      <c r="G93" s="51" t="s">
        <v>1170</v>
      </c>
      <c r="I93" s="24" t="str">
        <f>O93</f>
        <v>cinsp</v>
      </c>
      <c r="O93" s="24" t="s">
        <v>1170</v>
      </c>
      <c r="P93" s="24" t="s">
        <v>1171</v>
      </c>
    </row>
    <row r="94" spans="1:16" ht="15" customHeight="1" thickBot="1" x14ac:dyDescent="0.25">
      <c r="A94" s="51" t="s">
        <v>1172</v>
      </c>
      <c r="B94" s="51" t="s">
        <v>1412</v>
      </c>
      <c r="C94" s="52" t="s">
        <v>1173</v>
      </c>
      <c r="D94" s="2" t="s">
        <v>1174</v>
      </c>
      <c r="E94" s="2" t="s">
        <v>1175</v>
      </c>
      <c r="F94" s="2" t="s">
        <v>1176</v>
      </c>
      <c r="G94" s="51" t="s">
        <v>1513</v>
      </c>
      <c r="I94" s="24" t="str">
        <f t="shared" ref="I94" si="7">O94</f>
        <v>cofin</v>
      </c>
      <c r="O94" s="24" t="s">
        <v>1177</v>
      </c>
      <c r="P94" s="24" t="s">
        <v>1178</v>
      </c>
    </row>
    <row r="95" spans="1:16" ht="15" customHeight="1" thickBot="1" x14ac:dyDescent="0.25">
      <c r="A95" s="51" t="s">
        <v>1179</v>
      </c>
      <c r="B95" s="51" t="s">
        <v>1182</v>
      </c>
      <c r="C95" s="52" t="s">
        <v>1180</v>
      </c>
      <c r="D95" s="2" t="s">
        <v>1181</v>
      </c>
      <c r="E95" s="2" t="s">
        <v>1182</v>
      </c>
      <c r="F95" s="2" t="s">
        <v>1182</v>
      </c>
      <c r="G95" s="51" t="s">
        <v>1183</v>
      </c>
      <c r="I95" s="24" t="str">
        <f>O95</f>
        <v>creal</v>
      </c>
      <c r="O95" s="24" t="s">
        <v>1183</v>
      </c>
      <c r="P95" s="24" t="s">
        <v>1184</v>
      </c>
    </row>
    <row r="96" spans="1:16" ht="15" customHeight="1" thickBot="1" x14ac:dyDescent="0.25">
      <c r="A96" s="51" t="s">
        <v>1185</v>
      </c>
      <c r="B96" s="51" t="s">
        <v>1413</v>
      </c>
      <c r="C96" s="52" t="s">
        <v>1186</v>
      </c>
      <c r="D96" s="2" t="s">
        <v>1187</v>
      </c>
      <c r="E96" s="2" t="s">
        <v>1188</v>
      </c>
      <c r="F96" s="2" t="s">
        <v>1189</v>
      </c>
      <c r="G96" s="51" t="s">
        <v>1514</v>
      </c>
      <c r="I96" s="24" t="str">
        <f>O95</f>
        <v>creal</v>
      </c>
      <c r="O96" s="24" t="s">
        <v>1190</v>
      </c>
      <c r="P96" s="24" t="s">
        <v>1191</v>
      </c>
    </row>
    <row r="97" spans="1:16" ht="15" customHeight="1" thickBot="1" x14ac:dyDescent="0.25">
      <c r="A97" s="51" t="s">
        <v>1192</v>
      </c>
      <c r="B97" s="51" t="s">
        <v>1414</v>
      </c>
      <c r="C97" s="52" t="s">
        <v>1193</v>
      </c>
      <c r="D97" s="2" t="s">
        <v>1194</v>
      </c>
      <c r="E97" s="2" t="s">
        <v>1195</v>
      </c>
      <c r="F97" s="54" t="s">
        <v>1196</v>
      </c>
      <c r="G97" s="51" t="s">
        <v>1190</v>
      </c>
      <c r="I97" s="24" t="str">
        <f>O96</f>
        <v>crent</v>
      </c>
      <c r="O97" s="24" t="s">
        <v>1197</v>
      </c>
      <c r="P97" s="24" t="s">
        <v>1198</v>
      </c>
    </row>
    <row r="98" spans="1:16" ht="15" customHeight="1" thickBot="1" x14ac:dyDescent="0.25">
      <c r="A98" s="51" t="s">
        <v>1199</v>
      </c>
      <c r="B98" s="51" t="s">
        <v>1321</v>
      </c>
      <c r="C98" s="52" t="s">
        <v>1200</v>
      </c>
      <c r="D98" s="2" t="s">
        <v>1201</v>
      </c>
      <c r="E98" s="2" t="s">
        <v>1202</v>
      </c>
      <c r="F98" s="54" t="s">
        <v>1203</v>
      </c>
      <c r="G98" s="51" t="s">
        <v>1197</v>
      </c>
      <c r="I98" s="24" t="str">
        <f t="shared" ref="I98:I102" si="8">O97</f>
        <v>crsea</v>
      </c>
      <c r="O98" s="24" t="s">
        <v>1204</v>
      </c>
      <c r="P98" s="24" t="s">
        <v>1205</v>
      </c>
    </row>
    <row r="99" spans="1:16" ht="15" customHeight="1" thickBot="1" x14ac:dyDescent="0.25">
      <c r="A99" s="51" t="s">
        <v>1206</v>
      </c>
      <c r="B99" s="51" t="s">
        <v>1415</v>
      </c>
      <c r="C99" s="52" t="s">
        <v>1207</v>
      </c>
      <c r="D99" s="2" t="s">
        <v>1208</v>
      </c>
      <c r="E99" s="2" t="s">
        <v>1209</v>
      </c>
      <c r="F99" s="54" t="s">
        <v>1210</v>
      </c>
      <c r="G99" s="51" t="s">
        <v>1204</v>
      </c>
      <c r="I99" s="24" t="str">
        <f t="shared" si="8"/>
        <v>clacc</v>
      </c>
      <c r="O99" s="24" t="s">
        <v>1211</v>
      </c>
      <c r="P99" s="24" t="s">
        <v>1212</v>
      </c>
    </row>
    <row r="100" spans="1:16" ht="15" customHeight="1" thickBot="1" x14ac:dyDescent="0.25">
      <c r="A100" s="51" t="s">
        <v>1213</v>
      </c>
      <c r="B100" s="51" t="s">
        <v>1416</v>
      </c>
      <c r="C100" s="52" t="s">
        <v>1214</v>
      </c>
      <c r="D100" s="2" t="s">
        <v>1215</v>
      </c>
      <c r="E100" s="2" t="s">
        <v>1216</v>
      </c>
      <c r="F100" s="54" t="s">
        <v>1217</v>
      </c>
      <c r="G100" s="51" t="s">
        <v>1211</v>
      </c>
      <c r="I100" s="24" t="str">
        <f t="shared" si="8"/>
        <v>cobus</v>
      </c>
      <c r="O100" s="24" t="s">
        <v>1218</v>
      </c>
      <c r="P100" s="24" t="s">
        <v>1219</v>
      </c>
    </row>
    <row r="101" spans="1:16" ht="15" customHeight="1" thickBot="1" x14ac:dyDescent="0.25">
      <c r="A101" s="51" t="s">
        <v>1220</v>
      </c>
      <c r="B101" s="51" t="s">
        <v>1219</v>
      </c>
      <c r="C101" s="52" t="s">
        <v>1221</v>
      </c>
      <c r="D101" s="2" t="s">
        <v>1222</v>
      </c>
      <c r="E101" s="2" t="s">
        <v>1223</v>
      </c>
      <c r="F101" s="54" t="s">
        <v>1224</v>
      </c>
      <c r="G101" s="51" t="s">
        <v>1218</v>
      </c>
      <c r="I101" s="24" t="str">
        <f>O100</f>
        <v>ctelc</v>
      </c>
      <c r="O101" s="24" t="s">
        <v>1225</v>
      </c>
      <c r="P101" s="24" t="s">
        <v>1226</v>
      </c>
    </row>
    <row r="102" spans="1:16" ht="15" customHeight="1" thickBot="1" x14ac:dyDescent="0.25">
      <c r="A102" s="51" t="s">
        <v>1227</v>
      </c>
      <c r="B102" s="51" t="s">
        <v>1417</v>
      </c>
      <c r="C102" s="52" t="s">
        <v>1228</v>
      </c>
      <c r="D102" s="2" t="s">
        <v>1229</v>
      </c>
      <c r="E102" s="2" t="s">
        <v>1230</v>
      </c>
      <c r="F102" s="54" t="s">
        <v>1231</v>
      </c>
      <c r="G102" s="51" t="s">
        <v>1225</v>
      </c>
      <c r="I102" s="57" t="str">
        <f t="shared" si="8"/>
        <v>csupp</v>
      </c>
      <c r="J102" s="57" t="str">
        <f>O102</f>
        <v>cmnfs</v>
      </c>
      <c r="L102" s="56" t="s">
        <v>1232</v>
      </c>
      <c r="M102" s="56" t="str">
        <f>B102&amp;" &amp; "&amp;B103</f>
        <v>Support serv &amp; Publishing, printing</v>
      </c>
      <c r="O102" s="24" t="s">
        <v>1233</v>
      </c>
      <c r="P102" s="24" t="s">
        <v>1234</v>
      </c>
    </row>
    <row r="103" spans="1:16" ht="15" customHeight="1" thickBot="1" x14ac:dyDescent="0.25">
      <c r="A103" s="51" t="s">
        <v>1235</v>
      </c>
      <c r="B103" s="51" t="s">
        <v>1418</v>
      </c>
      <c r="C103" s="52" t="s">
        <v>1236</v>
      </c>
      <c r="D103" s="2" t="s">
        <v>1237</v>
      </c>
      <c r="E103" s="2" t="s">
        <v>1238</v>
      </c>
      <c r="F103" s="54" t="s">
        <v>1239</v>
      </c>
      <c r="G103" s="51" t="s">
        <v>1233</v>
      </c>
      <c r="I103" s="57" t="str">
        <f>O102</f>
        <v>cmnfs</v>
      </c>
      <c r="O103" s="24" t="s">
        <v>1240</v>
      </c>
      <c r="P103" s="24" t="s">
        <v>1241</v>
      </c>
    </row>
    <row r="104" spans="1:16" ht="15" customHeight="1" thickBot="1" x14ac:dyDescent="0.25">
      <c r="A104" s="51" t="s">
        <v>1242</v>
      </c>
      <c r="B104" s="51" t="s">
        <v>1241</v>
      </c>
      <c r="C104" s="52" t="s">
        <v>1243</v>
      </c>
      <c r="D104" s="2" t="s">
        <v>1244</v>
      </c>
      <c r="E104" s="2" t="s">
        <v>1245</v>
      </c>
      <c r="F104" s="54" t="s">
        <v>1246</v>
      </c>
      <c r="G104" s="51" t="s">
        <v>1240</v>
      </c>
      <c r="I104" s="24" t="str">
        <f>O103</f>
        <v>cpuba</v>
      </c>
      <c r="O104" s="24" t="s">
        <v>1247</v>
      </c>
      <c r="P104" s="24" t="s">
        <v>1248</v>
      </c>
    </row>
    <row r="105" spans="1:16" ht="15" customHeight="1" thickBot="1" x14ac:dyDescent="0.25">
      <c r="A105" s="51" t="s">
        <v>1249</v>
      </c>
      <c r="B105" s="51" t="s">
        <v>1419</v>
      </c>
      <c r="C105" s="52" t="s">
        <v>1250</v>
      </c>
      <c r="D105" s="2" t="s">
        <v>1251</v>
      </c>
      <c r="E105" s="2" t="s">
        <v>1252</v>
      </c>
      <c r="F105" s="54" t="s">
        <v>1253</v>
      </c>
      <c r="G105" s="51" t="s">
        <v>1247</v>
      </c>
      <c r="I105" s="24" t="str">
        <f t="shared" ref="I105:I106" si="9">O104</f>
        <v>ceduc</v>
      </c>
      <c r="O105" s="24" t="s">
        <v>1254</v>
      </c>
      <c r="P105" s="24" t="s">
        <v>1255</v>
      </c>
    </row>
    <row r="106" spans="1:16" ht="15" customHeight="1" thickBot="1" x14ac:dyDescent="0.25">
      <c r="A106" s="51" t="s">
        <v>1256</v>
      </c>
      <c r="B106" s="51" t="s">
        <v>1420</v>
      </c>
      <c r="C106" s="52" t="s">
        <v>1257</v>
      </c>
      <c r="D106" s="2" t="s">
        <v>1258</v>
      </c>
      <c r="E106" s="2" t="s">
        <v>1259</v>
      </c>
      <c r="F106" s="54" t="s">
        <v>1260</v>
      </c>
      <c r="G106" s="51" t="s">
        <v>1254</v>
      </c>
      <c r="I106" s="24" t="str">
        <f t="shared" si="9"/>
        <v>cheal</v>
      </c>
      <c r="O106" s="24" t="s">
        <v>1261</v>
      </c>
      <c r="P106" s="24" t="s">
        <v>1262</v>
      </c>
    </row>
    <row r="107" spans="1:16" ht="15" customHeight="1" thickBot="1" x14ac:dyDescent="0.25">
      <c r="A107" s="51" t="s">
        <v>1263</v>
      </c>
      <c r="B107" s="51" t="s">
        <v>1421</v>
      </c>
      <c r="C107" s="52" t="s">
        <v>1264</v>
      </c>
      <c r="D107" s="2" t="s">
        <v>1265</v>
      </c>
      <c r="E107" s="2" t="s">
        <v>1266</v>
      </c>
      <c r="F107" s="54" t="s">
        <v>1267</v>
      </c>
      <c r="G107" s="51" t="s">
        <v>1502</v>
      </c>
      <c r="I107" s="24" t="str">
        <f>O106</f>
        <v>cosrv</v>
      </c>
    </row>
    <row r="108" spans="1:16" ht="15" customHeight="1" thickBot="1" x14ac:dyDescent="0.25">
      <c r="A108" s="51" t="s">
        <v>1268</v>
      </c>
      <c r="B108" s="51" t="s">
        <v>1422</v>
      </c>
      <c r="C108" s="52" t="s">
        <v>1269</v>
      </c>
      <c r="D108" s="2" t="s">
        <v>1270</v>
      </c>
      <c r="E108" s="2" t="s">
        <v>1271</v>
      </c>
      <c r="F108" s="54" t="s">
        <v>1272</v>
      </c>
      <c r="G108" s="51" t="s">
        <v>1503</v>
      </c>
      <c r="I108" s="24" t="str">
        <f>O106</f>
        <v>cosrv</v>
      </c>
    </row>
    <row r="109" spans="1:16" ht="15" customHeight="1" thickBot="1" x14ac:dyDescent="0.25">
      <c r="A109" s="51" t="s">
        <v>1273</v>
      </c>
      <c r="B109" s="51" t="s">
        <v>1423</v>
      </c>
      <c r="C109" s="52" t="s">
        <v>1274</v>
      </c>
      <c r="D109" s="2" t="s">
        <v>1275</v>
      </c>
      <c r="E109" s="2" t="s">
        <v>1276</v>
      </c>
      <c r="F109" s="54" t="s">
        <v>1277</v>
      </c>
      <c r="G109" s="51" t="s">
        <v>1504</v>
      </c>
      <c r="I109" s="24" t="str">
        <f>O106</f>
        <v>cosrv</v>
      </c>
    </row>
    <row r="110" spans="1:16" ht="15" customHeight="1" thickBot="1" x14ac:dyDescent="0.25">
      <c r="A110" s="51" t="s">
        <v>1278</v>
      </c>
      <c r="B110" s="51" t="s">
        <v>1424</v>
      </c>
      <c r="C110" s="52" t="s">
        <v>1279</v>
      </c>
      <c r="D110" s="2" t="s">
        <v>1280</v>
      </c>
      <c r="E110" s="2">
        <v>980</v>
      </c>
      <c r="F110" s="54">
        <v>980</v>
      </c>
      <c r="G110" s="51" t="s">
        <v>1505</v>
      </c>
      <c r="I110" s="24" t="str">
        <f>O106</f>
        <v>cosrv</v>
      </c>
    </row>
    <row r="111" spans="1:16" x14ac:dyDescent="0.2">
      <c r="D111" s="58"/>
      <c r="E111" s="58"/>
      <c r="F111" s="58"/>
    </row>
    <row r="118" s="24" customFormat="1" ht="13.5" customHeight="1" x14ac:dyDescent="0.2"/>
  </sheetData>
  <hyperlinks>
    <hyperlink ref="A1" location="'Contents'!A1" display="Contents" xr:uid="{33D4CE0F-C31E-44A3-B988-3BEB4BA73C70}"/>
  </hyperlinks>
  <pageMargins left="0.7" right="0.7" top="0.75" bottom="0.75" header="0.3" footer="0.3"/>
  <pageSetup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B7226-9D71-4123-8488-20B3ACAE5A66}">
  <sheetPr codeName="Sheet6">
    <tabColor rgb="FF7030A0"/>
  </sheetPr>
  <dimension ref="A1:C41"/>
  <sheetViews>
    <sheetView workbookViewId="0"/>
  </sheetViews>
  <sheetFormatPr defaultRowHeight="12.75" x14ac:dyDescent="0.2"/>
  <cols>
    <col min="1" max="1" width="9.140625" style="24"/>
    <col min="2" max="2" width="47" style="24" bestFit="1" customWidth="1"/>
    <col min="3" max="3" width="51.7109375" style="24" bestFit="1" customWidth="1"/>
    <col min="4" max="16384" width="9.140625" style="24"/>
  </cols>
  <sheetData>
    <row r="1" spans="1:2" ht="15" x14ac:dyDescent="0.25">
      <c r="A1" s="90" t="s">
        <v>1618</v>
      </c>
      <c r="B1" s="50" t="s">
        <v>1576</v>
      </c>
    </row>
    <row r="2" spans="1:2" x14ac:dyDescent="0.2">
      <c r="A2" s="9" t="s">
        <v>1518</v>
      </c>
      <c r="B2" s="24" t="s">
        <v>129</v>
      </c>
    </row>
    <row r="3" spans="1:2" x14ac:dyDescent="0.2">
      <c r="A3" s="15" t="s">
        <v>1539</v>
      </c>
      <c r="B3" s="61" t="s">
        <v>1577</v>
      </c>
    </row>
    <row r="4" spans="1:2" x14ac:dyDescent="0.2">
      <c r="A4" s="15" t="s">
        <v>1540</v>
      </c>
      <c r="B4" s="61" t="s">
        <v>1578</v>
      </c>
    </row>
    <row r="5" spans="1:2" x14ac:dyDescent="0.2">
      <c r="A5" s="15" t="s">
        <v>1541</v>
      </c>
      <c r="B5" s="61" t="s">
        <v>1581</v>
      </c>
    </row>
    <row r="6" spans="1:2" x14ac:dyDescent="0.2">
      <c r="A6" s="15" t="s">
        <v>1542</v>
      </c>
      <c r="B6" s="61" t="s">
        <v>1584</v>
      </c>
    </row>
    <row r="7" spans="1:2" x14ac:dyDescent="0.2">
      <c r="A7" s="15" t="s">
        <v>1543</v>
      </c>
      <c r="B7" s="61" t="s">
        <v>1585</v>
      </c>
    </row>
    <row r="8" spans="1:2" x14ac:dyDescent="0.2">
      <c r="A8" s="15" t="s">
        <v>1544</v>
      </c>
      <c r="B8" s="61" t="s">
        <v>1579</v>
      </c>
    </row>
    <row r="9" spans="1:2" x14ac:dyDescent="0.2">
      <c r="A9" s="15" t="s">
        <v>1545</v>
      </c>
      <c r="B9" s="61" t="s">
        <v>1586</v>
      </c>
    </row>
    <row r="10" spans="1:2" x14ac:dyDescent="0.2">
      <c r="A10" s="15" t="s">
        <v>1546</v>
      </c>
      <c r="B10" s="61" t="s">
        <v>1580</v>
      </c>
    </row>
    <row r="11" spans="1:2" x14ac:dyDescent="0.2">
      <c r="A11" s="15" t="s">
        <v>1547</v>
      </c>
      <c r="B11" s="61" t="s">
        <v>1582</v>
      </c>
    </row>
    <row r="12" spans="1:2" x14ac:dyDescent="0.2">
      <c r="A12" s="15" t="s">
        <v>1548</v>
      </c>
      <c r="B12" s="62" t="s">
        <v>1583</v>
      </c>
    </row>
    <row r="13" spans="1:2" x14ac:dyDescent="0.2">
      <c r="A13" s="16" t="s">
        <v>1533</v>
      </c>
      <c r="B13" s="61" t="s">
        <v>1568</v>
      </c>
    </row>
    <row r="14" spans="1:2" x14ac:dyDescent="0.2">
      <c r="A14" s="16" t="s">
        <v>1534</v>
      </c>
      <c r="B14" s="61" t="s">
        <v>1569</v>
      </c>
    </row>
    <row r="15" spans="1:2" x14ac:dyDescent="0.2">
      <c r="A15" s="16" t="s">
        <v>1535</v>
      </c>
      <c r="B15" s="61" t="s">
        <v>1570</v>
      </c>
    </row>
    <row r="16" spans="1:2" x14ac:dyDescent="0.2">
      <c r="A16" s="16" t="s">
        <v>1536</v>
      </c>
      <c r="B16" s="61" t="s">
        <v>1571</v>
      </c>
    </row>
    <row r="17" spans="1:2" x14ac:dyDescent="0.2">
      <c r="A17" s="16" t="s">
        <v>1537</v>
      </c>
      <c r="B17" s="61" t="s">
        <v>1572</v>
      </c>
    </row>
    <row r="18" spans="1:2" x14ac:dyDescent="0.2">
      <c r="A18" s="16" t="s">
        <v>1538</v>
      </c>
      <c r="B18" s="61" t="s">
        <v>1573</v>
      </c>
    </row>
    <row r="19" spans="1:2" x14ac:dyDescent="0.2">
      <c r="A19" s="9" t="s">
        <v>1282</v>
      </c>
      <c r="B19" s="61" t="s">
        <v>1283</v>
      </c>
    </row>
    <row r="20" spans="1:2" x14ac:dyDescent="0.2">
      <c r="A20" s="64" t="s">
        <v>1549</v>
      </c>
      <c r="B20" s="24" t="s">
        <v>1587</v>
      </c>
    </row>
    <row r="21" spans="1:2" x14ac:dyDescent="0.2">
      <c r="A21" s="64" t="s">
        <v>1550</v>
      </c>
      <c r="B21" s="24" t="s">
        <v>1588</v>
      </c>
    </row>
    <row r="22" spans="1:2" x14ac:dyDescent="0.2">
      <c r="A22" s="64" t="s">
        <v>1551</v>
      </c>
      <c r="B22" s="24" t="s">
        <v>1589</v>
      </c>
    </row>
    <row r="23" spans="1:2" x14ac:dyDescent="0.2">
      <c r="A23" s="64" t="s">
        <v>1552</v>
      </c>
      <c r="B23" s="24" t="s">
        <v>1590</v>
      </c>
    </row>
    <row r="24" spans="1:2" x14ac:dyDescent="0.2">
      <c r="A24" s="64" t="s">
        <v>1553</v>
      </c>
      <c r="B24" s="24" t="s">
        <v>1591</v>
      </c>
    </row>
    <row r="25" spans="1:2" x14ac:dyDescent="0.2">
      <c r="A25" s="64" t="s">
        <v>1554</v>
      </c>
      <c r="B25" s="24" t="s">
        <v>1592</v>
      </c>
    </row>
    <row r="26" spans="1:2" x14ac:dyDescent="0.2">
      <c r="A26" s="64" t="s">
        <v>1555</v>
      </c>
      <c r="B26" s="24" t="s">
        <v>1593</v>
      </c>
    </row>
    <row r="27" spans="1:2" x14ac:dyDescent="0.2">
      <c r="A27" s="64" t="s">
        <v>1556</v>
      </c>
      <c r="B27" s="24" t="s">
        <v>1594</v>
      </c>
    </row>
    <row r="28" spans="1:2" x14ac:dyDescent="0.2">
      <c r="A28" s="64" t="s">
        <v>1557</v>
      </c>
      <c r="B28" s="24" t="s">
        <v>1595</v>
      </c>
    </row>
    <row r="29" spans="1:2" x14ac:dyDescent="0.2">
      <c r="A29" s="64" t="s">
        <v>1558</v>
      </c>
      <c r="B29" s="24" t="s">
        <v>1596</v>
      </c>
    </row>
    <row r="30" spans="1:2" x14ac:dyDescent="0.2">
      <c r="A30" s="64" t="s">
        <v>1559</v>
      </c>
      <c r="B30" s="24" t="s">
        <v>1597</v>
      </c>
    </row>
    <row r="31" spans="1:2" x14ac:dyDescent="0.2">
      <c r="A31" s="64" t="s">
        <v>1560</v>
      </c>
      <c r="B31" s="24" t="s">
        <v>1598</v>
      </c>
    </row>
    <row r="32" spans="1:2" x14ac:dyDescent="0.2">
      <c r="A32" s="64" t="s">
        <v>1561</v>
      </c>
      <c r="B32" s="24" t="s">
        <v>1599</v>
      </c>
    </row>
    <row r="33" spans="1:3" x14ac:dyDescent="0.2">
      <c r="A33" s="64" t="s">
        <v>1562</v>
      </c>
      <c r="B33" s="24" t="s">
        <v>1600</v>
      </c>
    </row>
    <row r="34" spans="1:3" x14ac:dyDescent="0.2">
      <c r="A34" s="9" t="s">
        <v>1516</v>
      </c>
      <c r="B34" s="63" t="s">
        <v>127</v>
      </c>
      <c r="C34" s="63"/>
    </row>
    <row r="35" spans="1:3" x14ac:dyDescent="0.2">
      <c r="A35" s="9" t="s">
        <v>1519</v>
      </c>
      <c r="B35" s="63" t="s">
        <v>130</v>
      </c>
      <c r="C35" s="63"/>
    </row>
    <row r="36" spans="1:3" x14ac:dyDescent="0.2">
      <c r="A36" s="9" t="s">
        <v>1287</v>
      </c>
      <c r="B36" s="63" t="s">
        <v>1284</v>
      </c>
      <c r="C36" s="63"/>
    </row>
    <row r="37" spans="1:3" x14ac:dyDescent="0.2">
      <c r="A37" s="9" t="s">
        <v>1288</v>
      </c>
      <c r="B37" s="63" t="s">
        <v>1285</v>
      </c>
      <c r="C37" s="63"/>
    </row>
    <row r="38" spans="1:3" x14ac:dyDescent="0.2">
      <c r="A38" s="9" t="s">
        <v>1289</v>
      </c>
      <c r="B38" s="63" t="s">
        <v>1286</v>
      </c>
      <c r="C38" s="63"/>
    </row>
    <row r="39" spans="1:3" x14ac:dyDescent="0.2">
      <c r="A39" s="9" t="s">
        <v>1517</v>
      </c>
      <c r="B39" s="63" t="s">
        <v>131</v>
      </c>
      <c r="C39" s="63"/>
    </row>
    <row r="40" spans="1:3" x14ac:dyDescent="0.2">
      <c r="A40" s="9" t="s">
        <v>1520</v>
      </c>
      <c r="B40" s="63" t="s">
        <v>1353</v>
      </c>
      <c r="C40" s="63"/>
    </row>
    <row r="41" spans="1:3" x14ac:dyDescent="0.2">
      <c r="A41" s="9" t="s">
        <v>1521</v>
      </c>
      <c r="B41" s="63" t="s">
        <v>1354</v>
      </c>
      <c r="C41" s="63"/>
    </row>
  </sheetData>
  <hyperlinks>
    <hyperlink ref="A1" location="'Contents'!A1" display="Contents" xr:uid="{3B4E1CE2-7666-4AF1-B59D-B8121E0A1F16}"/>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9F0BE-024B-4A9D-BCA5-89AAB22F6CF5}">
  <sheetPr codeName="Sheet7">
    <tabColor rgb="FFFFCCFF"/>
  </sheetPr>
  <dimension ref="A1:C30"/>
  <sheetViews>
    <sheetView workbookViewId="0"/>
  </sheetViews>
  <sheetFormatPr defaultRowHeight="12.75" x14ac:dyDescent="0.2"/>
  <cols>
    <col min="1" max="1" width="9.140625" style="24"/>
    <col min="2" max="2" width="47" style="24" bestFit="1" customWidth="1"/>
    <col min="3" max="3" width="51.7109375" style="24" bestFit="1" customWidth="1"/>
    <col min="4" max="16384" width="9.140625" style="24"/>
  </cols>
  <sheetData>
    <row r="1" spans="1:2" ht="15" x14ac:dyDescent="0.25">
      <c r="A1" s="90" t="s">
        <v>1618</v>
      </c>
      <c r="B1" s="50" t="s">
        <v>1576</v>
      </c>
    </row>
    <row r="2" spans="1:2" x14ac:dyDescent="0.2">
      <c r="A2" s="9" t="s">
        <v>1518</v>
      </c>
      <c r="B2" s="24" t="s">
        <v>129</v>
      </c>
    </row>
    <row r="3" spans="1:2" x14ac:dyDescent="0.2">
      <c r="A3" s="15" t="s">
        <v>1605</v>
      </c>
      <c r="B3" s="61" t="s">
        <v>1611</v>
      </c>
    </row>
    <row r="4" spans="1:2" x14ac:dyDescent="0.2">
      <c r="A4" s="15" t="s">
        <v>1606</v>
      </c>
      <c r="B4" s="61" t="s">
        <v>1612</v>
      </c>
    </row>
    <row r="5" spans="1:2" x14ac:dyDescent="0.2">
      <c r="A5" s="15" t="s">
        <v>1607</v>
      </c>
      <c r="B5" s="61" t="s">
        <v>1613</v>
      </c>
    </row>
    <row r="6" spans="1:2" x14ac:dyDescent="0.2">
      <c r="A6" s="15" t="s">
        <v>1608</v>
      </c>
      <c r="B6" s="61" t="s">
        <v>1614</v>
      </c>
    </row>
    <row r="7" spans="1:2" x14ac:dyDescent="0.2">
      <c r="A7" s="16" t="s">
        <v>1609</v>
      </c>
      <c r="B7" s="61" t="s">
        <v>1610</v>
      </c>
    </row>
    <row r="8" spans="1:2" x14ac:dyDescent="0.2">
      <c r="A8" s="9" t="s">
        <v>1282</v>
      </c>
      <c r="B8" s="61" t="s">
        <v>1283</v>
      </c>
    </row>
    <row r="9" spans="1:2" x14ac:dyDescent="0.2">
      <c r="A9" s="64" t="s">
        <v>1549</v>
      </c>
      <c r="B9" s="24" t="s">
        <v>1587</v>
      </c>
    </row>
    <row r="10" spans="1:2" x14ac:dyDescent="0.2">
      <c r="A10" s="64" t="s">
        <v>1550</v>
      </c>
      <c r="B10" s="24" t="s">
        <v>1588</v>
      </c>
    </row>
    <row r="11" spans="1:2" x14ac:dyDescent="0.2">
      <c r="A11" s="64" t="s">
        <v>1551</v>
      </c>
      <c r="B11" s="24" t="s">
        <v>1589</v>
      </c>
    </row>
    <row r="12" spans="1:2" x14ac:dyDescent="0.2">
      <c r="A12" s="64" t="s">
        <v>1552</v>
      </c>
      <c r="B12" s="24" t="s">
        <v>1590</v>
      </c>
    </row>
    <row r="13" spans="1:2" x14ac:dyDescent="0.2">
      <c r="A13" s="64" t="s">
        <v>1553</v>
      </c>
      <c r="B13" s="24" t="s">
        <v>1591</v>
      </c>
    </row>
    <row r="14" spans="1:2" x14ac:dyDescent="0.2">
      <c r="A14" s="64" t="s">
        <v>1554</v>
      </c>
      <c r="B14" s="24" t="s">
        <v>1592</v>
      </c>
    </row>
    <row r="15" spans="1:2" x14ac:dyDescent="0.2">
      <c r="A15" s="64" t="s">
        <v>1555</v>
      </c>
      <c r="B15" s="24" t="s">
        <v>1593</v>
      </c>
    </row>
    <row r="16" spans="1:2" x14ac:dyDescent="0.2">
      <c r="A16" s="64" t="s">
        <v>1556</v>
      </c>
      <c r="B16" s="24" t="s">
        <v>1594</v>
      </c>
    </row>
    <row r="17" spans="1:3" x14ac:dyDescent="0.2">
      <c r="A17" s="64" t="s">
        <v>1557</v>
      </c>
      <c r="B17" s="24" t="s">
        <v>1595</v>
      </c>
    </row>
    <row r="18" spans="1:3" x14ac:dyDescent="0.2">
      <c r="A18" s="64" t="s">
        <v>1558</v>
      </c>
      <c r="B18" s="24" t="s">
        <v>1596</v>
      </c>
    </row>
    <row r="19" spans="1:3" x14ac:dyDescent="0.2">
      <c r="A19" s="64" t="s">
        <v>1559</v>
      </c>
      <c r="B19" s="24" t="s">
        <v>1597</v>
      </c>
    </row>
    <row r="20" spans="1:3" x14ac:dyDescent="0.2">
      <c r="A20" s="64" t="s">
        <v>1560</v>
      </c>
      <c r="B20" s="24" t="s">
        <v>1598</v>
      </c>
    </row>
    <row r="21" spans="1:3" x14ac:dyDescent="0.2">
      <c r="A21" s="64" t="s">
        <v>1561</v>
      </c>
      <c r="B21" s="24" t="s">
        <v>1599</v>
      </c>
    </row>
    <row r="22" spans="1:3" x14ac:dyDescent="0.2">
      <c r="A22" s="64" t="s">
        <v>1562</v>
      </c>
      <c r="B22" s="24" t="s">
        <v>1600</v>
      </c>
    </row>
    <row r="23" spans="1:3" x14ac:dyDescent="0.2">
      <c r="A23" s="9" t="s">
        <v>1516</v>
      </c>
      <c r="B23" s="63" t="s">
        <v>127</v>
      </c>
      <c r="C23" s="63"/>
    </row>
    <row r="24" spans="1:3" x14ac:dyDescent="0.2">
      <c r="A24" s="9" t="s">
        <v>1519</v>
      </c>
      <c r="B24" s="63" t="s">
        <v>130</v>
      </c>
      <c r="C24" s="63"/>
    </row>
    <row r="25" spans="1:3" x14ac:dyDescent="0.2">
      <c r="A25" s="9" t="s">
        <v>1287</v>
      </c>
      <c r="B25" s="63" t="s">
        <v>1284</v>
      </c>
      <c r="C25" s="63"/>
    </row>
    <row r="26" spans="1:3" x14ac:dyDescent="0.2">
      <c r="A26" s="9" t="s">
        <v>1288</v>
      </c>
      <c r="B26" s="63" t="s">
        <v>1285</v>
      </c>
      <c r="C26" s="63"/>
    </row>
    <row r="27" spans="1:3" x14ac:dyDescent="0.2">
      <c r="A27" s="9" t="s">
        <v>1289</v>
      </c>
      <c r="B27" s="63" t="s">
        <v>1286</v>
      </c>
      <c r="C27" s="63"/>
    </row>
    <row r="28" spans="1:3" x14ac:dyDescent="0.2">
      <c r="A28" s="9" t="s">
        <v>1517</v>
      </c>
      <c r="B28" s="63" t="s">
        <v>131</v>
      </c>
      <c r="C28" s="63"/>
    </row>
    <row r="29" spans="1:3" x14ac:dyDescent="0.2">
      <c r="A29" s="9" t="s">
        <v>1520</v>
      </c>
      <c r="B29" s="63" t="s">
        <v>1353</v>
      </c>
      <c r="C29" s="63"/>
    </row>
    <row r="30" spans="1:3" x14ac:dyDescent="0.2">
      <c r="A30" s="9" t="s">
        <v>1521</v>
      </c>
      <c r="B30" s="63" t="s">
        <v>1354</v>
      </c>
      <c r="C30" s="63"/>
    </row>
  </sheetData>
  <hyperlinks>
    <hyperlink ref="A1" location="'Contents'!A1" display="Contents" xr:uid="{6D74AEAC-1F6F-403B-8AD5-89B05D4D7EF6}"/>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2A4809FDBAC454BBC138C3007036432" ma:contentTypeVersion="14" ma:contentTypeDescription="Create a new document." ma:contentTypeScope="" ma:versionID="bb366b52eb2153b82caf195c428fe2d8">
  <xsd:schema xmlns:xsd="http://www.w3.org/2001/XMLSchema" xmlns:xs="http://www.w3.org/2001/XMLSchema" xmlns:p="http://schemas.microsoft.com/office/2006/metadata/properties" xmlns:ns2="dc70817d-d51c-4ca9-ae12-277f06ead8c0" xmlns:ns3="429001a2-6006-4d0b-bb36-bc8f5928d8f8" targetNamespace="http://schemas.microsoft.com/office/2006/metadata/properties" ma:root="true" ma:fieldsID="f7e5b84f4516469ad8dddeb5bc641d65" ns2:_="" ns3:_="">
    <xsd:import namespace="dc70817d-d51c-4ca9-ae12-277f06ead8c0"/>
    <xsd:import namespace="429001a2-6006-4d0b-bb36-bc8f5928d8f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c70817d-d51c-4ca9-ae12-277f06ead8c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7708e94d-1d5b-4a24-abc9-0fd97dbe82dc"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429001a2-6006-4d0b-bb36-bc8f5928d8f8"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c23011b4-e369-4d2c-a295-9467ddd199e6}" ma:internalName="TaxCatchAll" ma:showField="CatchAllData" ma:web="429001a2-6006-4d0b-bb36-bc8f5928d8f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9F63DCF-AD08-4C2F-A520-B7BBAF455E2A}"/>
</file>

<file path=customXml/itemProps2.xml><?xml version="1.0" encoding="utf-8"?>
<ds:datastoreItem xmlns:ds="http://schemas.openxmlformats.org/officeDocument/2006/customXml" ds:itemID="{7A53A32D-D1FA-4869-A443-7CAD1486109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5</vt:i4>
      </vt:variant>
    </vt:vector>
  </HeadingPairs>
  <TitlesOfParts>
    <vt:vector size="14" baseType="lpstr">
      <vt:lpstr>Contents</vt:lpstr>
      <vt:lpstr>SASAM 2019 61Ind 10Occ</vt:lpstr>
      <vt:lpstr>Employment 61Indx10Occ</vt:lpstr>
      <vt:lpstr>SASAM 2019 61Ind 4Educ</vt:lpstr>
      <vt:lpstr>Employment 61Indx4Educ</vt:lpstr>
      <vt:lpstr>Industry_List</vt:lpstr>
      <vt:lpstr>Product_List</vt:lpstr>
      <vt:lpstr>Other Accounts 10Occ 2019 SAM</vt:lpstr>
      <vt:lpstr>Other Accounts 4Educ 2019 SAM</vt:lpstr>
      <vt:lpstr>Ind_Codes</vt:lpstr>
      <vt:lpstr>Ind_Shorts</vt:lpstr>
      <vt:lpstr>Prod_Codes</vt:lpstr>
      <vt:lpstr>Prod_Codes_2019_SAM</vt:lpstr>
      <vt:lpstr>Prod_Shorts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Dirk van Seventer</dc:creator>
  <cp:lastModifiedBy>Rob Davies</cp:lastModifiedBy>
  <dcterms:created xsi:type="dcterms:W3CDTF">2021-10-01T06:49:00Z</dcterms:created>
  <dcterms:modified xsi:type="dcterms:W3CDTF">2023-03-29T11:02:21Z</dcterms:modified>
</cp:coreProperties>
</file>